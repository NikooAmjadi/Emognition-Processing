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o\Desktop\Thesis\Source\"/>
    </mc:Choice>
  </mc:AlternateContent>
  <xr:revisionPtr revIDLastSave="0" documentId="13_ncr:1_{CCBB1ABA-F47B-4078-8674-3BB6CAB56436}" xr6:coauthVersionLast="47" xr6:coauthVersionMax="47" xr10:uidLastSave="{00000000-0000-0000-0000-000000000000}"/>
  <bookViews>
    <workbookView xWindow="-108" yWindow="-108" windowWidth="23256" windowHeight="12456" activeTab="1" xr2:uid="{8D592C9F-CC51-43DD-B2E3-0BF015735963}"/>
  </bookViews>
  <sheets>
    <sheet name="Sheet1" sheetId="1" r:id="rId1"/>
    <sheet name="Sheet2" sheetId="2" r:id="rId2"/>
  </sheets>
  <definedNames>
    <definedName name="_xlnm._FilterDatabase" localSheetId="0" hidden="1">Sheet1!$A$1:$K$25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/>
  <c r="F4" i="2"/>
  <c r="G4" i="2"/>
  <c r="H4" i="2"/>
  <c r="I4" i="2"/>
  <c r="J4" i="2"/>
  <c r="K4" i="2"/>
  <c r="L4" i="2"/>
  <c r="M4" i="2"/>
  <c r="N4" i="2"/>
  <c r="O4" i="2"/>
  <c r="D5" i="2"/>
  <c r="E5" i="2"/>
  <c r="F5" i="2"/>
  <c r="G5" i="2"/>
  <c r="H5" i="2"/>
  <c r="I5" i="2"/>
  <c r="J5" i="2"/>
  <c r="K5" i="2"/>
  <c r="L5" i="2"/>
  <c r="M5" i="2"/>
  <c r="N5" i="2"/>
  <c r="O5" i="2"/>
  <c r="D6" i="2"/>
  <c r="E6" i="2"/>
  <c r="F6" i="2"/>
  <c r="G6" i="2"/>
  <c r="H6" i="2"/>
  <c r="I6" i="2"/>
  <c r="J6" i="2"/>
  <c r="K6" i="2"/>
  <c r="L6" i="2"/>
  <c r="M6" i="2"/>
  <c r="N6" i="2"/>
  <c r="O6" i="2"/>
  <c r="D7" i="2"/>
  <c r="E7" i="2"/>
  <c r="F7" i="2"/>
  <c r="G7" i="2"/>
  <c r="H7" i="2"/>
  <c r="I7" i="2"/>
  <c r="J7" i="2"/>
  <c r="K7" i="2"/>
  <c r="L7" i="2"/>
  <c r="M7" i="2"/>
  <c r="N7" i="2"/>
  <c r="O7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D11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</calcChain>
</file>

<file path=xl/sharedStrings.xml><?xml version="1.0" encoding="utf-8"?>
<sst xmlns="http://schemas.openxmlformats.org/spreadsheetml/2006/main" count="149" uniqueCount="32">
  <si>
    <t>Model</t>
  </si>
  <si>
    <t>Acc_mean</t>
  </si>
  <si>
    <t>Acc_std</t>
  </si>
  <si>
    <t>F1_mean</t>
  </si>
  <si>
    <t>F1_std</t>
  </si>
  <si>
    <t>Prec_mean</t>
  </si>
  <si>
    <t>Prec_std</t>
  </si>
  <si>
    <t>Rec_mean</t>
  </si>
  <si>
    <t>Rec_std</t>
  </si>
  <si>
    <t>Run Type</t>
  </si>
  <si>
    <t>Data Type</t>
  </si>
  <si>
    <t>SVM</t>
  </si>
  <si>
    <t>XGBoost</t>
  </si>
  <si>
    <t>Random Forest</t>
  </si>
  <si>
    <t>KNN</t>
  </si>
  <si>
    <t>Raw</t>
  </si>
  <si>
    <t>Agg</t>
  </si>
  <si>
    <t>Win</t>
  </si>
  <si>
    <t>Raw + VG</t>
  </si>
  <si>
    <t>VG</t>
  </si>
  <si>
    <t>Model Name</t>
  </si>
  <si>
    <t>Accuracy (±std)</t>
  </si>
  <si>
    <t>F1 Score (±std)</t>
  </si>
  <si>
    <t>Precision (±std)</t>
  </si>
  <si>
    <t>Recall (±std)</t>
  </si>
  <si>
    <t>Input Mode</t>
  </si>
  <si>
    <t>Raw Features</t>
  </si>
  <si>
    <t>Visibility Graph Features</t>
  </si>
  <si>
    <t>Raw + Visibility Graph Features</t>
  </si>
  <si>
    <t>Run Mode</t>
  </si>
  <si>
    <t>Windowed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</si>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</sst>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9" xfId="0" applyFill="1" applyBorder="1"/>
    <xf numFmtId="0" fontId="0" fillId="3" borderId="7" xfId="0" applyFill="1" applyBorder="1"/>
    <xf numFmtId="0" fontId="0" fillId="2" borderId="4" xfId="0" applyFill="1" applyBorder="1"/>
    <xf numFmtId="0" fontId="0" fillId="2" borderId="9" xfId="0" applyFill="1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0A1F-9449-4A91-8C37-2E569624DE33}">
  <dimension ref="A1:K25"/>
  <sheetViews>
    <sheetView workbookViewId="0">
      <selection activeCell="O22" sqref="O22"/>
    </sheetView>
  </sheetViews>
  <sheetFormatPr defaultRowHeight="14.4" x14ac:dyDescent="0.3"/>
  <cols>
    <col min="1" max="1" width="8.88671875" bestFit="1" customWidth="1"/>
    <col min="2" max="2" width="9.5546875" bestFit="1" customWidth="1"/>
    <col min="3" max="3" width="14.44140625" bestFit="1" customWidth="1"/>
    <col min="4" max="6" width="12" bestFit="1" customWidth="1"/>
    <col min="7" max="7" width="12" customWidth="1"/>
    <col min="8" max="11" width="12" bestFit="1" customWidth="1"/>
  </cols>
  <sheetData>
    <row r="1" spans="1:11" x14ac:dyDescent="0.3">
      <c r="A1" s="2" t="s">
        <v>9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16</v>
      </c>
      <c r="B2" s="2" t="s">
        <v>15</v>
      </c>
      <c r="C2" t="s">
        <v>12</v>
      </c>
      <c r="D2">
        <v>0.463501291989664</v>
      </c>
      <c r="E2">
        <v>0.23302288116816799</v>
      </c>
      <c r="F2">
        <v>0.24318691644272999</v>
      </c>
      <c r="G2">
        <v>0.27482705551823799</v>
      </c>
      <c r="H2">
        <v>0.30413436692506401</v>
      </c>
      <c r="I2">
        <v>0.37623640397533498</v>
      </c>
      <c r="J2">
        <v>0.29088224437061599</v>
      </c>
      <c r="K2">
        <v>0.35915020236176798</v>
      </c>
    </row>
    <row r="3" spans="1:11" x14ac:dyDescent="0.3">
      <c r="A3" s="2" t="s">
        <v>16</v>
      </c>
      <c r="B3" s="2" t="s">
        <v>15</v>
      </c>
      <c r="C3" t="s">
        <v>11</v>
      </c>
      <c r="D3">
        <v>0.54554263565891403</v>
      </c>
      <c r="E3">
        <v>0.210727534313052</v>
      </c>
      <c r="F3">
        <v>0.18643578643578601</v>
      </c>
      <c r="G3">
        <v>0.21046455686173701</v>
      </c>
      <c r="H3">
        <v>0.31937984496124</v>
      </c>
      <c r="I3">
        <v>0.38970820317871402</v>
      </c>
      <c r="J3">
        <v>0.17111480251015099</v>
      </c>
      <c r="K3">
        <v>0.22590086499245701</v>
      </c>
    </row>
    <row r="4" spans="1:11" x14ac:dyDescent="0.3">
      <c r="A4" s="2" t="s">
        <v>16</v>
      </c>
      <c r="B4" s="2" t="s">
        <v>15</v>
      </c>
      <c r="C4" t="s">
        <v>14</v>
      </c>
      <c r="D4">
        <v>0.45542635658914699</v>
      </c>
      <c r="E4">
        <v>0.21071119598594801</v>
      </c>
      <c r="F4">
        <v>0.163929997650927</v>
      </c>
      <c r="G4">
        <v>0.194857797842407</v>
      </c>
      <c r="H4">
        <v>0.24677002583979299</v>
      </c>
      <c r="I4">
        <v>0.340768145974853</v>
      </c>
      <c r="J4">
        <v>0.18080472499077099</v>
      </c>
      <c r="K4">
        <v>0.25124689815484802</v>
      </c>
    </row>
    <row r="5" spans="1:11" x14ac:dyDescent="0.3">
      <c r="A5" s="2" t="s">
        <v>16</v>
      </c>
      <c r="B5" s="2" t="s">
        <v>15</v>
      </c>
      <c r="C5" t="s">
        <v>13</v>
      </c>
      <c r="D5">
        <v>0.49386304909560702</v>
      </c>
      <c r="E5">
        <v>0.243054214200458</v>
      </c>
      <c r="F5">
        <v>0.13524950501694599</v>
      </c>
      <c r="G5">
        <v>0.200660764931722</v>
      </c>
      <c r="H5">
        <v>0.201771871539313</v>
      </c>
      <c r="I5">
        <v>0.33589393535374901</v>
      </c>
      <c r="J5">
        <v>0.153617571059431</v>
      </c>
      <c r="K5">
        <v>0.26433393376551401</v>
      </c>
    </row>
    <row r="6" spans="1:11" x14ac:dyDescent="0.3">
      <c r="A6" s="2" t="s">
        <v>16</v>
      </c>
      <c r="B6" s="2" t="s">
        <v>18</v>
      </c>
      <c r="C6" t="s">
        <v>11</v>
      </c>
      <c r="D6">
        <v>0.55038759689922401</v>
      </c>
      <c r="E6">
        <v>0.238371217689897</v>
      </c>
      <c r="F6">
        <v>0.207489409814991</v>
      </c>
      <c r="G6">
        <v>0.24468419289691301</v>
      </c>
      <c r="H6">
        <v>0.29533038021410102</v>
      </c>
      <c r="I6">
        <v>0.37016733999763901</v>
      </c>
      <c r="J6">
        <v>0.25443890734588398</v>
      </c>
      <c r="K6">
        <v>0.34458028555167902</v>
      </c>
    </row>
    <row r="7" spans="1:11" x14ac:dyDescent="0.3">
      <c r="A7" s="2" t="s">
        <v>16</v>
      </c>
      <c r="B7" s="2" t="s">
        <v>18</v>
      </c>
      <c r="C7" t="s">
        <v>14</v>
      </c>
      <c r="D7">
        <v>0.50645994832041297</v>
      </c>
      <c r="E7">
        <v>0.22897031438631199</v>
      </c>
      <c r="F7">
        <v>0.20612604449813701</v>
      </c>
      <c r="G7">
        <v>0.227162484209358</v>
      </c>
      <c r="H7">
        <v>0.26090808416389799</v>
      </c>
      <c r="I7">
        <v>0.328926025839618</v>
      </c>
      <c r="J7">
        <v>0.246557770394979</v>
      </c>
      <c r="K7">
        <v>0.31851070599408199</v>
      </c>
    </row>
    <row r="8" spans="1:11" x14ac:dyDescent="0.3">
      <c r="A8" s="2" t="s">
        <v>16</v>
      </c>
      <c r="B8" s="2" t="s">
        <v>18</v>
      </c>
      <c r="C8" t="s">
        <v>12</v>
      </c>
      <c r="D8">
        <v>0.44961240310077499</v>
      </c>
      <c r="E8">
        <v>0.23594999929222699</v>
      </c>
      <c r="F8">
        <v>0.20045561673468601</v>
      </c>
      <c r="G8">
        <v>0.25793367106126702</v>
      </c>
      <c r="H8">
        <v>0.253036175710594</v>
      </c>
      <c r="I8">
        <v>0.35108310037422602</v>
      </c>
      <c r="J8">
        <v>0.240817644887412</v>
      </c>
      <c r="K8">
        <v>0.33313690161090898</v>
      </c>
    </row>
    <row r="9" spans="1:11" x14ac:dyDescent="0.3">
      <c r="A9" s="2" t="s">
        <v>16</v>
      </c>
      <c r="B9" s="2" t="s">
        <v>18</v>
      </c>
      <c r="C9" t="s">
        <v>13</v>
      </c>
      <c r="D9">
        <v>0.52713178294573604</v>
      </c>
      <c r="E9">
        <v>0.268012348882465</v>
      </c>
      <c r="F9">
        <v>0.13701466492164099</v>
      </c>
      <c r="G9">
        <v>0.22948387661765199</v>
      </c>
      <c r="H9">
        <v>0.18045404208194901</v>
      </c>
      <c r="I9">
        <v>0.31078394060606102</v>
      </c>
      <c r="J9">
        <v>0.16805094130675499</v>
      </c>
      <c r="K9">
        <v>0.30961387332588303</v>
      </c>
    </row>
    <row r="10" spans="1:11" x14ac:dyDescent="0.3">
      <c r="A10" s="2" t="s">
        <v>17</v>
      </c>
      <c r="B10" s="2" t="s">
        <v>18</v>
      </c>
      <c r="C10" t="s">
        <v>11</v>
      </c>
      <c r="D10">
        <v>0.53687806182417297</v>
      </c>
      <c r="E10">
        <v>0.19765766856081801</v>
      </c>
      <c r="F10">
        <v>0.25349457209216397</v>
      </c>
      <c r="G10">
        <v>0.20106840040254501</v>
      </c>
      <c r="H10">
        <v>0.37579459752467897</v>
      </c>
      <c r="I10">
        <v>0.33341777308293302</v>
      </c>
      <c r="J10">
        <v>0.26656608215791</v>
      </c>
      <c r="K10">
        <v>0.23003198024580301</v>
      </c>
    </row>
    <row r="11" spans="1:11" x14ac:dyDescent="0.3">
      <c r="A11" s="2" t="s">
        <v>17</v>
      </c>
      <c r="B11" s="2" t="s">
        <v>18</v>
      </c>
      <c r="C11" t="s">
        <v>12</v>
      </c>
      <c r="D11">
        <v>0.53925733114508201</v>
      </c>
      <c r="E11">
        <v>0.304752586007281</v>
      </c>
      <c r="F11">
        <v>0.25252095008907299</v>
      </c>
      <c r="G11">
        <v>0.33910914458570202</v>
      </c>
      <c r="H11">
        <v>0.22965821489823801</v>
      </c>
      <c r="I11">
        <v>0.31433691956260001</v>
      </c>
      <c r="J11">
        <v>0.34566487601229701</v>
      </c>
      <c r="K11">
        <v>0.44246880542634998</v>
      </c>
    </row>
    <row r="12" spans="1:11" x14ac:dyDescent="0.3">
      <c r="A12" s="2" t="s">
        <v>17</v>
      </c>
      <c r="B12" s="2" t="s">
        <v>18</v>
      </c>
      <c r="C12" t="s">
        <v>14</v>
      </c>
      <c r="D12">
        <v>0.53614907769228004</v>
      </c>
      <c r="E12">
        <v>0.16086280092303401</v>
      </c>
      <c r="F12">
        <v>0.25229402678720098</v>
      </c>
      <c r="G12">
        <v>0.16521439464454199</v>
      </c>
      <c r="H12">
        <v>0.37651021029352</v>
      </c>
      <c r="I12">
        <v>0.33071716342726798</v>
      </c>
      <c r="J12">
        <v>0.25939386641190398</v>
      </c>
      <c r="K12">
        <v>0.16956289246994999</v>
      </c>
    </row>
    <row r="13" spans="1:11" x14ac:dyDescent="0.3">
      <c r="A13" s="2" t="s">
        <v>17</v>
      </c>
      <c r="B13" s="2" t="s">
        <v>18</v>
      </c>
      <c r="C13" t="s">
        <v>13</v>
      </c>
      <c r="D13">
        <v>0.54274366693563902</v>
      </c>
      <c r="E13">
        <v>0.246067101818016</v>
      </c>
      <c r="F13">
        <v>0.23204658825397101</v>
      </c>
      <c r="G13">
        <v>0.26372030494170001</v>
      </c>
      <c r="H13">
        <v>0.27485741269021102</v>
      </c>
      <c r="I13">
        <v>0.30835946702184702</v>
      </c>
      <c r="J13">
        <v>0.27869510705106099</v>
      </c>
      <c r="K13">
        <v>0.33205065589931698</v>
      </c>
    </row>
    <row r="14" spans="1:11" x14ac:dyDescent="0.3">
      <c r="A14" s="2" t="s">
        <v>17</v>
      </c>
      <c r="B14" s="2" t="s">
        <v>15</v>
      </c>
      <c r="C14" t="s">
        <v>12</v>
      </c>
      <c r="D14">
        <v>0.53787285217324199</v>
      </c>
      <c r="E14">
        <v>0.31797600629444001</v>
      </c>
      <c r="F14">
        <v>0.25983671864391999</v>
      </c>
      <c r="G14">
        <v>0.34314109579655999</v>
      </c>
      <c r="H14">
        <v>0.26055785197699799</v>
      </c>
      <c r="I14">
        <v>0.33195517091080801</v>
      </c>
      <c r="J14">
        <v>0.35390727248500797</v>
      </c>
      <c r="K14">
        <v>0.44504058896418902</v>
      </c>
    </row>
    <row r="15" spans="1:11" x14ac:dyDescent="0.3">
      <c r="A15" s="2" t="s">
        <v>17</v>
      </c>
      <c r="B15" s="2" t="s">
        <v>15</v>
      </c>
      <c r="C15" t="s">
        <v>14</v>
      </c>
      <c r="D15">
        <v>0.52148495325755195</v>
      </c>
      <c r="E15">
        <v>0.157425012343926</v>
      </c>
      <c r="F15">
        <v>0.243830243253296</v>
      </c>
      <c r="G15">
        <v>0.18924798166338999</v>
      </c>
      <c r="H15">
        <v>0.36112464854381598</v>
      </c>
      <c r="I15">
        <v>0.33096824861783603</v>
      </c>
      <c r="J15">
        <v>0.25401865352641301</v>
      </c>
      <c r="K15">
        <v>0.20516285211132099</v>
      </c>
    </row>
    <row r="16" spans="1:11" x14ac:dyDescent="0.3">
      <c r="A16" s="2" t="s">
        <v>17</v>
      </c>
      <c r="B16" s="2" t="s">
        <v>15</v>
      </c>
      <c r="C16" t="s">
        <v>11</v>
      </c>
      <c r="D16">
        <v>0.53911987225616598</v>
      </c>
      <c r="E16">
        <v>0.21776574023187201</v>
      </c>
      <c r="F16">
        <v>0.24006573252362601</v>
      </c>
      <c r="G16">
        <v>0.21352391570336399</v>
      </c>
      <c r="H16">
        <v>0.37343227172183202</v>
      </c>
      <c r="I16">
        <v>0.345194415291742</v>
      </c>
      <c r="J16">
        <v>0.237583593489685</v>
      </c>
      <c r="K16">
        <v>0.23775521033795599</v>
      </c>
    </row>
    <row r="17" spans="1:11" x14ac:dyDescent="0.3">
      <c r="A17" s="2" t="s">
        <v>17</v>
      </c>
      <c r="B17" s="2" t="s">
        <v>15</v>
      </c>
      <c r="C17" t="s">
        <v>13</v>
      </c>
      <c r="D17">
        <v>0.55715266961272403</v>
      </c>
      <c r="E17">
        <v>0.25929357383070201</v>
      </c>
      <c r="F17">
        <v>0.23089237583380101</v>
      </c>
      <c r="G17">
        <v>0.28931864521544698</v>
      </c>
      <c r="H17">
        <v>0.247917729717302</v>
      </c>
      <c r="I17">
        <v>0.314645470878606</v>
      </c>
      <c r="J17">
        <v>0.28242335648944999</v>
      </c>
      <c r="K17">
        <v>0.36312490689286497</v>
      </c>
    </row>
    <row r="18" spans="1:11" x14ac:dyDescent="0.3">
      <c r="A18" s="2" t="s">
        <v>16</v>
      </c>
      <c r="B18" s="2" t="s">
        <v>19</v>
      </c>
      <c r="C18" t="s">
        <v>12</v>
      </c>
      <c r="D18">
        <v>0.39534883720930197</v>
      </c>
      <c r="E18">
        <v>0.21739237846308199</v>
      </c>
      <c r="F18">
        <v>0.236351116583674</v>
      </c>
      <c r="G18">
        <v>0.246760115797862</v>
      </c>
      <c r="H18">
        <v>0.278903654485049</v>
      </c>
      <c r="I18">
        <v>0.31975604865773199</v>
      </c>
      <c r="J18">
        <v>0.31479328165374598</v>
      </c>
      <c r="K18">
        <v>0.354863541232525</v>
      </c>
    </row>
    <row r="19" spans="1:11" x14ac:dyDescent="0.3">
      <c r="A19" s="2" t="s">
        <v>16</v>
      </c>
      <c r="B19" s="2" t="s">
        <v>19</v>
      </c>
      <c r="C19" t="s">
        <v>14</v>
      </c>
      <c r="D19">
        <v>0.54521963824289399</v>
      </c>
      <c r="E19">
        <v>0.227096357030695</v>
      </c>
      <c r="F19">
        <v>0.23393608975004301</v>
      </c>
      <c r="G19">
        <v>0.26078582930201499</v>
      </c>
      <c r="H19">
        <v>0.34263565891472803</v>
      </c>
      <c r="I19">
        <v>0.39354123932423501</v>
      </c>
      <c r="J19">
        <v>0.25596160944998098</v>
      </c>
      <c r="K19">
        <v>0.33756067274138402</v>
      </c>
    </row>
    <row r="20" spans="1:11" x14ac:dyDescent="0.3">
      <c r="A20" s="2" t="s">
        <v>16</v>
      </c>
      <c r="B20" s="2" t="s">
        <v>19</v>
      </c>
      <c r="C20" t="s">
        <v>11</v>
      </c>
      <c r="D20">
        <v>0.52454780361757103</v>
      </c>
      <c r="E20">
        <v>0.22520680691990599</v>
      </c>
      <c r="F20">
        <v>0.213779889361284</v>
      </c>
      <c r="G20">
        <v>0.25842963326653601</v>
      </c>
      <c r="H20">
        <v>0.28992248062015502</v>
      </c>
      <c r="I20">
        <v>0.360718840436763</v>
      </c>
      <c r="J20">
        <v>0.239525655223329</v>
      </c>
      <c r="K20">
        <v>0.33812159178921403</v>
      </c>
    </row>
    <row r="21" spans="1:11" x14ac:dyDescent="0.3">
      <c r="A21" s="2" t="s">
        <v>16</v>
      </c>
      <c r="B21" s="2" t="s">
        <v>19</v>
      </c>
      <c r="C21" t="s">
        <v>13</v>
      </c>
      <c r="D21">
        <v>0.50645994832041297</v>
      </c>
      <c r="E21">
        <v>0.270368710274487</v>
      </c>
      <c r="F21">
        <v>0.138803315547501</v>
      </c>
      <c r="G21">
        <v>0.21996951659392699</v>
      </c>
      <c r="H21">
        <v>0.15968992248062</v>
      </c>
      <c r="I21">
        <v>0.274291018384964</v>
      </c>
      <c r="J21">
        <v>0.17558139534883699</v>
      </c>
      <c r="K21">
        <v>0.304140225827706</v>
      </c>
    </row>
    <row r="22" spans="1:11" x14ac:dyDescent="0.3">
      <c r="A22" s="2" t="s">
        <v>17</v>
      </c>
      <c r="B22" s="2" t="s">
        <v>19</v>
      </c>
      <c r="C22" t="s">
        <v>12</v>
      </c>
      <c r="D22">
        <v>0.42687744442700498</v>
      </c>
      <c r="E22">
        <v>0.16259319509398201</v>
      </c>
      <c r="F22">
        <v>0.34489743516084598</v>
      </c>
      <c r="G22">
        <v>0.24889977813098399</v>
      </c>
      <c r="H22">
        <v>0.37286869315608401</v>
      </c>
      <c r="I22">
        <v>0.32762262219022498</v>
      </c>
      <c r="J22">
        <v>0.48339728359145601</v>
      </c>
      <c r="K22">
        <v>0.32752083760267497</v>
      </c>
    </row>
    <row r="23" spans="1:11" x14ac:dyDescent="0.3">
      <c r="A23" s="2" t="s">
        <v>17</v>
      </c>
      <c r="B23" s="2" t="s">
        <v>19</v>
      </c>
      <c r="C23" t="s">
        <v>14</v>
      </c>
      <c r="D23">
        <v>0.54889729381781505</v>
      </c>
      <c r="E23">
        <v>0.153654340520191</v>
      </c>
      <c r="F23">
        <v>0.25251673663505397</v>
      </c>
      <c r="G23">
        <v>0.172925516746159</v>
      </c>
      <c r="H23">
        <v>0.371785421813773</v>
      </c>
      <c r="I23">
        <v>0.33289738806484298</v>
      </c>
      <c r="J23">
        <v>0.24811130090353001</v>
      </c>
      <c r="K23">
        <v>0.175434737285278</v>
      </c>
    </row>
    <row r="24" spans="1:11" x14ac:dyDescent="0.3">
      <c r="A24" s="2" t="s">
        <v>17</v>
      </c>
      <c r="B24" s="2" t="s">
        <v>19</v>
      </c>
      <c r="C24" t="s">
        <v>13</v>
      </c>
      <c r="D24">
        <v>0.47576667754447199</v>
      </c>
      <c r="E24">
        <v>0.18606498428173601</v>
      </c>
      <c r="F24">
        <v>0.25143402241699497</v>
      </c>
      <c r="G24">
        <v>0.20850766853486699</v>
      </c>
      <c r="H24">
        <v>0.35891687537124101</v>
      </c>
      <c r="I24">
        <v>0.33460916330511897</v>
      </c>
      <c r="J24">
        <v>0.30196113020826099</v>
      </c>
      <c r="K24">
        <v>0.264800832541916</v>
      </c>
    </row>
    <row r="25" spans="1:11" x14ac:dyDescent="0.3">
      <c r="A25" s="2" t="s">
        <v>17</v>
      </c>
      <c r="B25" s="2" t="s">
        <v>19</v>
      </c>
      <c r="C25" t="s">
        <v>11</v>
      </c>
      <c r="D25">
        <v>0.55291668200560296</v>
      </c>
      <c r="E25">
        <v>0.19349349234714999</v>
      </c>
      <c r="F25">
        <v>0.22047866665797</v>
      </c>
      <c r="G25">
        <v>0.17339382031059</v>
      </c>
      <c r="H25">
        <v>0.36432446976639699</v>
      </c>
      <c r="I25">
        <v>0.33048252781519899</v>
      </c>
      <c r="J25">
        <v>0.22030380114150899</v>
      </c>
      <c r="K25">
        <v>0.18616480110133099</v>
      </c>
    </row>
  </sheetData>
  <autoFilter ref="A1:K25" xr:uid="{20B60A1F-9449-4A91-8C37-2E569624DE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4F26-DE01-4BB2-9AB3-84FA32AC1323}">
  <dimension ref="A1:O14"/>
  <sheetViews>
    <sheetView tabSelected="1" workbookViewId="0">
      <selection activeCell="O11" sqref="O11"/>
    </sheetView>
  </sheetViews>
  <sheetFormatPr defaultRowHeight="14.4" x14ac:dyDescent="0.3"/>
  <cols>
    <col min="1" max="1" width="6.88671875" customWidth="1"/>
    <col min="2" max="2" width="16.5546875" customWidth="1"/>
    <col min="3" max="3" width="14.44140625" bestFit="1" customWidth="1"/>
    <col min="4" max="7" width="15.6640625" style="1" customWidth="1"/>
    <col min="8" max="15" width="15.6640625" customWidth="1"/>
  </cols>
  <sheetData>
    <row r="1" spans="1:15" s="27" customFormat="1" ht="15" thickBot="1" x14ac:dyDescent="0.35">
      <c r="D1" s="28" t="s">
        <v>15</v>
      </c>
      <c r="E1" s="28" t="s">
        <v>15</v>
      </c>
      <c r="F1" s="28" t="s">
        <v>15</v>
      </c>
      <c r="G1" s="28" t="s">
        <v>15</v>
      </c>
      <c r="H1" s="27" t="s">
        <v>19</v>
      </c>
      <c r="I1" s="27" t="s">
        <v>19</v>
      </c>
      <c r="J1" s="27" t="s">
        <v>19</v>
      </c>
      <c r="K1" s="27" t="s">
        <v>19</v>
      </c>
      <c r="L1" s="27" t="s">
        <v>18</v>
      </c>
      <c r="M1" s="27" t="s">
        <v>18</v>
      </c>
      <c r="N1" s="27" t="s">
        <v>18</v>
      </c>
      <c r="O1" s="27" t="s">
        <v>18</v>
      </c>
    </row>
    <row r="2" spans="1:15" x14ac:dyDescent="0.3">
      <c r="B2" s="29" t="s">
        <v>29</v>
      </c>
      <c r="C2" s="4" t="s">
        <v>25</v>
      </c>
      <c r="D2" s="29" t="s">
        <v>26</v>
      </c>
      <c r="E2" s="30"/>
      <c r="F2" s="30"/>
      <c r="G2" s="31"/>
      <c r="H2" s="32" t="s">
        <v>27</v>
      </c>
      <c r="I2" s="33"/>
      <c r="J2" s="33"/>
      <c r="K2" s="34"/>
      <c r="L2" s="32" t="s">
        <v>28</v>
      </c>
      <c r="M2" s="33"/>
      <c r="N2" s="33"/>
      <c r="O2" s="34"/>
    </row>
    <row r="3" spans="1:15" x14ac:dyDescent="0.3">
      <c r="B3" s="37"/>
      <c r="C3" s="10" t="s">
        <v>20</v>
      </c>
      <c r="D3" s="9" t="s">
        <v>21</v>
      </c>
      <c r="E3" s="5" t="s">
        <v>22</v>
      </c>
      <c r="F3" s="5" t="s">
        <v>23</v>
      </c>
      <c r="G3" s="10" t="s">
        <v>24</v>
      </c>
      <c r="H3" s="9" t="s">
        <v>21</v>
      </c>
      <c r="I3" s="5" t="s">
        <v>22</v>
      </c>
      <c r="J3" s="5" t="s">
        <v>23</v>
      </c>
      <c r="K3" s="10" t="s">
        <v>24</v>
      </c>
      <c r="L3" s="9" t="s">
        <v>21</v>
      </c>
      <c r="M3" s="5" t="s">
        <v>22</v>
      </c>
      <c r="N3" s="5" t="s">
        <v>23</v>
      </c>
      <c r="O3" s="10" t="s">
        <v>24</v>
      </c>
    </row>
    <row r="4" spans="1:15" x14ac:dyDescent="0.3">
      <c r="A4" s="27" t="s">
        <v>17</v>
      </c>
      <c r="B4" s="38" t="s">
        <v>30</v>
      </c>
      <c r="C4" s="3" t="s">
        <v>11</v>
      </c>
      <c r="D4" s="13" t="str">
        <f>TEXT(ROUND(SUMIFS(Sheet1!$D:$D,Sheet1!$C:$C,$C4,Sheet1!$B:$B,D$1,Sheet1!$A:$A,$A4)*100,4),"0.0000") &amp; " ± " &amp; TEXT(ROUND(SUMIFS(Sheet1!$E:$E,Sheet1!$C:$C,$C4,Sheet1!$B:$B,D$1,Sheet1!$A:$A,$A4)*100,2),"0.00")</f>
        <v>53.9120 ± 21.78</v>
      </c>
      <c r="E4" s="7" t="str">
        <f>TEXT(ROUND(SUMIFS(Sheet1!$F:$F,Sheet1!$C:$C,$C4,Sheet1!$B:$B,E$1,Sheet1!$A:$A,$A4)*100,4),"0.0000") &amp; " ± " &amp; TEXT(ROUND(SUMIFS(Sheet1!$G:$G,Sheet1!$C:$C,$C4,Sheet1!$B:$B,E$1,Sheet1!$A:$A,$A4)*100,2),"0.00")</f>
        <v>24.0066 ± 21.35</v>
      </c>
      <c r="F4" s="6" t="str">
        <f>TEXT(ROUND(SUMIFS(Sheet1!$H:$H,Sheet1!$C:$C,$C4,Sheet1!$B:$B,F$1,Sheet1!$A:$A,$A4)*100,4),"0.0000") &amp; " ± " &amp; TEXT(ROUND(SUMIFS(Sheet1!$I:$I,Sheet1!$C:$C,$C4,Sheet1!$B:$B,F$1,Sheet1!$A:$A,$A4)*100,2),"0.00")</f>
        <v>37.3432 ± 34.52</v>
      </c>
      <c r="G4" s="14" t="str">
        <f>TEXT(ROUND(SUMIFS(Sheet1!$J:$J,Sheet1!$C:$C,$C4,Sheet1!$B:$B,G$1,Sheet1!$A:$A,$A4)*100,4),"0.0000") &amp; " ± " &amp; TEXT(ROUND(SUMIFS(Sheet1!$K:$K,Sheet1!$C:$C,$C4,Sheet1!$B:$B,G$1,Sheet1!$A:$A,$A4)*100,2),"0.00")</f>
        <v>23.7584 ± 23.78</v>
      </c>
      <c r="H4" s="18" t="str">
        <f>TEXT(ROUND(SUMIFS(Sheet1!$D:$D,Sheet1!$C:$C,$C4,Sheet1!$B:$B,H$1,Sheet1!$A:$A,$A4)*100,4),"0.0000") &amp; " ± " &amp; TEXT(ROUND(SUMIFS(Sheet1!$E:$E,Sheet1!$C:$C,$C4,Sheet1!$B:$B,H$1,Sheet1!$A:$A,$A4)*100,2),"0.00")</f>
        <v>55.2917 ± 19.35</v>
      </c>
      <c r="I4" s="7" t="str">
        <f>TEXT(ROUND(SUMIFS(Sheet1!$F:$F,Sheet1!$C:$C,$C4,Sheet1!$B:$B,I$1,Sheet1!$A:$A,$A4)*100,4),"0.0000") &amp; " ± " &amp; TEXT(ROUND(SUMIFS(Sheet1!$G:$G,Sheet1!$C:$C,$C4,Sheet1!$B:$B,I$1,Sheet1!$A:$A,$A4)*100,2),"0.00")</f>
        <v>22.0479 ± 17.34</v>
      </c>
      <c r="J4" s="7" t="str">
        <f>TEXT(ROUND(SUMIFS(Sheet1!$H:$H,Sheet1!$C:$C,$C4,Sheet1!$B:$B,J$1,Sheet1!$A:$A,$A4)*100,4),"0.0000") &amp; " ± " &amp; TEXT(ROUND(SUMIFS(Sheet1!$I:$I,Sheet1!$C:$C,$C4,Sheet1!$B:$B,J$1,Sheet1!$A:$A,$A4)*100,2),"0.00")</f>
        <v>36.4324 ± 33.05</v>
      </c>
      <c r="K4" s="14" t="str">
        <f>TEXT(ROUND(SUMIFS(Sheet1!$J:$J,Sheet1!$C:$C,$C4,Sheet1!$B:$B,K$1,Sheet1!$A:$A,$A4)*100,4),"0.0000") &amp; " ± " &amp; TEXT(ROUND(SUMIFS(Sheet1!$K:$K,Sheet1!$C:$C,$C4,Sheet1!$B:$B,K$1,Sheet1!$A:$A,$A4)*100,2),"0.00")</f>
        <v>22.0304 ± 18.62</v>
      </c>
      <c r="L4" s="13" t="str">
        <f>TEXT(ROUND(SUMIFS(Sheet1!$D:$D,Sheet1!$C:$C,$C4,Sheet1!$B:$B,L$1,Sheet1!$A:$A,$A4)*100,4),"0.0000") &amp; " ± " &amp; TEXT(ROUND(SUMIFS(Sheet1!$E:$E,Sheet1!$C:$C,$C4,Sheet1!$B:$B,L$1,Sheet1!$A:$A,$A4)*100,2),"0.00")</f>
        <v>53.6878 ± 19.77</v>
      </c>
      <c r="M4" s="6" t="str">
        <f>TEXT(ROUND(SUMIFS(Sheet1!$F:$F,Sheet1!$C:$C,$C4,Sheet1!$B:$B,M$1,Sheet1!$A:$A,$A4)*100,4),"0.0000") &amp; " ± " &amp; TEXT(ROUND(SUMIFS(Sheet1!$G:$G,Sheet1!$C:$C,$C4,Sheet1!$B:$B,M$1,Sheet1!$A:$A,$A4)*100,2),"0.00")</f>
        <v>25.3495 ± 20.11</v>
      </c>
      <c r="N4" s="7" t="str">
        <f>TEXT(ROUND(SUMIFS(Sheet1!$H:$H,Sheet1!$C:$C,$C4,Sheet1!$B:$B,N$1,Sheet1!$A:$A,$A4)*100,4),"0.0000") &amp; " ± " &amp; TEXT(ROUND(SUMIFS(Sheet1!$I:$I,Sheet1!$C:$C,$C4,Sheet1!$B:$B,N$1,Sheet1!$A:$A,$A4)*100,2),"0.00")</f>
        <v>37.5795 ± 33.34</v>
      </c>
      <c r="O4" s="14" t="str">
        <f>TEXT(ROUND(SUMIFS(Sheet1!$J:$J,Sheet1!$C:$C,$C4,Sheet1!$B:$B,O$1,Sheet1!$A:$A,$A4)*100,4),"0.0000") &amp; " ± " &amp; TEXT(ROUND(SUMIFS(Sheet1!$K:$K,Sheet1!$C:$C,$C4,Sheet1!$B:$B,O$1,Sheet1!$A:$A,$A4)*100,2),"0.00")</f>
        <v>26.6566 ± 23.00</v>
      </c>
    </row>
    <row r="5" spans="1:15" x14ac:dyDescent="0.3">
      <c r="A5" s="27" t="s">
        <v>17</v>
      </c>
      <c r="B5" s="39"/>
      <c r="C5" s="20" t="s">
        <v>13</v>
      </c>
      <c r="D5" s="26" t="str">
        <f>TEXT(ROUND(SUMIFS(Sheet1!$D:$D,Sheet1!$C:$C,$C5,Sheet1!$B:$B,D$1,Sheet1!$A:$A,$A5)*100,4),"0.0000") &amp; " ± " &amp; TEXT(ROUND(SUMIFS(Sheet1!$E:$E,Sheet1!$C:$C,$C5,Sheet1!$B:$B,D$1,Sheet1!$A:$A,$A5)*100,2),"0.00")</f>
        <v>55.7153 ± 25.93</v>
      </c>
      <c r="E5" s="8" t="str">
        <f>TEXT(ROUND(SUMIFS(Sheet1!$F:$F,Sheet1!$C:$C,$C5,Sheet1!$B:$B,E$1,Sheet1!$A:$A,$A5)*100,4),"0.0000") &amp; " ± " &amp; TEXT(ROUND(SUMIFS(Sheet1!$G:$G,Sheet1!$C:$C,$C5,Sheet1!$B:$B,E$1,Sheet1!$A:$A,$A5)*100,2),"0.00")</f>
        <v>23.0892 ± 28.93</v>
      </c>
      <c r="F5" s="8" t="str">
        <f>TEXT(ROUND(SUMIFS(Sheet1!$H:$H,Sheet1!$C:$C,$C5,Sheet1!$B:$B,F$1,Sheet1!$A:$A,$A5)*100,4),"0.0000") &amp; " ± " &amp; TEXT(ROUND(SUMIFS(Sheet1!$I:$I,Sheet1!$C:$C,$C5,Sheet1!$B:$B,F$1,Sheet1!$A:$A,$A5)*100,2),"0.00")</f>
        <v>24.7918 ± 31.46</v>
      </c>
      <c r="G5" s="12" t="str">
        <f>TEXT(ROUND(SUMIFS(Sheet1!$J:$J,Sheet1!$C:$C,$C5,Sheet1!$B:$B,G$1,Sheet1!$A:$A,$A5)*100,4),"0.0000") &amp; " ± " &amp; TEXT(ROUND(SUMIFS(Sheet1!$K:$K,Sheet1!$C:$C,$C5,Sheet1!$B:$B,G$1,Sheet1!$A:$A,$A5)*100,2),"0.00")</f>
        <v>28.2423 ± 36.31</v>
      </c>
      <c r="H5" s="11" t="str">
        <f>TEXT(ROUND(SUMIFS(Sheet1!$D:$D,Sheet1!$C:$C,$C5,Sheet1!$B:$B,H$1,Sheet1!$A:$A,$A5)*100,4),"0.0000") &amp; " ± " &amp; TEXT(ROUND(SUMIFS(Sheet1!$E:$E,Sheet1!$C:$C,$C5,Sheet1!$B:$B,H$1,Sheet1!$A:$A,$A5)*100,2),"0.00")</f>
        <v>47.5767 ± 18.61</v>
      </c>
      <c r="I5" s="8" t="str">
        <f>TEXT(ROUND(SUMIFS(Sheet1!$F:$F,Sheet1!$C:$C,$C5,Sheet1!$B:$B,I$1,Sheet1!$A:$A,$A5)*100,4),"0.0000") &amp; " ± " &amp; TEXT(ROUND(SUMIFS(Sheet1!$G:$G,Sheet1!$C:$C,$C5,Sheet1!$B:$B,I$1,Sheet1!$A:$A,$A5)*100,2),"0.00")</f>
        <v>25.1434 ± 20.85</v>
      </c>
      <c r="J5" s="8" t="str">
        <f>TEXT(ROUND(SUMIFS(Sheet1!$H:$H,Sheet1!$C:$C,$C5,Sheet1!$B:$B,J$1,Sheet1!$A:$A,$A5)*100,4),"0.0000") &amp; " ± " &amp; TEXT(ROUND(SUMIFS(Sheet1!$I:$I,Sheet1!$C:$C,$C5,Sheet1!$B:$B,J$1,Sheet1!$A:$A,$A5)*100,2),"0.00")</f>
        <v>35.8917 ± 33.46</v>
      </c>
      <c r="K5" s="12" t="str">
        <f>TEXT(ROUND(SUMIFS(Sheet1!$J:$J,Sheet1!$C:$C,$C5,Sheet1!$B:$B,K$1,Sheet1!$A:$A,$A5)*100,4),"0.0000") &amp; " ± " &amp; TEXT(ROUND(SUMIFS(Sheet1!$K:$K,Sheet1!$C:$C,$C5,Sheet1!$B:$B,K$1,Sheet1!$A:$A,$A5)*100,2),"0.00")</f>
        <v>30.1961 ± 26.48</v>
      </c>
      <c r="L5" s="26" t="str">
        <f>TEXT(ROUND(SUMIFS(Sheet1!$D:$D,Sheet1!$C:$C,$C5,Sheet1!$B:$B,L$1,Sheet1!$A:$A,$A5)*100,4),"0.0000") &amp; " ± " &amp; TEXT(ROUND(SUMIFS(Sheet1!$E:$E,Sheet1!$C:$C,$C5,Sheet1!$B:$B,L$1,Sheet1!$A:$A,$A5)*100,2),"0.00")</f>
        <v>54.2744 ± 24.61</v>
      </c>
      <c r="M5" s="8" t="str">
        <f>TEXT(ROUND(SUMIFS(Sheet1!$F:$F,Sheet1!$C:$C,$C5,Sheet1!$B:$B,M$1,Sheet1!$A:$A,$A5)*100,4),"0.0000") &amp; " ± " &amp; TEXT(ROUND(SUMIFS(Sheet1!$G:$G,Sheet1!$C:$C,$C5,Sheet1!$B:$B,M$1,Sheet1!$A:$A,$A5)*100,2),"0.00")</f>
        <v>23.2047 ± 26.37</v>
      </c>
      <c r="N5" s="8" t="str">
        <f>TEXT(ROUND(SUMIFS(Sheet1!$H:$H,Sheet1!$C:$C,$C5,Sheet1!$B:$B,N$1,Sheet1!$A:$A,$A5)*100,4),"0.0000") &amp; " ± " &amp; TEXT(ROUND(SUMIFS(Sheet1!$I:$I,Sheet1!$C:$C,$C5,Sheet1!$B:$B,N$1,Sheet1!$A:$A,$A5)*100,2),"0.00")</f>
        <v>27.4857 ± 30.84</v>
      </c>
      <c r="O5" s="12" t="str">
        <f>TEXT(ROUND(SUMIFS(Sheet1!$J:$J,Sheet1!$C:$C,$C5,Sheet1!$B:$B,O$1,Sheet1!$A:$A,$A5)*100,4),"0.0000") &amp; " ± " &amp; TEXT(ROUND(SUMIFS(Sheet1!$K:$K,Sheet1!$C:$C,$C5,Sheet1!$B:$B,O$1,Sheet1!$A:$A,$A5)*100,2),"0.00")</f>
        <v>27.8695 ± 33.21</v>
      </c>
    </row>
    <row r="6" spans="1:15" x14ac:dyDescent="0.3">
      <c r="A6" s="27" t="s">
        <v>17</v>
      </c>
      <c r="B6" s="39"/>
      <c r="C6" s="3" t="s">
        <v>12</v>
      </c>
      <c r="D6" s="13" t="str">
        <f>TEXT(ROUND(SUMIFS(Sheet1!$D:$D,Sheet1!$C:$C,$C6,Sheet1!$B:$B,D$1,Sheet1!$A:$A,$A6)*100,4),"0.0000") &amp; " ± " &amp; TEXT(ROUND(SUMIFS(Sheet1!$E:$E,Sheet1!$C:$C,$C6,Sheet1!$B:$B,D$1,Sheet1!$A:$A,$A6)*100,2),"0.00")</f>
        <v>53.7873 ± 31.80</v>
      </c>
      <c r="E6" s="6" t="str">
        <f>TEXT(ROUND(SUMIFS(Sheet1!$F:$F,Sheet1!$C:$C,$C6,Sheet1!$B:$B,E$1,Sheet1!$A:$A,$A6)*100,4),"0.0000") &amp; " ± " &amp; TEXT(ROUND(SUMIFS(Sheet1!$G:$G,Sheet1!$C:$C,$C6,Sheet1!$B:$B,E$1,Sheet1!$A:$A,$A6)*100,2),"0.00")</f>
        <v>25.9837 ± 34.31</v>
      </c>
      <c r="F6" s="7" t="str">
        <f>TEXT(ROUND(SUMIFS(Sheet1!$H:$H,Sheet1!$C:$C,$C6,Sheet1!$B:$B,F$1,Sheet1!$A:$A,$A6)*100,4),"0.0000") &amp; " ± " &amp; TEXT(ROUND(SUMIFS(Sheet1!$I:$I,Sheet1!$C:$C,$C6,Sheet1!$B:$B,F$1,Sheet1!$A:$A,$A6)*100,2),"0.00")</f>
        <v>26.0558 ± 33.20</v>
      </c>
      <c r="G6" s="19" t="str">
        <f>TEXT(ROUND(SUMIFS(Sheet1!$J:$J,Sheet1!$C:$C,$C6,Sheet1!$B:$B,G$1,Sheet1!$A:$A,$A6)*100,4),"0.0000") &amp; " ± " &amp; TEXT(ROUND(SUMIFS(Sheet1!$K:$K,Sheet1!$C:$C,$C6,Sheet1!$B:$B,G$1,Sheet1!$A:$A,$A6)*100,2),"0.00")</f>
        <v>35.3907 ± 44.50</v>
      </c>
      <c r="H6" s="13" t="str">
        <f>TEXT(ROUND(SUMIFS(Sheet1!$D:$D,Sheet1!$C:$C,$C6,Sheet1!$B:$B,H$1,Sheet1!$A:$A,$A6)*100,4),"0.0000") &amp; " ± " &amp; TEXT(ROUND(SUMIFS(Sheet1!$E:$E,Sheet1!$C:$C,$C6,Sheet1!$B:$B,H$1,Sheet1!$A:$A,$A6)*100,2),"0.00")</f>
        <v>42.6877 ± 16.26</v>
      </c>
      <c r="I6" s="6" t="str">
        <f>TEXT(ROUND(SUMIFS(Sheet1!$F:$F,Sheet1!$C:$C,$C6,Sheet1!$B:$B,I$1,Sheet1!$A:$A,$A6)*100,4),"0.0000") &amp; " ± " &amp; TEXT(ROUND(SUMIFS(Sheet1!$G:$G,Sheet1!$C:$C,$C6,Sheet1!$B:$B,I$1,Sheet1!$A:$A,$A6)*100,2),"0.00")</f>
        <v>34.4897 ± 24.89</v>
      </c>
      <c r="J6" s="6" t="str">
        <f>TEXT(ROUND(SUMIFS(Sheet1!$H:$H,Sheet1!$C:$C,$C6,Sheet1!$B:$B,J$1,Sheet1!$A:$A,$A6)*100,4),"0.0000") &amp; " ± " &amp; TEXT(ROUND(SUMIFS(Sheet1!$I:$I,Sheet1!$C:$C,$C6,Sheet1!$B:$B,J$1,Sheet1!$A:$A,$A6)*100,2),"0.00")</f>
        <v>37.2869 ± 32.76</v>
      </c>
      <c r="K6" s="19" t="str">
        <f>TEXT(ROUND(SUMIFS(Sheet1!$J:$J,Sheet1!$C:$C,$C6,Sheet1!$B:$B,K$1,Sheet1!$A:$A,$A6)*100,4),"0.0000") &amp; " ± " &amp; TEXT(ROUND(SUMIFS(Sheet1!$K:$K,Sheet1!$C:$C,$C6,Sheet1!$B:$B,K$1,Sheet1!$A:$A,$A6)*100,2),"0.00")</f>
        <v>48.3397 ± 32.75</v>
      </c>
      <c r="L6" s="13" t="str">
        <f>TEXT(ROUND(SUMIFS(Sheet1!$D:$D,Sheet1!$C:$C,$C6,Sheet1!$B:$B,L$1,Sheet1!$A:$A,$A6)*100,4),"0.0000") &amp; " ± " &amp; TEXT(ROUND(SUMIFS(Sheet1!$E:$E,Sheet1!$C:$C,$C6,Sheet1!$B:$B,L$1,Sheet1!$A:$A,$A6)*100,2),"0.00")</f>
        <v>53.9257 ± 30.48</v>
      </c>
      <c r="M6" s="7" t="str">
        <f>TEXT(ROUND(SUMIFS(Sheet1!$F:$F,Sheet1!$C:$C,$C6,Sheet1!$B:$B,M$1,Sheet1!$A:$A,$A6)*100,4),"0.0000") &amp; " ± " &amp; TEXT(ROUND(SUMIFS(Sheet1!$G:$G,Sheet1!$C:$C,$C6,Sheet1!$B:$B,M$1,Sheet1!$A:$A,$A6)*100,2),"0.00")</f>
        <v>25.2521 ± 33.91</v>
      </c>
      <c r="N6" s="7" t="str">
        <f>TEXT(ROUND(SUMIFS(Sheet1!$H:$H,Sheet1!$C:$C,$C6,Sheet1!$B:$B,N$1,Sheet1!$A:$A,$A6)*100,4),"0.0000") &amp; " ± " &amp; TEXT(ROUND(SUMIFS(Sheet1!$I:$I,Sheet1!$C:$C,$C6,Sheet1!$B:$B,N$1,Sheet1!$A:$A,$A6)*100,2),"0.00")</f>
        <v>22.9658 ± 31.43</v>
      </c>
      <c r="O6" s="19" t="str">
        <f>TEXT(ROUND(SUMIFS(Sheet1!$J:$J,Sheet1!$C:$C,$C6,Sheet1!$B:$B,O$1,Sheet1!$A:$A,$A6)*100,4),"0.0000") &amp; " ± " &amp; TEXT(ROUND(SUMIFS(Sheet1!$K:$K,Sheet1!$C:$C,$C6,Sheet1!$B:$B,O$1,Sheet1!$A:$A,$A6)*100,2),"0.00")</f>
        <v>34.5665 ± 44.25</v>
      </c>
    </row>
    <row r="7" spans="1:15" ht="15" thickBot="1" x14ac:dyDescent="0.35">
      <c r="A7" s="27" t="s">
        <v>17</v>
      </c>
      <c r="B7" s="40"/>
      <c r="C7" s="21" t="s">
        <v>14</v>
      </c>
      <c r="D7" s="15" t="str">
        <f>TEXT(ROUND(SUMIFS(Sheet1!$D:$D,Sheet1!$C:$C,$C7,Sheet1!$B:$B,D$1,Sheet1!$A:$A,$A7)*100,4),"0.0000") &amp; " ± " &amp; TEXT(ROUND(SUMIFS(Sheet1!$E:$E,Sheet1!$C:$C,$C7,Sheet1!$B:$B,D$1,Sheet1!$A:$A,$A7)*100,2),"0.00")</f>
        <v>52.1485 ± 15.74</v>
      </c>
      <c r="E7" s="16" t="str">
        <f>TEXT(ROUND(SUMIFS(Sheet1!$F:$F,Sheet1!$C:$C,$C7,Sheet1!$B:$B,E$1,Sheet1!$A:$A,$A7)*100,4),"0.0000") &amp; " ± " &amp; TEXT(ROUND(SUMIFS(Sheet1!$G:$G,Sheet1!$C:$C,$C7,Sheet1!$B:$B,E$1,Sheet1!$A:$A,$A7)*100,2),"0.00")</f>
        <v>24.3830 ± 18.92</v>
      </c>
      <c r="F7" s="16" t="str">
        <f>TEXT(ROUND(SUMIFS(Sheet1!$H:$H,Sheet1!$C:$C,$C7,Sheet1!$B:$B,F$1,Sheet1!$A:$A,$A7)*100,4),"0.0000") &amp; " ± " &amp; TEXT(ROUND(SUMIFS(Sheet1!$I:$I,Sheet1!$C:$C,$C7,Sheet1!$B:$B,F$1,Sheet1!$A:$A,$A7)*100,2),"0.00")</f>
        <v>36.1125 ± 33.10</v>
      </c>
      <c r="G7" s="17" t="str">
        <f>TEXT(ROUND(SUMIFS(Sheet1!$J:$J,Sheet1!$C:$C,$C7,Sheet1!$B:$B,G$1,Sheet1!$A:$A,$A7)*100,4),"0.0000") &amp; " ± " &amp; TEXT(ROUND(SUMIFS(Sheet1!$K:$K,Sheet1!$C:$C,$C7,Sheet1!$B:$B,G$1,Sheet1!$A:$A,$A7)*100,2),"0.00")</f>
        <v>25.4019 ± 20.52</v>
      </c>
      <c r="H7" s="15" t="str">
        <f>TEXT(ROUND(SUMIFS(Sheet1!$D:$D,Sheet1!$C:$C,$C7,Sheet1!$B:$B,H$1,Sheet1!$A:$A,$A7)*100,4),"0.0000") &amp; " ± " &amp; TEXT(ROUND(SUMIFS(Sheet1!$E:$E,Sheet1!$C:$C,$C7,Sheet1!$B:$B,H$1,Sheet1!$A:$A,$A7)*100,2),"0.00")</f>
        <v>54.8897 ± 15.37</v>
      </c>
      <c r="I7" s="16" t="str">
        <f>TEXT(ROUND(SUMIFS(Sheet1!$F:$F,Sheet1!$C:$C,$C7,Sheet1!$B:$B,I$1,Sheet1!$A:$A,$A7)*100,4),"0.0000") &amp; " ± " &amp; TEXT(ROUND(SUMIFS(Sheet1!$G:$G,Sheet1!$C:$C,$C7,Sheet1!$B:$B,I$1,Sheet1!$A:$A,$A7)*100,2),"0.00")</f>
        <v>25.2517 ± 17.29</v>
      </c>
      <c r="J7" s="16" t="str">
        <f>TEXT(ROUND(SUMIFS(Sheet1!$H:$H,Sheet1!$C:$C,$C7,Sheet1!$B:$B,J$1,Sheet1!$A:$A,$A7)*100,4),"0.0000") &amp; " ± " &amp; TEXT(ROUND(SUMIFS(Sheet1!$I:$I,Sheet1!$C:$C,$C7,Sheet1!$B:$B,J$1,Sheet1!$A:$A,$A7)*100,2),"0.00")</f>
        <v>37.1785 ± 33.29</v>
      </c>
      <c r="K7" s="17" t="str">
        <f>TEXT(ROUND(SUMIFS(Sheet1!$J:$J,Sheet1!$C:$C,$C7,Sheet1!$B:$B,K$1,Sheet1!$A:$A,$A7)*100,4),"0.0000") &amp; " ± " &amp; TEXT(ROUND(SUMIFS(Sheet1!$K:$K,Sheet1!$C:$C,$C7,Sheet1!$B:$B,K$1,Sheet1!$A:$A,$A7)*100,2),"0.00")</f>
        <v>24.8111 ± 17.54</v>
      </c>
      <c r="L7" s="15" t="str">
        <f>TEXT(ROUND(SUMIFS(Sheet1!$D:$D,Sheet1!$C:$C,$C7,Sheet1!$B:$B,L$1,Sheet1!$A:$A,$A7)*100,4),"0.0000") &amp; " ± " &amp; TEXT(ROUND(SUMIFS(Sheet1!$E:$E,Sheet1!$C:$C,$C7,Sheet1!$B:$B,L$1,Sheet1!$A:$A,$A7)*100,2),"0.00")</f>
        <v>53.6149 ± 16.09</v>
      </c>
      <c r="M7" s="16" t="str">
        <f>TEXT(ROUND(SUMIFS(Sheet1!$F:$F,Sheet1!$C:$C,$C7,Sheet1!$B:$B,M$1,Sheet1!$A:$A,$A7)*100,4),"0.0000") &amp; " ± " &amp; TEXT(ROUND(SUMIFS(Sheet1!$G:$G,Sheet1!$C:$C,$C7,Sheet1!$B:$B,M$1,Sheet1!$A:$A,$A7)*100,2),"0.00")</f>
        <v>25.2294 ± 16.52</v>
      </c>
      <c r="N7" s="25" t="str">
        <f>TEXT(ROUND(SUMIFS(Sheet1!$H:$H,Sheet1!$C:$C,$C7,Sheet1!$B:$B,N$1,Sheet1!$A:$A,$A7)*100,4),"0.0000") &amp; " ± " &amp; TEXT(ROUND(SUMIFS(Sheet1!$I:$I,Sheet1!$C:$C,$C7,Sheet1!$B:$B,N$1,Sheet1!$A:$A,$A7)*100,2),"0.00")</f>
        <v>37.6510 ± 33.07</v>
      </c>
      <c r="O7" s="17" t="str">
        <f>TEXT(ROUND(SUMIFS(Sheet1!$J:$J,Sheet1!$C:$C,$C7,Sheet1!$B:$B,O$1,Sheet1!$A:$A,$A7)*100,4),"0.0000") &amp; " ± " &amp; TEXT(ROUND(SUMIFS(Sheet1!$K:$K,Sheet1!$C:$C,$C7,Sheet1!$B:$B,O$1,Sheet1!$A:$A,$A7)*100,2),"0.00")</f>
        <v>25.9394 ± 16.96</v>
      </c>
    </row>
    <row r="8" spans="1:15" ht="15" thickBot="1" x14ac:dyDescent="0.35">
      <c r="A8" s="27"/>
      <c r="B8" s="1"/>
    </row>
    <row r="9" spans="1:15" x14ac:dyDescent="0.3">
      <c r="A9" s="27"/>
      <c r="B9" s="29" t="s">
        <v>29</v>
      </c>
      <c r="C9" s="22" t="s">
        <v>25</v>
      </c>
      <c r="D9" s="29" t="s">
        <v>26</v>
      </c>
      <c r="E9" s="30"/>
      <c r="F9" s="30"/>
      <c r="G9" s="31"/>
      <c r="H9" s="32" t="s">
        <v>27</v>
      </c>
      <c r="I9" s="33"/>
      <c r="J9" s="33"/>
      <c r="K9" s="34"/>
      <c r="L9" s="32" t="s">
        <v>28</v>
      </c>
      <c r="M9" s="33"/>
      <c r="N9" s="33"/>
      <c r="O9" s="34"/>
    </row>
    <row r="10" spans="1:15" x14ac:dyDescent="0.3">
      <c r="A10" s="27"/>
      <c r="B10" s="37"/>
      <c r="C10" s="23" t="s">
        <v>20</v>
      </c>
      <c r="D10" s="9" t="s">
        <v>21</v>
      </c>
      <c r="E10" s="5" t="s">
        <v>22</v>
      </c>
      <c r="F10" s="5" t="s">
        <v>23</v>
      </c>
      <c r="G10" s="10" t="s">
        <v>24</v>
      </c>
      <c r="H10" s="9" t="s">
        <v>21</v>
      </c>
      <c r="I10" s="5" t="s">
        <v>22</v>
      </c>
      <c r="J10" s="5" t="s">
        <v>23</v>
      </c>
      <c r="K10" s="10" t="s">
        <v>24</v>
      </c>
      <c r="L10" s="9" t="s">
        <v>21</v>
      </c>
      <c r="M10" s="5" t="s">
        <v>22</v>
      </c>
      <c r="N10" s="5" t="s">
        <v>23</v>
      </c>
      <c r="O10" s="10" t="s">
        <v>24</v>
      </c>
    </row>
    <row r="11" spans="1:15" x14ac:dyDescent="0.3">
      <c r="A11" s="27" t="s">
        <v>16</v>
      </c>
      <c r="B11" s="35" t="s">
        <v>31</v>
      </c>
      <c r="C11" s="3" t="s">
        <v>11</v>
      </c>
      <c r="D11" s="18" t="str">
        <f>TEXT(ROUND(SUMIFS(Sheet1!$D:$D,Sheet1!$C:$C,$C11,Sheet1!$B:$B,D$1,Sheet1!$A:$A,$A11)*100,4),"0.0000") &amp; " ± " &amp; TEXT(ROUND(SUMIFS(Sheet1!$E:$E,Sheet1!$C:$C,$C11,Sheet1!$B:$B,D$1,Sheet1!$A:$A,$A11)*100,2),"0.00")</f>
        <v>54.5543 ± 21.07</v>
      </c>
      <c r="E11" s="7" t="str">
        <f>TEXT(ROUND(SUMIFS(Sheet1!$F:$F,Sheet1!$C:$C,$C11,Sheet1!$B:$B,E$1,Sheet1!$A:$A,$A11)*100,4),"0.0000") &amp; " ± " &amp; TEXT(ROUND(SUMIFS(Sheet1!$G:$G,Sheet1!$C:$C,$C11,Sheet1!$B:$B,E$1,Sheet1!$A:$A,$A11)*100,2),"0.00")</f>
        <v>18.6436 ± 21.05</v>
      </c>
      <c r="F11" s="6" t="str">
        <f>TEXT(ROUND(SUMIFS(Sheet1!$H:$H,Sheet1!$C:$C,$C11,Sheet1!$B:$B,F$1,Sheet1!$A:$A,$A11)*100,4),"0.0000") &amp; " ± " &amp; TEXT(ROUND(SUMIFS(Sheet1!$I:$I,Sheet1!$C:$C,$C11,Sheet1!$B:$B,F$1,Sheet1!$A:$A,$A11)*100,2),"0.00")</f>
        <v>31.9380 ± 38.97</v>
      </c>
      <c r="G11" s="14" t="str">
        <f>TEXT(ROUND(SUMIFS(Sheet1!$J:$J,Sheet1!$C:$C,$C11,Sheet1!$B:$B,G$1,Sheet1!$A:$A,$A11)*100,4),"0.0000") &amp; " ± " &amp; TEXT(ROUND(SUMIFS(Sheet1!$K:$K,Sheet1!$C:$C,$C11,Sheet1!$B:$B,G$1,Sheet1!$A:$A,$A11)*100,2),"0.00")</f>
        <v>17.1115 ± 22.59</v>
      </c>
      <c r="H11" s="13" t="str">
        <f>TEXT(ROUND(SUMIFS(Sheet1!$D:$D,Sheet1!$C:$C,$C11,Sheet1!$B:$B,H$1,Sheet1!$A:$A,$A11)*100,4),"0.0000") &amp; " ± " &amp; TEXT(ROUND(SUMIFS(Sheet1!$E:$E,Sheet1!$C:$C,$C11,Sheet1!$B:$B,H$1,Sheet1!$A:$A,$A11)*100,2),"0.00")</f>
        <v>52.4548 ± 22.52</v>
      </c>
      <c r="I11" s="7" t="str">
        <f>TEXT(ROUND(SUMIFS(Sheet1!$F:$F,Sheet1!$C:$C,$C11,Sheet1!$B:$B,I$1,Sheet1!$A:$A,$A11)*100,4),"0.0000") &amp; " ± " &amp; TEXT(ROUND(SUMIFS(Sheet1!$G:$G,Sheet1!$C:$C,$C11,Sheet1!$B:$B,I$1,Sheet1!$A:$A,$A11)*100,2),"0.00")</f>
        <v>21.3780 ± 25.84</v>
      </c>
      <c r="J11" s="7" t="str">
        <f>TEXT(ROUND(SUMIFS(Sheet1!$H:$H,Sheet1!$C:$C,$C11,Sheet1!$B:$B,J$1,Sheet1!$A:$A,$A11)*100,4),"0.0000") &amp; " ± " &amp; TEXT(ROUND(SUMIFS(Sheet1!$I:$I,Sheet1!$C:$C,$C11,Sheet1!$B:$B,J$1,Sheet1!$A:$A,$A11)*100,2),"0.00")</f>
        <v>28.9922 ± 36.07</v>
      </c>
      <c r="K11" s="14" t="str">
        <f>TEXT(ROUND(SUMIFS(Sheet1!$J:$J,Sheet1!$C:$C,$C11,Sheet1!$B:$B,K$1,Sheet1!$A:$A,$A11)*100,4),"0.0000") &amp; " ± " &amp; TEXT(ROUND(SUMIFS(Sheet1!$K:$K,Sheet1!$C:$C,$C11,Sheet1!$B:$B,K$1,Sheet1!$A:$A,$A11)*100,2),"0.00")</f>
        <v>23.9526 ± 33.81</v>
      </c>
      <c r="L11" s="18" t="str">
        <f>TEXT(ROUND(SUMIFS(Sheet1!$D:$D,Sheet1!$C:$C,$C11,Sheet1!$B:$B,L$1,Sheet1!$A:$A,$A11)*100,4),"0.0000") &amp; " ± " &amp; TEXT(ROUND(SUMIFS(Sheet1!$E:$E,Sheet1!$C:$C,$C11,Sheet1!$B:$B,L$1,Sheet1!$A:$A,$A11)*100,2),"0.00")</f>
        <v>55.0388 ± 23.84</v>
      </c>
      <c r="M11" s="6" t="str">
        <f>TEXT(ROUND(SUMIFS(Sheet1!$F:$F,Sheet1!$C:$C,$C11,Sheet1!$B:$B,M$1,Sheet1!$A:$A,$A11)*100,4),"0.0000") &amp; " ± " &amp; TEXT(ROUND(SUMIFS(Sheet1!$G:$G,Sheet1!$C:$C,$C11,Sheet1!$B:$B,M$1,Sheet1!$A:$A,$A11)*100,2),"0.00")</f>
        <v>20.7489 ± 24.47</v>
      </c>
      <c r="N11" s="6" t="str">
        <f>TEXT(ROUND(SUMIFS(Sheet1!$H:$H,Sheet1!$C:$C,$C11,Sheet1!$B:$B,N$1,Sheet1!$A:$A,$A11)*100,4),"0.0000") &amp; " ± " &amp; TEXT(ROUND(SUMIFS(Sheet1!$I:$I,Sheet1!$C:$C,$C11,Sheet1!$B:$B,N$1,Sheet1!$A:$A,$A11)*100,2),"0.00")</f>
        <v>29.5330 ± 37.02</v>
      </c>
      <c r="O11" s="19" t="str">
        <f>TEXT(ROUND(SUMIFS(Sheet1!$J:$J,Sheet1!$C:$C,$C11,Sheet1!$B:$B,O$1,Sheet1!$A:$A,$A11)*100,4),"0.0000") &amp; " ± " &amp; TEXT(ROUND(SUMIFS(Sheet1!$K:$K,Sheet1!$C:$C,$C11,Sheet1!$B:$B,O$1,Sheet1!$A:$A,$A11)*100,2),"0.00")</f>
        <v>25.4439 ± 34.46</v>
      </c>
    </row>
    <row r="12" spans="1:15" x14ac:dyDescent="0.3">
      <c r="A12" s="27" t="s">
        <v>16</v>
      </c>
      <c r="B12" s="35"/>
      <c r="C12" s="20" t="s">
        <v>13</v>
      </c>
      <c r="D12" s="11" t="str">
        <f>TEXT(ROUND(SUMIFS(Sheet1!$D:$D,Sheet1!$C:$C,$C12,Sheet1!$B:$B,D$1,Sheet1!$A:$A,$A12)*100,4),"0.0000") &amp; " ± " &amp; TEXT(ROUND(SUMIFS(Sheet1!$E:$E,Sheet1!$C:$C,$C12,Sheet1!$B:$B,D$1,Sheet1!$A:$A,$A12)*100,2),"0.00")</f>
        <v>49.3863 ± 24.31</v>
      </c>
      <c r="E12" s="8" t="str">
        <f>TEXT(ROUND(SUMIFS(Sheet1!$F:$F,Sheet1!$C:$C,$C12,Sheet1!$B:$B,E$1,Sheet1!$A:$A,$A12)*100,4),"0.0000") &amp; " ± " &amp; TEXT(ROUND(SUMIFS(Sheet1!$G:$G,Sheet1!$C:$C,$C12,Sheet1!$B:$B,E$1,Sheet1!$A:$A,$A12)*100,2),"0.00")</f>
        <v>13.5250 ± 20.07</v>
      </c>
      <c r="F12" s="8" t="str">
        <f>TEXT(ROUND(SUMIFS(Sheet1!$H:$H,Sheet1!$C:$C,$C12,Sheet1!$B:$B,F$1,Sheet1!$A:$A,$A12)*100,4),"0.0000") &amp; " ± " &amp; TEXT(ROUND(SUMIFS(Sheet1!$I:$I,Sheet1!$C:$C,$C12,Sheet1!$B:$B,F$1,Sheet1!$A:$A,$A12)*100,2),"0.00")</f>
        <v>20.1772 ± 33.59</v>
      </c>
      <c r="G12" s="12" t="str">
        <f>TEXT(ROUND(SUMIFS(Sheet1!$J:$J,Sheet1!$C:$C,$C12,Sheet1!$B:$B,G$1,Sheet1!$A:$A,$A12)*100,4),"0.0000") &amp; " ± " &amp; TEXT(ROUND(SUMIFS(Sheet1!$K:$K,Sheet1!$C:$C,$C12,Sheet1!$B:$B,G$1,Sheet1!$A:$A,$A12)*100,2),"0.00")</f>
        <v>15.3618 ± 26.43</v>
      </c>
      <c r="H12" s="11" t="str">
        <f>TEXT(ROUND(SUMIFS(Sheet1!$D:$D,Sheet1!$C:$C,$C12,Sheet1!$B:$B,H$1,Sheet1!$A:$A,$A12)*100,4),"0.0000") &amp; " ± " &amp; TEXT(ROUND(SUMIFS(Sheet1!$E:$E,Sheet1!$C:$C,$C12,Sheet1!$B:$B,H$1,Sheet1!$A:$A,$A12)*100,2),"0.00")</f>
        <v>50.6460 ± 27.04</v>
      </c>
      <c r="I12" s="8" t="str">
        <f>TEXT(ROUND(SUMIFS(Sheet1!$F:$F,Sheet1!$C:$C,$C12,Sheet1!$B:$B,I$1,Sheet1!$A:$A,$A12)*100,4),"0.0000") &amp; " ± " &amp; TEXT(ROUND(SUMIFS(Sheet1!$G:$G,Sheet1!$C:$C,$C12,Sheet1!$B:$B,I$1,Sheet1!$A:$A,$A12)*100,2),"0.00")</f>
        <v>13.8803 ± 22.00</v>
      </c>
      <c r="J12" s="8" t="str">
        <f>TEXT(ROUND(SUMIFS(Sheet1!$H:$H,Sheet1!$C:$C,$C12,Sheet1!$B:$B,J$1,Sheet1!$A:$A,$A12)*100,4),"0.0000") &amp; " ± " &amp; TEXT(ROUND(SUMIFS(Sheet1!$I:$I,Sheet1!$C:$C,$C12,Sheet1!$B:$B,J$1,Sheet1!$A:$A,$A12)*100,2),"0.00")</f>
        <v>15.9690 ± 27.43</v>
      </c>
      <c r="K12" s="12" t="str">
        <f>TEXT(ROUND(SUMIFS(Sheet1!$J:$J,Sheet1!$C:$C,$C12,Sheet1!$B:$B,K$1,Sheet1!$A:$A,$A12)*100,4),"0.0000") &amp; " ± " &amp; TEXT(ROUND(SUMIFS(Sheet1!$K:$K,Sheet1!$C:$C,$C12,Sheet1!$B:$B,K$1,Sheet1!$A:$A,$A12)*100,2),"0.00")</f>
        <v>17.5581 ± 30.41</v>
      </c>
      <c r="L12" s="11" t="str">
        <f>TEXT(ROUND(SUMIFS(Sheet1!$D:$D,Sheet1!$C:$C,$C12,Sheet1!$B:$B,L$1,Sheet1!$A:$A,$A12)*100,4),"0.0000") &amp; " ± " &amp; TEXT(ROUND(SUMIFS(Sheet1!$E:$E,Sheet1!$C:$C,$C12,Sheet1!$B:$B,L$1,Sheet1!$A:$A,$A12)*100,2),"0.00")</f>
        <v>52.7132 ± 26.80</v>
      </c>
      <c r="M12" s="8" t="str">
        <f>TEXT(ROUND(SUMIFS(Sheet1!$F:$F,Sheet1!$C:$C,$C12,Sheet1!$B:$B,M$1,Sheet1!$A:$A,$A12)*100,4),"0.0000") &amp; " ± " &amp; TEXT(ROUND(SUMIFS(Sheet1!$G:$G,Sheet1!$C:$C,$C12,Sheet1!$B:$B,M$1,Sheet1!$A:$A,$A12)*100,2),"0.00")</f>
        <v>13.7015 ± 22.95</v>
      </c>
      <c r="N12" s="8" t="str">
        <f>TEXT(ROUND(SUMIFS(Sheet1!$H:$H,Sheet1!$C:$C,$C12,Sheet1!$B:$B,N$1,Sheet1!$A:$A,$A12)*100,4),"0.0000") &amp; " ± " &amp; TEXT(ROUND(SUMIFS(Sheet1!$I:$I,Sheet1!$C:$C,$C12,Sheet1!$B:$B,N$1,Sheet1!$A:$A,$A12)*100,2),"0.00")</f>
        <v>18.0454 ± 31.08</v>
      </c>
      <c r="O12" s="12" t="str">
        <f>TEXT(ROUND(SUMIFS(Sheet1!$J:$J,Sheet1!$C:$C,$C12,Sheet1!$B:$B,O$1,Sheet1!$A:$A,$A12)*100,4),"0.0000") &amp; " ± " &amp; TEXT(ROUND(SUMIFS(Sheet1!$K:$K,Sheet1!$C:$C,$C12,Sheet1!$B:$B,O$1,Sheet1!$A:$A,$A12)*100,2),"0.00")</f>
        <v>16.8051 ± 30.96</v>
      </c>
    </row>
    <row r="13" spans="1:15" x14ac:dyDescent="0.3">
      <c r="A13" s="27" t="s">
        <v>16</v>
      </c>
      <c r="B13" s="35"/>
      <c r="C13" s="3" t="s">
        <v>12</v>
      </c>
      <c r="D13" s="13" t="str">
        <f>TEXT(ROUND(SUMIFS(Sheet1!$D:$D,Sheet1!$C:$C,$C13,Sheet1!$B:$B,D$1,Sheet1!$A:$A,$A13)*100,4),"0.0000") &amp; " ± " &amp; TEXT(ROUND(SUMIFS(Sheet1!$E:$E,Sheet1!$C:$C,$C13,Sheet1!$B:$B,D$1,Sheet1!$A:$A,$A13)*100,2),"0.00")</f>
        <v>46.3501 ± 23.30</v>
      </c>
      <c r="E13" s="6" t="str">
        <f>TEXT(ROUND(SUMIFS(Sheet1!$F:$F,Sheet1!$C:$C,$C13,Sheet1!$B:$B,E$1,Sheet1!$A:$A,$A13)*100,4),"0.0000") &amp; " ± " &amp; TEXT(ROUND(SUMIFS(Sheet1!$G:$G,Sheet1!$C:$C,$C13,Sheet1!$B:$B,E$1,Sheet1!$A:$A,$A13)*100,2),"0.00")</f>
        <v>24.3187 ± 27.48</v>
      </c>
      <c r="F13" s="7" t="str">
        <f>TEXT(ROUND(SUMIFS(Sheet1!$H:$H,Sheet1!$C:$C,$C13,Sheet1!$B:$B,F$1,Sheet1!$A:$A,$A13)*100,4),"0.0000") &amp; " ± " &amp; TEXT(ROUND(SUMIFS(Sheet1!$I:$I,Sheet1!$C:$C,$C13,Sheet1!$B:$B,F$1,Sheet1!$A:$A,$A13)*100,2),"0.00")</f>
        <v>30.4134 ± 37.62</v>
      </c>
      <c r="G13" s="19" t="str">
        <f>TEXT(ROUND(SUMIFS(Sheet1!$J:$J,Sheet1!$C:$C,$C13,Sheet1!$B:$B,G$1,Sheet1!$A:$A,$A13)*100,4),"0.0000") &amp; " ± " &amp; TEXT(ROUND(SUMIFS(Sheet1!$K:$K,Sheet1!$C:$C,$C13,Sheet1!$B:$B,G$1,Sheet1!$A:$A,$A13)*100,2),"0.00")</f>
        <v>29.0882 ± 35.92</v>
      </c>
      <c r="H13" s="13" t="str">
        <f>TEXT(ROUND(SUMIFS(Sheet1!$D:$D,Sheet1!$C:$C,$C13,Sheet1!$B:$B,H$1,Sheet1!$A:$A,$A13)*100,4),"0.0000") &amp; " ± " &amp; TEXT(ROUND(SUMIFS(Sheet1!$E:$E,Sheet1!$C:$C,$C13,Sheet1!$B:$B,H$1,Sheet1!$A:$A,$A13)*100,2),"0.00")</f>
        <v>39.5349 ± 21.74</v>
      </c>
      <c r="I13" s="6" t="str">
        <f>TEXT(ROUND(SUMIFS(Sheet1!$F:$F,Sheet1!$C:$C,$C13,Sheet1!$B:$B,I$1,Sheet1!$A:$A,$A13)*100,4),"0.0000") &amp; " ± " &amp; TEXT(ROUND(SUMIFS(Sheet1!$G:$G,Sheet1!$C:$C,$C13,Sheet1!$B:$B,I$1,Sheet1!$A:$A,$A13)*100,2),"0.00")</f>
        <v>23.6351 ± 24.68</v>
      </c>
      <c r="J13" s="7" t="str">
        <f>TEXT(ROUND(SUMIFS(Sheet1!$H:$H,Sheet1!$C:$C,$C13,Sheet1!$B:$B,J$1,Sheet1!$A:$A,$A13)*100,4),"0.0000") &amp; " ± " &amp; TEXT(ROUND(SUMIFS(Sheet1!$I:$I,Sheet1!$C:$C,$C13,Sheet1!$B:$B,J$1,Sheet1!$A:$A,$A13)*100,2),"0.00")</f>
        <v>27.8904 ± 31.98</v>
      </c>
      <c r="K13" s="19" t="str">
        <f>TEXT(ROUND(SUMIFS(Sheet1!$J:$J,Sheet1!$C:$C,$C13,Sheet1!$B:$B,K$1,Sheet1!$A:$A,$A13)*100,4),"0.0000") &amp; " ± " &amp; TEXT(ROUND(SUMIFS(Sheet1!$K:$K,Sheet1!$C:$C,$C13,Sheet1!$B:$B,K$1,Sheet1!$A:$A,$A13)*100,2),"0.00")</f>
        <v>31.4793 ± 35.49</v>
      </c>
      <c r="L13" s="13" t="str">
        <f>TEXT(ROUND(SUMIFS(Sheet1!$D:$D,Sheet1!$C:$C,$C13,Sheet1!$B:$B,L$1,Sheet1!$A:$A,$A13)*100,4),"0.0000") &amp; " ± " &amp; TEXT(ROUND(SUMIFS(Sheet1!$E:$E,Sheet1!$C:$C,$C13,Sheet1!$B:$B,L$1,Sheet1!$A:$A,$A13)*100,2),"0.00")</f>
        <v>44.9612 ± 23.59</v>
      </c>
      <c r="M13" s="7" t="str">
        <f>TEXT(ROUND(SUMIFS(Sheet1!$F:$F,Sheet1!$C:$C,$C13,Sheet1!$B:$B,M$1,Sheet1!$A:$A,$A13)*100,4),"0.0000") &amp; " ± " &amp; TEXT(ROUND(SUMIFS(Sheet1!$G:$G,Sheet1!$C:$C,$C13,Sheet1!$B:$B,M$1,Sheet1!$A:$A,$A13)*100,2),"0.00")</f>
        <v>20.0456 ± 25.79</v>
      </c>
      <c r="N13" s="7" t="str">
        <f>TEXT(ROUND(SUMIFS(Sheet1!$H:$H,Sheet1!$C:$C,$C13,Sheet1!$B:$B,N$1,Sheet1!$A:$A,$A13)*100,4),"0.0000") &amp; " ± " &amp; TEXT(ROUND(SUMIFS(Sheet1!$I:$I,Sheet1!$C:$C,$C13,Sheet1!$B:$B,N$1,Sheet1!$A:$A,$A13)*100,2),"0.00")</f>
        <v>25.3036 ± 35.11</v>
      </c>
      <c r="O13" s="14" t="str">
        <f>TEXT(ROUND(SUMIFS(Sheet1!$J:$J,Sheet1!$C:$C,$C13,Sheet1!$B:$B,O$1,Sheet1!$A:$A,$A13)*100,4),"0.0000") &amp; " ± " &amp; TEXT(ROUND(SUMIFS(Sheet1!$K:$K,Sheet1!$C:$C,$C13,Sheet1!$B:$B,O$1,Sheet1!$A:$A,$A13)*100,2),"0.00")</f>
        <v>24.0818 ± 33.31</v>
      </c>
    </row>
    <row r="14" spans="1:15" ht="15" thickBot="1" x14ac:dyDescent="0.35">
      <c r="A14" s="27" t="s">
        <v>16</v>
      </c>
      <c r="B14" s="36"/>
      <c r="C14" s="21" t="s">
        <v>14</v>
      </c>
      <c r="D14" s="15" t="str">
        <f>TEXT(ROUND(SUMIFS(Sheet1!$D:$D,Sheet1!$C:$C,$C14,Sheet1!$B:$B,D$1,Sheet1!$A:$A,$A14)*100,4),"0.0000") &amp; " ± " &amp; TEXT(ROUND(SUMIFS(Sheet1!$E:$E,Sheet1!$C:$C,$C14,Sheet1!$B:$B,D$1,Sheet1!$A:$A,$A14)*100,2),"0.00")</f>
        <v>45.5426 ± 21.07</v>
      </c>
      <c r="E14" s="16" t="str">
        <f>TEXT(ROUND(SUMIFS(Sheet1!$F:$F,Sheet1!$C:$C,$C14,Sheet1!$B:$B,E$1,Sheet1!$A:$A,$A14)*100,4),"0.0000") &amp; " ± " &amp; TEXT(ROUND(SUMIFS(Sheet1!$G:$G,Sheet1!$C:$C,$C14,Sheet1!$B:$B,E$1,Sheet1!$A:$A,$A14)*100,2),"0.00")</f>
        <v>16.3930 ± 19.49</v>
      </c>
      <c r="F14" s="16" t="str">
        <f>TEXT(ROUND(SUMIFS(Sheet1!$H:$H,Sheet1!$C:$C,$C14,Sheet1!$B:$B,F$1,Sheet1!$A:$A,$A14)*100,4),"0.0000") &amp; " ± " &amp; TEXT(ROUND(SUMIFS(Sheet1!$I:$I,Sheet1!$C:$C,$C14,Sheet1!$B:$B,F$1,Sheet1!$A:$A,$A14)*100,2),"0.00")</f>
        <v>24.6770 ± 34.08</v>
      </c>
      <c r="G14" s="17" t="str">
        <f>TEXT(ROUND(SUMIFS(Sheet1!$J:$J,Sheet1!$C:$C,$C14,Sheet1!$B:$B,G$1,Sheet1!$A:$A,$A14)*100,4),"0.0000") &amp; " ± " &amp; TEXT(ROUND(SUMIFS(Sheet1!$K:$K,Sheet1!$C:$C,$C14,Sheet1!$B:$B,G$1,Sheet1!$A:$A,$A14)*100,2),"0.00")</f>
        <v>18.0805 ± 25.12</v>
      </c>
      <c r="H14" s="24" t="str">
        <f>TEXT(ROUND(SUMIFS(Sheet1!$D:$D,Sheet1!$C:$C,$C14,Sheet1!$B:$B,H$1,Sheet1!$A:$A,$A14)*100,4),"0.0000") &amp; " ± " &amp; TEXT(ROUND(SUMIFS(Sheet1!$E:$E,Sheet1!$C:$C,$C14,Sheet1!$B:$B,H$1,Sheet1!$A:$A,$A14)*100,2),"0.00")</f>
        <v>54.5220 ± 22.71</v>
      </c>
      <c r="I14" s="16" t="str">
        <f>TEXT(ROUND(SUMIFS(Sheet1!$F:$F,Sheet1!$C:$C,$C14,Sheet1!$B:$B,I$1,Sheet1!$A:$A,$A14)*100,4),"0.0000") &amp; " ± " &amp; TEXT(ROUND(SUMIFS(Sheet1!$G:$G,Sheet1!$C:$C,$C14,Sheet1!$B:$B,I$1,Sheet1!$A:$A,$A14)*100,2),"0.00")</f>
        <v>23.3936 ± 26.08</v>
      </c>
      <c r="J14" s="25" t="str">
        <f>TEXT(ROUND(SUMIFS(Sheet1!$H:$H,Sheet1!$C:$C,$C14,Sheet1!$B:$B,J$1,Sheet1!$A:$A,$A14)*100,4),"0.0000") &amp; " ± " &amp; TEXT(ROUND(SUMIFS(Sheet1!$I:$I,Sheet1!$C:$C,$C14,Sheet1!$B:$B,J$1,Sheet1!$A:$A,$A14)*100,2),"0.00")</f>
        <v>34.2636 ± 39.35</v>
      </c>
      <c r="K14" s="17" t="str">
        <f>TEXT(ROUND(SUMIFS(Sheet1!$J:$J,Sheet1!$C:$C,$C14,Sheet1!$B:$B,K$1,Sheet1!$A:$A,$A14)*100,4),"0.0000") &amp; " ± " &amp; TEXT(ROUND(SUMIFS(Sheet1!$K:$K,Sheet1!$C:$C,$C14,Sheet1!$B:$B,K$1,Sheet1!$A:$A,$A14)*100,2),"0.00")</f>
        <v>25.5962 ± 33.76</v>
      </c>
      <c r="L14" s="15" t="str">
        <f>TEXT(ROUND(SUMIFS(Sheet1!$D:$D,Sheet1!$C:$C,$C14,Sheet1!$B:$B,L$1,Sheet1!$A:$A,$A14)*100,4),"0.0000") &amp; " ± " &amp; TEXT(ROUND(SUMIFS(Sheet1!$E:$E,Sheet1!$C:$C,$C14,Sheet1!$B:$B,L$1,Sheet1!$A:$A,$A14)*100,2),"0.00")</f>
        <v>50.6460 ± 22.90</v>
      </c>
      <c r="M14" s="16" t="str">
        <f>TEXT(ROUND(SUMIFS(Sheet1!$F:$F,Sheet1!$C:$C,$C14,Sheet1!$B:$B,M$1,Sheet1!$A:$A,$A14)*100,4),"0.0000") &amp; " ± " &amp; TEXT(ROUND(SUMIFS(Sheet1!$G:$G,Sheet1!$C:$C,$C14,Sheet1!$B:$B,M$1,Sheet1!$A:$A,$A14)*100,2),"0.00")</f>
        <v>20.6126 ± 22.72</v>
      </c>
      <c r="N14" s="16" t="str">
        <f>TEXT(ROUND(SUMIFS(Sheet1!$H:$H,Sheet1!$C:$C,$C14,Sheet1!$B:$B,N$1,Sheet1!$A:$A,$A14)*100,4),"0.0000") &amp; " ± " &amp; TEXT(ROUND(SUMIFS(Sheet1!$I:$I,Sheet1!$C:$C,$C14,Sheet1!$B:$B,N$1,Sheet1!$A:$A,$A14)*100,2),"0.00")</f>
        <v>26.0908 ± 32.89</v>
      </c>
      <c r="O14" s="17" t="str">
        <f>TEXT(ROUND(SUMIFS(Sheet1!$J:$J,Sheet1!$C:$C,$C14,Sheet1!$B:$B,O$1,Sheet1!$A:$A,$A14)*100,4),"0.0000") &amp; " ± " &amp; TEXT(ROUND(SUMIFS(Sheet1!$K:$K,Sheet1!$C:$C,$C14,Sheet1!$B:$B,O$1,Sheet1!$A:$A,$A14)*100,2),"0.00")</f>
        <v>24.6558 ± 31.85</v>
      </c>
    </row>
  </sheetData>
  <mergeCells count="10">
    <mergeCell ref="D2:G2"/>
    <mergeCell ref="H2:K2"/>
    <mergeCell ref="L2:O2"/>
    <mergeCell ref="B4:B7"/>
    <mergeCell ref="B11:B14"/>
    <mergeCell ref="B2:B3"/>
    <mergeCell ref="B9:B10"/>
    <mergeCell ref="D9:G9"/>
    <mergeCell ref="H9:K9"/>
    <mergeCell ref="L9:O9"/>
  </mergeCells>
  <conditionalFormatting sqref="D4:O7 D11:G1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:K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:O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Hanifi</dc:creator>
  <cp:lastModifiedBy>Nikoo Amjadi</cp:lastModifiedBy>
  <dcterms:created xsi:type="dcterms:W3CDTF">2026-06-07T13:23:22Z</dcterms:created>
  <dcterms:modified xsi:type="dcterms:W3CDTF">2026-06-11T06:59:14Z</dcterms:modified>
</cp:coreProperties>
</file>