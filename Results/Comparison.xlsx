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koo\Desktop\Thesis\Source\"/>
    </mc:Choice>
  </mc:AlternateContent>
  <xr:revisionPtr revIDLastSave="0" documentId="13_ncr:1_{BB3A8288-FD37-490F-B4C5-C95FB82C014B}" xr6:coauthVersionLast="47" xr6:coauthVersionMax="47" xr10:uidLastSave="{00000000-0000-0000-0000-000000000000}"/>
  <bookViews>
    <workbookView xWindow="-108" yWindow="-108" windowWidth="23256" windowHeight="12456" activeTab="1" xr2:uid="{8D592C9F-CC51-43DD-B2E3-0BF015735963}"/>
  </bookViews>
  <sheets>
    <sheet name="Sheet1" sheetId="1" r:id="rId1"/>
    <sheet name="Sheet2" sheetId="2" r:id="rId2"/>
  </sheets>
  <definedNames>
    <definedName name="_xlnm._FilterDatabase" localSheetId="0" hidden="1">Sheet1!$A$1:$K$17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O7" i="2"/>
  <c r="N7" i="2"/>
  <c r="M7" i="2"/>
  <c r="L7" i="2"/>
  <c r="O6" i="2"/>
  <c r="N6" i="2"/>
  <c r="M6" i="2"/>
  <c r="L6" i="2"/>
  <c r="O5" i="2"/>
  <c r="N5" i="2"/>
  <c r="M5" i="2"/>
  <c r="L5" i="2"/>
  <c r="O4" i="2"/>
  <c r="N4" i="2"/>
  <c r="M4" i="2"/>
  <c r="L4" i="2"/>
  <c r="K7" i="2"/>
  <c r="J7" i="2"/>
  <c r="I7" i="2"/>
  <c r="H7" i="2"/>
  <c r="K6" i="2"/>
  <c r="J6" i="2"/>
  <c r="I6" i="2"/>
  <c r="H6" i="2"/>
  <c r="K5" i="2"/>
  <c r="J5" i="2"/>
  <c r="I5" i="2"/>
  <c r="H5" i="2"/>
  <c r="K4" i="2"/>
  <c r="J4" i="2"/>
  <c r="I4" i="2"/>
  <c r="H4" i="2"/>
  <c r="D4" i="2"/>
  <c r="G7" i="2"/>
  <c r="F7" i="2"/>
  <c r="E7" i="2"/>
  <c r="D7" i="2"/>
  <c r="G6" i="2"/>
  <c r="F6" i="2"/>
  <c r="E6" i="2"/>
  <c r="D6" i="2"/>
  <c r="G5" i="2"/>
  <c r="F5" i="2"/>
  <c r="E5" i="2"/>
  <c r="G4" i="2"/>
  <c r="F4" i="2"/>
  <c r="E4" i="2"/>
</calcChain>
</file>

<file path=xl/sharedStrings.xml><?xml version="1.0" encoding="utf-8"?>
<sst xmlns="http://schemas.openxmlformats.org/spreadsheetml/2006/main" count="86" uniqueCount="30">
  <si>
    <t>Model</t>
  </si>
  <si>
    <t>Acc_mean</t>
  </si>
  <si>
    <t>Acc_std</t>
  </si>
  <si>
    <t>F1_mean</t>
  </si>
  <si>
    <t>F1_std</t>
  </si>
  <si>
    <t>Prec_mean</t>
  </si>
  <si>
    <t>Prec_std</t>
  </si>
  <si>
    <t>Rec_mean</t>
  </si>
  <si>
    <t>Rec_std</t>
  </si>
  <si>
    <t>Run Type</t>
  </si>
  <si>
    <t>Data Type</t>
  </si>
  <si>
    <t>SVM</t>
  </si>
  <si>
    <t>XGBoost</t>
  </si>
  <si>
    <t>Random Forest</t>
  </si>
  <si>
    <t>KNN</t>
  </si>
  <si>
    <t>Raw</t>
  </si>
  <si>
    <t>Agg</t>
  </si>
  <si>
    <t>Raw + VG</t>
  </si>
  <si>
    <t>VG</t>
  </si>
  <si>
    <t>Model Name</t>
  </si>
  <si>
    <t>Accuracy (±std)</t>
  </si>
  <si>
    <t>F1 Score (±std)</t>
  </si>
  <si>
    <t>Precision (±std)</t>
  </si>
  <si>
    <t>Recall (±std)</t>
  </si>
  <si>
    <t>Input Mode</t>
  </si>
  <si>
    <t>Raw Features</t>
  </si>
  <si>
    <t>Visibility Graph Features</t>
  </si>
  <si>
    <t>Raw + Visibility Graph Features</t>
  </si>
  <si>
    <t>Run Mode</t>
  </si>
  <si>
    <t>Aggregated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</si>
</sst>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3" borderId="9" xfId="0" applyFill="1" applyBorder="1"/>
    <xf numFmtId="0" fontId="0" fillId="3" borderId="7" xfId="0" applyFill="1" applyBorder="1"/>
    <xf numFmtId="0" fontId="0" fillId="2" borderId="4" xfId="0" applyFill="1" applyBorder="1"/>
    <xf numFmtId="0" fontId="0" fillId="2" borderId="9" xfId="0" applyFill="1" applyBorder="1"/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60A1F-9449-4A91-8C37-2E569624DE33}">
  <dimension ref="A1:K13"/>
  <sheetViews>
    <sheetView workbookViewId="0">
      <selection activeCell="B7" sqref="B7"/>
    </sheetView>
  </sheetViews>
  <sheetFormatPr defaultRowHeight="14.4" x14ac:dyDescent="0.3"/>
  <cols>
    <col min="1" max="1" width="8.88671875" bestFit="1" customWidth="1"/>
    <col min="2" max="2" width="9.5546875" bestFit="1" customWidth="1"/>
    <col min="3" max="3" width="14.44140625" bestFit="1" customWidth="1"/>
    <col min="4" max="6" width="12" bestFit="1" customWidth="1"/>
    <col min="7" max="7" width="12" customWidth="1"/>
    <col min="8" max="11" width="12" bestFit="1" customWidth="1"/>
  </cols>
  <sheetData>
    <row r="1" spans="1:11" x14ac:dyDescent="0.3">
      <c r="A1" s="2" t="s">
        <v>9</v>
      </c>
      <c r="B1" s="2" t="s">
        <v>10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 x14ac:dyDescent="0.3">
      <c r="A2" s="2" t="s">
        <v>16</v>
      </c>
      <c r="B2" s="2" t="s">
        <v>15</v>
      </c>
      <c r="C2" t="s">
        <v>12</v>
      </c>
      <c r="D2">
        <v>0.55749354005167895</v>
      </c>
      <c r="E2">
        <v>0.15348326060099099</v>
      </c>
      <c r="F2">
        <v>0.633120368004089</v>
      </c>
      <c r="G2">
        <v>0.15377250914937199</v>
      </c>
      <c r="H2">
        <v>0.52490771502399403</v>
      </c>
      <c r="I2">
        <v>0.16668560240673699</v>
      </c>
      <c r="J2">
        <v>0.86057585825027605</v>
      </c>
      <c r="K2">
        <v>0.17675025732223501</v>
      </c>
    </row>
    <row r="3" spans="1:11" x14ac:dyDescent="0.3">
      <c r="A3" s="2" t="s">
        <v>16</v>
      </c>
      <c r="B3" s="2" t="s">
        <v>15</v>
      </c>
      <c r="C3" t="s">
        <v>13</v>
      </c>
      <c r="D3">
        <v>0.56524547803617498</v>
      </c>
      <c r="E3">
        <v>0.157805312148043</v>
      </c>
      <c r="F3">
        <v>0.51837852070410195</v>
      </c>
      <c r="G3">
        <v>0.21897253334531999</v>
      </c>
      <c r="H3">
        <v>0.524750830564784</v>
      </c>
      <c r="I3">
        <v>0.23180912179789501</v>
      </c>
      <c r="J3">
        <v>0.58903654485049795</v>
      </c>
      <c r="K3">
        <v>0.30886126361202598</v>
      </c>
    </row>
    <row r="4" spans="1:11" x14ac:dyDescent="0.3">
      <c r="A4" s="2" t="s">
        <v>16</v>
      </c>
      <c r="B4" s="2" t="s">
        <v>15</v>
      </c>
      <c r="C4" t="s">
        <v>14</v>
      </c>
      <c r="D4">
        <v>0.44573643410852698</v>
      </c>
      <c r="E4">
        <v>0.144020632520451</v>
      </c>
      <c r="F4">
        <v>0.457372730628544</v>
      </c>
      <c r="G4">
        <v>0.17671043523787699</v>
      </c>
      <c r="H4">
        <v>0.41925987449243202</v>
      </c>
      <c r="I4">
        <v>0.16986342000034901</v>
      </c>
      <c r="J4">
        <v>0.56589147286821695</v>
      </c>
      <c r="K4">
        <v>0.26108384429446602</v>
      </c>
    </row>
    <row r="5" spans="1:11" x14ac:dyDescent="0.3">
      <c r="A5" s="2" t="s">
        <v>16</v>
      </c>
      <c r="B5" s="2" t="s">
        <v>15</v>
      </c>
      <c r="C5" t="s">
        <v>11</v>
      </c>
      <c r="D5">
        <v>0.51227390180878496</v>
      </c>
      <c r="E5">
        <v>0.16343796917110201</v>
      </c>
      <c r="F5">
        <v>0.43721433605154503</v>
      </c>
      <c r="G5">
        <v>0.21692111966841199</v>
      </c>
      <c r="H5">
        <v>0.484274640088593</v>
      </c>
      <c r="I5">
        <v>0.289640857037127</v>
      </c>
      <c r="J5">
        <v>0.46788482834994399</v>
      </c>
      <c r="K5">
        <v>0.267991474667366</v>
      </c>
    </row>
    <row r="6" spans="1:11" x14ac:dyDescent="0.3">
      <c r="A6" s="2" t="s">
        <v>16</v>
      </c>
      <c r="B6" s="2" t="s">
        <v>17</v>
      </c>
      <c r="C6" t="s">
        <v>12</v>
      </c>
      <c r="D6">
        <v>0.56007751937984496</v>
      </c>
      <c r="E6">
        <v>0.16339711095498999</v>
      </c>
      <c r="F6">
        <v>0.62272985412520299</v>
      </c>
      <c r="G6">
        <v>0.18710077850829199</v>
      </c>
      <c r="H6">
        <v>0.52248984865263903</v>
      </c>
      <c r="I6">
        <v>0.18390591881927101</v>
      </c>
      <c r="J6">
        <v>0.83189368770764105</v>
      </c>
      <c r="K6">
        <v>0.247371425901838</v>
      </c>
    </row>
    <row r="7" spans="1:11" x14ac:dyDescent="0.3">
      <c r="A7" s="2" t="s">
        <v>16</v>
      </c>
      <c r="B7" s="2" t="s">
        <v>17</v>
      </c>
      <c r="C7" t="s">
        <v>13</v>
      </c>
      <c r="D7">
        <v>0.52131782945736405</v>
      </c>
      <c r="E7">
        <v>0.17443535186131501</v>
      </c>
      <c r="F7">
        <v>0.43456491828584798</v>
      </c>
      <c r="G7">
        <v>0.242920266636416</v>
      </c>
      <c r="H7">
        <v>0.46484865263934999</v>
      </c>
      <c r="I7">
        <v>0.29316204016411401</v>
      </c>
      <c r="J7">
        <v>0.480121816168327</v>
      </c>
      <c r="K7">
        <v>0.30601421298699899</v>
      </c>
    </row>
    <row r="8" spans="1:11" x14ac:dyDescent="0.3">
      <c r="A8" s="2" t="s">
        <v>16</v>
      </c>
      <c r="B8" s="2" t="s">
        <v>17</v>
      </c>
      <c r="C8" t="s">
        <v>14</v>
      </c>
      <c r="D8">
        <v>0.46091731266149799</v>
      </c>
      <c r="E8">
        <v>0.18749714836460701</v>
      </c>
      <c r="F8">
        <v>0.43192053424611498</v>
      </c>
      <c r="G8">
        <v>0.21289700431233999</v>
      </c>
      <c r="H8">
        <v>0.43169988925802799</v>
      </c>
      <c r="I8">
        <v>0.23655927930680301</v>
      </c>
      <c r="J8">
        <v>0.48964562569213699</v>
      </c>
      <c r="K8">
        <v>0.25908269364331399</v>
      </c>
    </row>
    <row r="9" spans="1:11" x14ac:dyDescent="0.3">
      <c r="A9" s="2" t="s">
        <v>16</v>
      </c>
      <c r="B9" s="2" t="s">
        <v>17</v>
      </c>
      <c r="C9" t="s">
        <v>11</v>
      </c>
      <c r="D9">
        <v>0.44864341085271298</v>
      </c>
      <c r="E9">
        <v>0.184513245718608</v>
      </c>
      <c r="F9">
        <v>0.36692842041679202</v>
      </c>
      <c r="G9">
        <v>0.23346928268556499</v>
      </c>
      <c r="H9">
        <v>0.38433001107419701</v>
      </c>
      <c r="I9">
        <v>0.27197080272274599</v>
      </c>
      <c r="J9">
        <v>0.396400885935769</v>
      </c>
      <c r="K9">
        <v>0.27895538753580901</v>
      </c>
    </row>
    <row r="10" spans="1:11" x14ac:dyDescent="0.3">
      <c r="A10" s="2" t="s">
        <v>16</v>
      </c>
      <c r="B10" s="2" t="s">
        <v>18</v>
      </c>
      <c r="C10" t="s">
        <v>12</v>
      </c>
      <c r="D10">
        <v>0.51550387596899205</v>
      </c>
      <c r="E10">
        <v>0.17251811765168401</v>
      </c>
      <c r="F10">
        <v>0.59471665285618702</v>
      </c>
      <c r="G10">
        <v>0.18753211096234301</v>
      </c>
      <c r="H10">
        <v>0.49889258028792899</v>
      </c>
      <c r="I10">
        <v>0.20636506381518299</v>
      </c>
      <c r="J10">
        <v>0.80404208194905802</v>
      </c>
      <c r="K10">
        <v>0.20711232758545101</v>
      </c>
    </row>
    <row r="11" spans="1:11" x14ac:dyDescent="0.3">
      <c r="A11" s="2" t="s">
        <v>16</v>
      </c>
      <c r="B11" s="2" t="s">
        <v>18</v>
      </c>
      <c r="C11" t="s">
        <v>11</v>
      </c>
      <c r="D11">
        <v>0.53197674418604601</v>
      </c>
      <c r="E11">
        <v>0.18117650340232599</v>
      </c>
      <c r="F11">
        <v>0.49334076775937202</v>
      </c>
      <c r="G11">
        <v>0.178552174200312</v>
      </c>
      <c r="H11">
        <v>0.55495570321151699</v>
      </c>
      <c r="I11">
        <v>0.24335929593338099</v>
      </c>
      <c r="J11">
        <v>0.51561461794019903</v>
      </c>
      <c r="K11">
        <v>0.219269172902882</v>
      </c>
    </row>
    <row r="12" spans="1:11" x14ac:dyDescent="0.3">
      <c r="A12" s="2" t="s">
        <v>16</v>
      </c>
      <c r="B12" s="2" t="s">
        <v>18</v>
      </c>
      <c r="C12" t="s">
        <v>13</v>
      </c>
      <c r="D12">
        <v>0.53133074935400504</v>
      </c>
      <c r="E12">
        <v>0.155617057772441</v>
      </c>
      <c r="F12">
        <v>0.44240785054738502</v>
      </c>
      <c r="G12">
        <v>0.21885537992434601</v>
      </c>
      <c r="H12">
        <v>0.51589147286821702</v>
      </c>
      <c r="I12">
        <v>0.29171789544013399</v>
      </c>
      <c r="J12">
        <v>0.44158361018826098</v>
      </c>
      <c r="K12">
        <v>0.246619473264934</v>
      </c>
    </row>
    <row r="13" spans="1:11" x14ac:dyDescent="0.3">
      <c r="A13" s="2" t="s">
        <v>16</v>
      </c>
      <c r="B13" s="2" t="s">
        <v>18</v>
      </c>
      <c r="C13" t="s">
        <v>14</v>
      </c>
      <c r="D13">
        <v>0.48191214470284199</v>
      </c>
      <c r="E13">
        <v>0.21119980804774</v>
      </c>
      <c r="F13">
        <v>0.404829924597366</v>
      </c>
      <c r="G13">
        <v>0.288242341868583</v>
      </c>
      <c r="H13">
        <v>0.440669988925802</v>
      </c>
      <c r="I13">
        <v>0.325237869278242</v>
      </c>
      <c r="J13">
        <v>0.42059800664451802</v>
      </c>
      <c r="K13">
        <v>0.31620061780796399</v>
      </c>
    </row>
  </sheetData>
  <autoFilter ref="A1:K17" xr:uid="{20B60A1F-9449-4A91-8C37-2E569624DE33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F4F26-DE01-4BB2-9AB3-84FA32AC1323}">
  <dimension ref="A1:O7"/>
  <sheetViews>
    <sheetView tabSelected="1" topLeftCell="C1" workbookViewId="0">
      <selection activeCell="O6" sqref="O6"/>
    </sheetView>
  </sheetViews>
  <sheetFormatPr defaultRowHeight="14.4" x14ac:dyDescent="0.3"/>
  <cols>
    <col min="1" max="1" width="6.88671875" customWidth="1"/>
    <col min="2" max="2" width="16.5546875" customWidth="1"/>
    <col min="3" max="3" width="14.44140625" bestFit="1" customWidth="1"/>
    <col min="4" max="7" width="15.6640625" style="1" customWidth="1"/>
    <col min="8" max="15" width="15.6640625" customWidth="1"/>
  </cols>
  <sheetData>
    <row r="1" spans="1:15" ht="15" thickBot="1" x14ac:dyDescent="0.35">
      <c r="D1" s="1" t="s">
        <v>15</v>
      </c>
      <c r="E1" s="1" t="s">
        <v>15</v>
      </c>
      <c r="F1" s="1" t="s">
        <v>15</v>
      </c>
      <c r="G1" s="1" t="s">
        <v>15</v>
      </c>
      <c r="H1" t="s">
        <v>18</v>
      </c>
      <c r="I1" t="s">
        <v>18</v>
      </c>
      <c r="J1" t="s">
        <v>18</v>
      </c>
      <c r="K1" t="s">
        <v>18</v>
      </c>
      <c r="L1" t="s">
        <v>17</v>
      </c>
      <c r="M1" t="s">
        <v>17</v>
      </c>
      <c r="N1" t="s">
        <v>17</v>
      </c>
      <c r="O1" t="s">
        <v>17</v>
      </c>
    </row>
    <row r="2" spans="1:15" x14ac:dyDescent="0.3">
      <c r="B2" s="23" t="s">
        <v>28</v>
      </c>
      <c r="C2" s="21" t="s">
        <v>24</v>
      </c>
      <c r="D2" s="23" t="s">
        <v>25</v>
      </c>
      <c r="E2" s="24"/>
      <c r="F2" s="24"/>
      <c r="G2" s="25"/>
      <c r="H2" s="26" t="s">
        <v>26</v>
      </c>
      <c r="I2" s="27"/>
      <c r="J2" s="27"/>
      <c r="K2" s="28"/>
      <c r="L2" s="26" t="s">
        <v>27</v>
      </c>
      <c r="M2" s="27"/>
      <c r="N2" s="27"/>
      <c r="O2" s="28"/>
    </row>
    <row r="3" spans="1:15" x14ac:dyDescent="0.3">
      <c r="B3" s="31"/>
      <c r="C3" s="22" t="s">
        <v>19</v>
      </c>
      <c r="D3" s="8" t="s">
        <v>20</v>
      </c>
      <c r="E3" s="4" t="s">
        <v>21</v>
      </c>
      <c r="F3" s="4" t="s">
        <v>22</v>
      </c>
      <c r="G3" s="9" t="s">
        <v>23</v>
      </c>
      <c r="H3" s="8" t="s">
        <v>20</v>
      </c>
      <c r="I3" s="4" t="s">
        <v>21</v>
      </c>
      <c r="J3" s="4" t="s">
        <v>22</v>
      </c>
      <c r="K3" s="9" t="s">
        <v>23</v>
      </c>
      <c r="L3" s="8" t="s">
        <v>20</v>
      </c>
      <c r="M3" s="4" t="s">
        <v>21</v>
      </c>
      <c r="N3" s="4" t="s">
        <v>22</v>
      </c>
      <c r="O3" s="9" t="s">
        <v>23</v>
      </c>
    </row>
    <row r="4" spans="1:15" x14ac:dyDescent="0.3">
      <c r="A4" t="s">
        <v>16</v>
      </c>
      <c r="B4" s="29" t="s">
        <v>29</v>
      </c>
      <c r="C4" s="3" t="s">
        <v>11</v>
      </c>
      <c r="D4" s="12" t="str">
        <f>TEXT(ROUND(SUMIFS(Sheet1!$D:$D,Sheet1!$C:$C,$C4,Sheet1!$B:$B,D$1,Sheet1!$A:$A,$A4)*100,4),"0.0000") &amp; " ± " &amp; TEXT(ROUND(SUMIFS(Sheet1!$E:$E,Sheet1!$C:$C,$C4,Sheet1!$B:$B,D$1,Sheet1!$A:$A,$A4)*100,2),"0.00")</f>
        <v>51.2274 ± 16.34</v>
      </c>
      <c r="E4" s="6" t="str">
        <f>TEXT(ROUND(SUMIFS(Sheet1!$F:$F,Sheet1!$C:$C,$C4,Sheet1!$B:$B,E$1,Sheet1!$A:$A,$A4)*100,4),"0.0000") &amp; " ± " &amp; TEXT(ROUND(SUMIFS(Sheet1!$G:$G,Sheet1!$C:$C,$C4,Sheet1!$B:$B,E$1,Sheet1!$A:$A,$A4)*100,2),"0.00")</f>
        <v>43.7214 ± 21.69</v>
      </c>
      <c r="F4" s="6" t="str">
        <f>TEXT(ROUND(SUMIFS(Sheet1!$H:$H,Sheet1!$C:$C,$C4,Sheet1!$B:$B,F$1,Sheet1!$A:$A,$A4)*100,4),"0.0000") &amp; " ± " &amp; TEXT(ROUND(SUMIFS(Sheet1!$I:$I,Sheet1!$C:$C,$C4,Sheet1!$B:$B,F$1,Sheet1!$A:$A,$A4)*100,2),"0.00")</f>
        <v>48.4275 ± 28.96</v>
      </c>
      <c r="G4" s="13" t="str">
        <f>TEXT(ROUND(SUMIFS(Sheet1!$J:$J,Sheet1!$C:$C,$C4,Sheet1!$B:$B,G$1,Sheet1!$A:$A,$A4)*100,4),"0.0000") &amp; " ± " &amp; TEXT(ROUND(SUMIFS(Sheet1!$K:$K,Sheet1!$C:$C,$C4,Sheet1!$B:$B,G$1,Sheet1!$A:$A,$A4)*100,2),"0.00")</f>
        <v>46.7885 ± 26.80</v>
      </c>
      <c r="H4" s="17" t="str">
        <f>TEXT(ROUND(SUMIFS(Sheet1!$D:$D,Sheet1!$C:$C,$C4,Sheet1!$B:$B,H$1,Sheet1!$A:$A,$A4)*100,4),"0.0000") &amp; " ± " &amp; TEXT(ROUND(SUMIFS(Sheet1!$E:$E,Sheet1!$C:$C,$C4,Sheet1!$B:$B,H$1,Sheet1!$A:$A,$A4)*100,2),"0.00")</f>
        <v>53.1977 ± 18.12</v>
      </c>
      <c r="I4" s="6" t="str">
        <f>TEXT(ROUND(SUMIFS(Sheet1!$F:$F,Sheet1!$C:$C,$C4,Sheet1!$B:$B,I$1,Sheet1!$A:$A,$A4)*100,4),"0.0000") &amp; " ± " &amp; TEXT(ROUND(SUMIFS(Sheet1!$G:$G,Sheet1!$C:$C,$C4,Sheet1!$B:$B,I$1,Sheet1!$A:$A,$A4)*100,2),"0.00")</f>
        <v>49.3341 ± 17.86</v>
      </c>
      <c r="J4" s="5" t="str">
        <f>TEXT(ROUND(SUMIFS(Sheet1!$H:$H,Sheet1!$C:$C,$C4,Sheet1!$B:$B,J$1,Sheet1!$A:$A,$A4)*100,4),"0.0000") &amp; " ± " &amp; TEXT(ROUND(SUMIFS(Sheet1!$I:$I,Sheet1!$C:$C,$C4,Sheet1!$B:$B,J$1,Sheet1!$A:$A,$A4)*100,2),"0.00")</f>
        <v>55.4956 ± 24.34</v>
      </c>
      <c r="K4" s="13" t="str">
        <f>TEXT(ROUND(SUMIFS(Sheet1!$J:$J,Sheet1!$C:$C,$C4,Sheet1!$B:$B,K$1,Sheet1!$A:$A,$A4)*100,4),"0.0000") &amp; " ± " &amp; TEXT(ROUND(SUMIFS(Sheet1!$K:$K,Sheet1!$C:$C,$C4,Sheet1!$B:$B,K$1,Sheet1!$A:$A,$A4)*100,2),"0.00")</f>
        <v>51.5615 ± 21.93</v>
      </c>
      <c r="L4" s="12" t="str">
        <f>TEXT(ROUND(SUMIFS(Sheet1!$D:$D,Sheet1!$C:$C,$C4,Sheet1!$B:$B,L$1,Sheet1!$A:$A,$A4)*100,4),"0.0000") &amp; " ± " &amp; TEXT(ROUND(SUMIFS(Sheet1!$E:$E,Sheet1!$C:$C,$C4,Sheet1!$B:$B,L$1,Sheet1!$A:$A,$A4)*100,2),"0.00")</f>
        <v>44.8643 ± 18.45</v>
      </c>
      <c r="M4" s="6" t="str">
        <f>TEXT(ROUND(SUMIFS(Sheet1!$F:$F,Sheet1!$C:$C,$C4,Sheet1!$B:$B,M$1,Sheet1!$A:$A,$A4)*100,4),"0.0000") &amp; " ± " &amp; TEXT(ROUND(SUMIFS(Sheet1!$G:$G,Sheet1!$C:$C,$C4,Sheet1!$B:$B,M$1,Sheet1!$A:$A,$A4)*100,2),"0.00")</f>
        <v>36.6928 ± 23.35</v>
      </c>
      <c r="N4" s="6" t="str">
        <f>TEXT(ROUND(SUMIFS(Sheet1!$H:$H,Sheet1!$C:$C,$C4,Sheet1!$B:$B,N$1,Sheet1!$A:$A,$A4)*100,4),"0.0000") &amp; " ± " &amp; TEXT(ROUND(SUMIFS(Sheet1!$I:$I,Sheet1!$C:$C,$C4,Sheet1!$B:$B,N$1,Sheet1!$A:$A,$A4)*100,2),"0.00")</f>
        <v>38.4330 ± 27.20</v>
      </c>
      <c r="O4" s="13" t="str">
        <f>TEXT(ROUND(SUMIFS(Sheet1!$J:$J,Sheet1!$C:$C,$C4,Sheet1!$B:$B,O$1,Sheet1!$A:$A,$A4)*100,4),"0.0000") &amp; " ± " &amp; TEXT(ROUND(SUMIFS(Sheet1!$K:$K,Sheet1!$C:$C,$C4,Sheet1!$B:$B,O$1,Sheet1!$A:$A,$A4)*100,2),"0.00")</f>
        <v>39.6401 ± 27.90</v>
      </c>
    </row>
    <row r="5" spans="1:15" x14ac:dyDescent="0.3">
      <c r="A5" t="s">
        <v>16</v>
      </c>
      <c r="B5" s="29"/>
      <c r="C5" s="19" t="s">
        <v>13</v>
      </c>
      <c r="D5" s="32" t="str">
        <f>TEXT(ROUND(SUMIFS(Sheet1!$D:$D,Sheet1!$C:$C,$C5,Sheet1!$B:$B,D$1,Sheet1!$A:$A,$A5)*100,4),"0.0000") &amp; " ± " &amp; TEXT(ROUND(SUMIFS(Sheet1!$E:$E,Sheet1!$C:$C,$C5,Sheet1!$B:$B,D$1,Sheet1!$A:$A,$A5)*100,2),"0.00")</f>
        <v>56.5245 ± 15.78</v>
      </c>
      <c r="E5" s="7" t="str">
        <f>TEXT(ROUND(SUMIFS(Sheet1!$F:$F,Sheet1!$C:$C,$C5,Sheet1!$B:$B,E$1,Sheet1!$A:$A,$A5)*100,4),"0.0000") &amp; " ± " &amp; TEXT(ROUND(SUMIFS(Sheet1!$G:$G,Sheet1!$C:$C,$C5,Sheet1!$B:$B,E$1,Sheet1!$A:$A,$A5)*100,2),"0.00")</f>
        <v>51.8379 ± 21.90</v>
      </c>
      <c r="F5" s="7" t="str">
        <f>TEXT(ROUND(SUMIFS(Sheet1!$H:$H,Sheet1!$C:$C,$C5,Sheet1!$B:$B,F$1,Sheet1!$A:$A,$A5)*100,4),"0.0000") &amp; " ± " &amp; TEXT(ROUND(SUMIFS(Sheet1!$I:$I,Sheet1!$C:$C,$C5,Sheet1!$B:$B,F$1,Sheet1!$A:$A,$A5)*100,2),"0.00")</f>
        <v>52.4751 ± 23.18</v>
      </c>
      <c r="G5" s="11" t="str">
        <f>TEXT(ROUND(SUMIFS(Sheet1!$J:$J,Sheet1!$C:$C,$C5,Sheet1!$B:$B,G$1,Sheet1!$A:$A,$A5)*100,4),"0.0000") &amp; " ± " &amp; TEXT(ROUND(SUMIFS(Sheet1!$K:$K,Sheet1!$C:$C,$C5,Sheet1!$B:$B,G$1,Sheet1!$A:$A,$A5)*100,2),"0.00")</f>
        <v>58.9037 ± 30.89</v>
      </c>
      <c r="H5" s="10" t="str">
        <f>TEXT(ROUND(SUMIFS(Sheet1!$D:$D,Sheet1!$C:$C,$C5,Sheet1!$B:$B,H$1,Sheet1!$A:$A,$A5)*100,4),"0.0000") &amp; " ± " &amp; TEXT(ROUND(SUMIFS(Sheet1!$E:$E,Sheet1!$C:$C,$C5,Sheet1!$B:$B,H$1,Sheet1!$A:$A,$A5)*100,2),"0.00")</f>
        <v>53.1331 ± 15.56</v>
      </c>
      <c r="I5" s="7" t="str">
        <f>TEXT(ROUND(SUMIFS(Sheet1!$F:$F,Sheet1!$C:$C,$C5,Sheet1!$B:$B,I$1,Sheet1!$A:$A,$A5)*100,4),"0.0000") &amp; " ± " &amp; TEXT(ROUND(SUMIFS(Sheet1!$G:$G,Sheet1!$C:$C,$C5,Sheet1!$B:$B,I$1,Sheet1!$A:$A,$A5)*100,2),"0.00")</f>
        <v>44.2408 ± 21.89</v>
      </c>
      <c r="J5" s="7" t="str">
        <f>TEXT(ROUND(SUMIFS(Sheet1!$H:$H,Sheet1!$C:$C,$C5,Sheet1!$B:$B,J$1,Sheet1!$A:$A,$A5)*100,4),"0.0000") &amp; " ± " &amp; TEXT(ROUND(SUMIFS(Sheet1!$I:$I,Sheet1!$C:$C,$C5,Sheet1!$B:$B,J$1,Sheet1!$A:$A,$A5)*100,2),"0.00")</f>
        <v>51.5891 ± 29.17</v>
      </c>
      <c r="K5" s="11" t="str">
        <f>TEXT(ROUND(SUMIFS(Sheet1!$J:$J,Sheet1!$C:$C,$C5,Sheet1!$B:$B,K$1,Sheet1!$A:$A,$A5)*100,4),"0.0000") &amp; " ± " &amp; TEXT(ROUND(SUMIFS(Sheet1!$K:$K,Sheet1!$C:$C,$C5,Sheet1!$B:$B,K$1,Sheet1!$A:$A,$A5)*100,2),"0.00")</f>
        <v>44.1584 ± 24.66</v>
      </c>
      <c r="L5" s="10" t="str">
        <f>TEXT(ROUND(SUMIFS(Sheet1!$D:$D,Sheet1!$C:$C,$C5,Sheet1!$B:$B,L$1,Sheet1!$A:$A,$A5)*100,4),"0.0000") &amp; " ± " &amp; TEXT(ROUND(SUMIFS(Sheet1!$E:$E,Sheet1!$C:$C,$C5,Sheet1!$B:$B,L$1,Sheet1!$A:$A,$A5)*100,2),"0.00")</f>
        <v>52.1318 ± 17.44</v>
      </c>
      <c r="M5" s="7" t="str">
        <f>TEXT(ROUND(SUMIFS(Sheet1!$F:$F,Sheet1!$C:$C,$C5,Sheet1!$B:$B,M$1,Sheet1!$A:$A,$A5)*100,4),"0.0000") &amp; " ± " &amp; TEXT(ROUND(SUMIFS(Sheet1!$G:$G,Sheet1!$C:$C,$C5,Sheet1!$B:$B,M$1,Sheet1!$A:$A,$A5)*100,2),"0.00")</f>
        <v>43.4565 ± 24.29</v>
      </c>
      <c r="N5" s="7" t="str">
        <f>TEXT(ROUND(SUMIFS(Sheet1!$H:$H,Sheet1!$C:$C,$C5,Sheet1!$B:$B,N$1,Sheet1!$A:$A,$A5)*100,4),"0.0000") &amp; " ± " &amp; TEXT(ROUND(SUMIFS(Sheet1!$I:$I,Sheet1!$C:$C,$C5,Sheet1!$B:$B,N$1,Sheet1!$A:$A,$A5)*100,2),"0.00")</f>
        <v>46.4849 ± 29.32</v>
      </c>
      <c r="O5" s="11" t="str">
        <f>TEXT(ROUND(SUMIFS(Sheet1!$J:$J,Sheet1!$C:$C,$C5,Sheet1!$B:$B,O$1,Sheet1!$A:$A,$A5)*100,4),"0.0000") &amp; " ± " &amp; TEXT(ROUND(SUMIFS(Sheet1!$K:$K,Sheet1!$C:$C,$C5,Sheet1!$B:$B,O$1,Sheet1!$A:$A,$A5)*100,2),"0.00")</f>
        <v>48.0122 ± 30.60</v>
      </c>
    </row>
    <row r="6" spans="1:15" x14ac:dyDescent="0.3">
      <c r="A6" t="s">
        <v>16</v>
      </c>
      <c r="B6" s="29"/>
      <c r="C6" s="3" t="s">
        <v>12</v>
      </c>
      <c r="D6" s="12" t="str">
        <f>TEXT(ROUND(SUMIFS(Sheet1!$D:$D,Sheet1!$C:$C,$C6,Sheet1!$B:$B,D$1,Sheet1!$A:$A,$A6)*100,4),"0.0000") &amp; " ± " &amp; TEXT(ROUND(SUMIFS(Sheet1!$E:$E,Sheet1!$C:$C,$C6,Sheet1!$B:$B,D$1,Sheet1!$A:$A,$A6)*100,2),"0.00")</f>
        <v>55.7494 ± 15.35</v>
      </c>
      <c r="E6" s="5" t="str">
        <f>TEXT(ROUND(SUMIFS(Sheet1!$F:$F,Sheet1!$C:$C,$C6,Sheet1!$B:$B,E$1,Sheet1!$A:$A,$A6)*100,4),"0.0000") &amp; " ± " &amp; TEXT(ROUND(SUMIFS(Sheet1!$G:$G,Sheet1!$C:$C,$C6,Sheet1!$B:$B,E$1,Sheet1!$A:$A,$A6)*100,2),"0.00")</f>
        <v>63.3120 ± 15.38</v>
      </c>
      <c r="F6" s="5" t="str">
        <f>TEXT(ROUND(SUMIFS(Sheet1!$H:$H,Sheet1!$C:$C,$C6,Sheet1!$B:$B,F$1,Sheet1!$A:$A,$A6)*100,4),"0.0000") &amp; " ± " &amp; TEXT(ROUND(SUMIFS(Sheet1!$I:$I,Sheet1!$C:$C,$C6,Sheet1!$B:$B,F$1,Sheet1!$A:$A,$A6)*100,2),"0.00")</f>
        <v>52.4908 ± 16.67</v>
      </c>
      <c r="G6" s="18" t="str">
        <f>TEXT(ROUND(SUMIFS(Sheet1!$J:$J,Sheet1!$C:$C,$C6,Sheet1!$B:$B,G$1,Sheet1!$A:$A,$A6)*100,4),"0.0000") &amp; " ± " &amp; TEXT(ROUND(SUMIFS(Sheet1!$K:$K,Sheet1!$C:$C,$C6,Sheet1!$B:$B,G$1,Sheet1!$A:$A,$A6)*100,2),"0.00")</f>
        <v>86.0576 ± 17.68</v>
      </c>
      <c r="H6" s="12" t="str">
        <f>TEXT(ROUND(SUMIFS(Sheet1!$D:$D,Sheet1!$C:$C,$C6,Sheet1!$B:$B,H$1,Sheet1!$A:$A,$A6)*100,4),"0.0000") &amp; " ± " &amp; TEXT(ROUND(SUMIFS(Sheet1!$E:$E,Sheet1!$C:$C,$C6,Sheet1!$B:$B,H$1,Sheet1!$A:$A,$A6)*100,2),"0.00")</f>
        <v>51.5504 ± 17.25</v>
      </c>
      <c r="I6" s="5" t="str">
        <f>TEXT(ROUND(SUMIFS(Sheet1!$F:$F,Sheet1!$C:$C,$C6,Sheet1!$B:$B,I$1,Sheet1!$A:$A,$A6)*100,4),"0.0000") &amp; " ± " &amp; TEXT(ROUND(SUMIFS(Sheet1!$G:$G,Sheet1!$C:$C,$C6,Sheet1!$B:$B,I$1,Sheet1!$A:$A,$A6)*100,2),"0.00")</f>
        <v>59.4717 ± 18.75</v>
      </c>
      <c r="J6" s="6" t="str">
        <f>TEXT(ROUND(SUMIFS(Sheet1!$H:$H,Sheet1!$C:$C,$C6,Sheet1!$B:$B,J$1,Sheet1!$A:$A,$A6)*100,4),"0.0000") &amp; " ± " &amp; TEXT(ROUND(SUMIFS(Sheet1!$I:$I,Sheet1!$C:$C,$C6,Sheet1!$B:$B,J$1,Sheet1!$A:$A,$A6)*100,2),"0.00")</f>
        <v>49.8893 ± 20.64</v>
      </c>
      <c r="K6" s="18" t="str">
        <f>TEXT(ROUND(SUMIFS(Sheet1!$J:$J,Sheet1!$C:$C,$C6,Sheet1!$B:$B,K$1,Sheet1!$A:$A,$A6)*100,4),"0.0000") &amp; " ± " &amp; TEXT(ROUND(SUMIFS(Sheet1!$K:$K,Sheet1!$C:$C,$C6,Sheet1!$B:$B,K$1,Sheet1!$A:$A,$A6)*100,2),"0.00")</f>
        <v>80.4042 ± 20.71</v>
      </c>
      <c r="L6" s="17" t="str">
        <f>TEXT(ROUND(SUMIFS(Sheet1!$D:$D,Sheet1!$C:$C,$C6,Sheet1!$B:$B,L$1,Sheet1!$A:$A,$A6)*100,4),"0.0000") &amp; " ± " &amp; TEXT(ROUND(SUMIFS(Sheet1!$E:$E,Sheet1!$C:$C,$C6,Sheet1!$B:$B,L$1,Sheet1!$A:$A,$A6)*100,2),"0.00")</f>
        <v>56.0078 ± 16.34</v>
      </c>
      <c r="M6" s="5" t="str">
        <f>TEXT(ROUND(SUMIFS(Sheet1!$F:$F,Sheet1!$C:$C,$C6,Sheet1!$B:$B,M$1,Sheet1!$A:$A,$A6)*100,4),"0.0000") &amp; " ± " &amp; TEXT(ROUND(SUMIFS(Sheet1!$G:$G,Sheet1!$C:$C,$C6,Sheet1!$B:$B,M$1,Sheet1!$A:$A,$A6)*100,2),"0.00")</f>
        <v>62.2730 ± 18.71</v>
      </c>
      <c r="N6" s="5" t="str">
        <f>TEXT(ROUND(SUMIFS(Sheet1!$H:$H,Sheet1!$C:$C,$C6,Sheet1!$B:$B,N$1,Sheet1!$A:$A,$A6)*100,4),"0.0000") &amp; " ± " &amp; TEXT(ROUND(SUMIFS(Sheet1!$I:$I,Sheet1!$C:$C,$C6,Sheet1!$B:$B,N$1,Sheet1!$A:$A,$A6)*100,2),"0.00")</f>
        <v>52.2490 ± 18.39</v>
      </c>
      <c r="O6" s="18" t="str">
        <f>TEXT(ROUND(SUMIFS(Sheet1!$J:$J,Sheet1!$C:$C,$C6,Sheet1!$B:$B,O$1,Sheet1!$A:$A,$A6)*100,4),"0.0000") &amp; " ± " &amp; TEXT(ROUND(SUMIFS(Sheet1!$K:$K,Sheet1!$C:$C,$C6,Sheet1!$B:$B,O$1,Sheet1!$A:$A,$A6)*100,2),"0.00")</f>
        <v>83.1894 ± 24.74</v>
      </c>
    </row>
    <row r="7" spans="1:15" ht="15" thickBot="1" x14ac:dyDescent="0.35">
      <c r="A7" t="s">
        <v>16</v>
      </c>
      <c r="B7" s="30"/>
      <c r="C7" s="20" t="s">
        <v>14</v>
      </c>
      <c r="D7" s="14" t="str">
        <f>TEXT(ROUND(SUMIFS(Sheet1!$D:$D,Sheet1!$C:$C,$C7,Sheet1!$B:$B,D$1,Sheet1!$A:$A,$A7)*100,4),"0.0000") &amp; " ± " &amp; TEXT(ROUND(SUMIFS(Sheet1!$E:$E,Sheet1!$C:$C,$C7,Sheet1!$B:$B,D$1,Sheet1!$A:$A,$A7)*100,2),"0.00")</f>
        <v>44.5736 ± 14.40</v>
      </c>
      <c r="E7" s="15" t="str">
        <f>TEXT(ROUND(SUMIFS(Sheet1!$F:$F,Sheet1!$C:$C,$C7,Sheet1!$B:$B,E$1,Sheet1!$A:$A,$A7)*100,4),"0.0000") &amp; " ± " &amp; TEXT(ROUND(SUMIFS(Sheet1!$G:$G,Sheet1!$C:$C,$C7,Sheet1!$B:$B,E$1,Sheet1!$A:$A,$A7)*100,2),"0.00")</f>
        <v>45.7373 ± 17.67</v>
      </c>
      <c r="F7" s="15" t="str">
        <f>TEXT(ROUND(SUMIFS(Sheet1!$H:$H,Sheet1!$C:$C,$C7,Sheet1!$B:$B,F$1,Sheet1!$A:$A,$A7)*100,4),"0.0000") &amp; " ± " &amp; TEXT(ROUND(SUMIFS(Sheet1!$I:$I,Sheet1!$C:$C,$C7,Sheet1!$B:$B,F$1,Sheet1!$A:$A,$A7)*100,2),"0.00")</f>
        <v>41.9260 ± 16.99</v>
      </c>
      <c r="G7" s="16" t="str">
        <f>TEXT(ROUND(SUMIFS(Sheet1!$J:$J,Sheet1!$C:$C,$C7,Sheet1!$B:$B,G$1,Sheet1!$A:$A,$A7)*100,4),"0.0000") &amp; " ± " &amp; TEXT(ROUND(SUMIFS(Sheet1!$K:$K,Sheet1!$C:$C,$C7,Sheet1!$B:$B,G$1,Sheet1!$A:$A,$A7)*100,2),"0.00")</f>
        <v>56.5891 ± 26.11</v>
      </c>
      <c r="H7" s="14" t="str">
        <f>TEXT(ROUND(SUMIFS(Sheet1!$D:$D,Sheet1!$C:$C,$C7,Sheet1!$B:$B,H$1,Sheet1!$A:$A,$A7)*100,4),"0.0000") &amp; " ± " &amp; TEXT(ROUND(SUMIFS(Sheet1!$E:$E,Sheet1!$C:$C,$C7,Sheet1!$B:$B,H$1,Sheet1!$A:$A,$A7)*100,2),"0.00")</f>
        <v>48.1912 ± 21.12</v>
      </c>
      <c r="I7" s="15" t="str">
        <f>TEXT(ROUND(SUMIFS(Sheet1!$F:$F,Sheet1!$C:$C,$C7,Sheet1!$B:$B,I$1,Sheet1!$A:$A,$A7)*100,4),"0.0000") &amp; " ± " &amp; TEXT(ROUND(SUMIFS(Sheet1!$G:$G,Sheet1!$C:$C,$C7,Sheet1!$B:$B,I$1,Sheet1!$A:$A,$A7)*100,2),"0.00")</f>
        <v>40.4830 ± 28.82</v>
      </c>
      <c r="J7" s="15" t="str">
        <f>TEXT(ROUND(SUMIFS(Sheet1!$H:$H,Sheet1!$C:$C,$C7,Sheet1!$B:$B,J$1,Sheet1!$A:$A,$A7)*100,4),"0.0000") &amp; " ± " &amp; TEXT(ROUND(SUMIFS(Sheet1!$I:$I,Sheet1!$C:$C,$C7,Sheet1!$B:$B,J$1,Sheet1!$A:$A,$A7)*100,2),"0.00")</f>
        <v>44.0670 ± 32.52</v>
      </c>
      <c r="K7" s="16" t="str">
        <f>TEXT(ROUND(SUMIFS(Sheet1!$J:$J,Sheet1!$C:$C,$C7,Sheet1!$B:$B,K$1,Sheet1!$A:$A,$A7)*100,4),"0.0000") &amp; " ± " &amp; TEXT(ROUND(SUMIFS(Sheet1!$K:$K,Sheet1!$C:$C,$C7,Sheet1!$B:$B,K$1,Sheet1!$A:$A,$A7)*100,2),"0.00")</f>
        <v>42.0598 ± 31.62</v>
      </c>
      <c r="L7" s="14" t="str">
        <f>TEXT(ROUND(SUMIFS(Sheet1!$D:$D,Sheet1!$C:$C,$C7,Sheet1!$B:$B,L$1,Sheet1!$A:$A,$A7)*100,4),"0.0000") &amp; " ± " &amp; TEXT(ROUND(SUMIFS(Sheet1!$E:$E,Sheet1!$C:$C,$C7,Sheet1!$B:$B,L$1,Sheet1!$A:$A,$A7)*100,2),"0.00")</f>
        <v>46.0917 ± 18.75</v>
      </c>
      <c r="M7" s="15" t="str">
        <f>TEXT(ROUND(SUMIFS(Sheet1!$F:$F,Sheet1!$C:$C,$C7,Sheet1!$B:$B,M$1,Sheet1!$A:$A,$A7)*100,4),"0.0000") &amp; " ± " &amp; TEXT(ROUND(SUMIFS(Sheet1!$G:$G,Sheet1!$C:$C,$C7,Sheet1!$B:$B,M$1,Sheet1!$A:$A,$A7)*100,2),"0.00")</f>
        <v>43.1921 ± 21.29</v>
      </c>
      <c r="N7" s="15" t="str">
        <f>TEXT(ROUND(SUMIFS(Sheet1!$H:$H,Sheet1!$C:$C,$C7,Sheet1!$B:$B,N$1,Sheet1!$A:$A,$A7)*100,4),"0.0000") &amp; " ± " &amp; TEXT(ROUND(SUMIFS(Sheet1!$I:$I,Sheet1!$C:$C,$C7,Sheet1!$B:$B,N$1,Sheet1!$A:$A,$A7)*100,2),"0.00")</f>
        <v>43.1700 ± 23.66</v>
      </c>
      <c r="O7" s="16" t="str">
        <f>TEXT(ROUND(SUMIFS(Sheet1!$J:$J,Sheet1!$C:$C,$C7,Sheet1!$B:$B,O$1,Sheet1!$A:$A,$A7)*100,4),"0.0000") &amp; " ± " &amp; TEXT(ROUND(SUMIFS(Sheet1!$K:$K,Sheet1!$C:$C,$C7,Sheet1!$B:$B,O$1,Sheet1!$A:$A,$A7)*100,2),"0.00")</f>
        <v>48.9646 ± 25.91</v>
      </c>
    </row>
  </sheetData>
  <mergeCells count="5">
    <mergeCell ref="B4:B7"/>
    <mergeCell ref="B2:B3"/>
    <mergeCell ref="D2:G2"/>
    <mergeCell ref="H2:K2"/>
    <mergeCell ref="L2:O2"/>
  </mergeCells>
  <conditionalFormatting sqref="D4:G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K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O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Hanifi</dc:creator>
  <cp:lastModifiedBy>Nikoo Amjadi</cp:lastModifiedBy>
  <dcterms:created xsi:type="dcterms:W3CDTF">2026-06-07T13:23:22Z</dcterms:created>
  <dcterms:modified xsi:type="dcterms:W3CDTF">2026-06-10T15:58:02Z</dcterms:modified>
</cp:coreProperties>
</file>