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koo\Desktop\Thesis\Source\"/>
    </mc:Choice>
  </mc:AlternateContent>
  <xr:revisionPtr revIDLastSave="0" documentId="13_ncr:1_{8E0DB3BE-3D93-449F-800B-DEE20A9FCDA9}" xr6:coauthVersionLast="47" xr6:coauthVersionMax="47" xr10:uidLastSave="{00000000-0000-0000-0000-000000000000}"/>
  <bookViews>
    <workbookView xWindow="-108" yWindow="-108" windowWidth="23256" windowHeight="12456" activeTab="1" xr2:uid="{8D592C9F-CC51-43DD-B2E3-0BF015735963}"/>
  </bookViews>
  <sheets>
    <sheet name="Sheet1" sheetId="1" r:id="rId1"/>
    <sheet name="Sheet2" sheetId="2" r:id="rId2"/>
  </sheets>
  <definedNames>
    <definedName name="_xlnm._FilterDatabase" localSheetId="0" hidden="1">Sheet1!$A$1:$K$25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" i="2" l="1"/>
  <c r="N14" i="2"/>
  <c r="M14" i="2"/>
  <c r="L14" i="2"/>
  <c r="O13" i="2"/>
  <c r="N13" i="2"/>
  <c r="M13" i="2"/>
  <c r="L13" i="2"/>
  <c r="O12" i="2"/>
  <c r="N12" i="2"/>
  <c r="M12" i="2"/>
  <c r="L12" i="2"/>
  <c r="O11" i="2"/>
  <c r="N11" i="2"/>
  <c r="M11" i="2"/>
  <c r="L11" i="2"/>
  <c r="K14" i="2"/>
  <c r="J14" i="2"/>
  <c r="I14" i="2"/>
  <c r="H14" i="2"/>
  <c r="K13" i="2"/>
  <c r="J13" i="2"/>
  <c r="I13" i="2"/>
  <c r="H13" i="2"/>
  <c r="K12" i="2"/>
  <c r="J12" i="2"/>
  <c r="I12" i="2"/>
  <c r="H12" i="2"/>
  <c r="K11" i="2"/>
  <c r="J11" i="2"/>
  <c r="I11" i="2"/>
  <c r="H11" i="2"/>
  <c r="D11" i="2"/>
  <c r="G14" i="2"/>
  <c r="F14" i="2"/>
  <c r="E14" i="2"/>
  <c r="D14" i="2"/>
  <c r="G13" i="2"/>
  <c r="F13" i="2"/>
  <c r="E13" i="2"/>
  <c r="D13" i="2"/>
  <c r="G12" i="2"/>
  <c r="F12" i="2"/>
  <c r="E12" i="2"/>
  <c r="D12" i="2"/>
  <c r="G11" i="2"/>
  <c r="F11" i="2"/>
  <c r="E11" i="2"/>
  <c r="O7" i="2"/>
  <c r="N7" i="2"/>
  <c r="M7" i="2"/>
  <c r="L7" i="2"/>
  <c r="O6" i="2"/>
  <c r="N6" i="2"/>
  <c r="M6" i="2"/>
  <c r="L6" i="2"/>
  <c r="O5" i="2"/>
  <c r="N5" i="2"/>
  <c r="M5" i="2"/>
  <c r="L5" i="2"/>
  <c r="O4" i="2"/>
  <c r="N4" i="2"/>
  <c r="M4" i="2"/>
  <c r="L4" i="2"/>
  <c r="K7" i="2"/>
  <c r="H4" i="2"/>
  <c r="J7" i="2"/>
  <c r="I7" i="2"/>
  <c r="H7" i="2"/>
  <c r="K6" i="2"/>
  <c r="J6" i="2"/>
  <c r="I6" i="2"/>
  <c r="H6" i="2"/>
  <c r="K5" i="2"/>
  <c r="J5" i="2"/>
  <c r="I5" i="2"/>
  <c r="H5" i="2"/>
  <c r="K4" i="2"/>
  <c r="J4" i="2"/>
  <c r="I4" i="2"/>
  <c r="D5" i="2"/>
  <c r="D6" i="2"/>
  <c r="D7" i="2"/>
  <c r="E5" i="2"/>
  <c r="E6" i="2"/>
  <c r="E7" i="2"/>
  <c r="F5" i="2"/>
  <c r="F6" i="2"/>
  <c r="F7" i="2"/>
  <c r="G5" i="2"/>
  <c r="G6" i="2"/>
  <c r="G7" i="2"/>
  <c r="G4" i="2"/>
  <c r="F4" i="2"/>
  <c r="E4" i="2"/>
  <c r="D4" i="2"/>
</calcChain>
</file>

<file path=xl/sharedStrings.xml><?xml version="1.0" encoding="utf-8"?>
<sst xmlns="http://schemas.openxmlformats.org/spreadsheetml/2006/main" count="149" uniqueCount="32">
  <si>
    <t>Model</t>
  </si>
  <si>
    <t>Acc_mean</t>
  </si>
  <si>
    <t>Acc_std</t>
  </si>
  <si>
    <t>F1_mean</t>
  </si>
  <si>
    <t>F1_std</t>
  </si>
  <si>
    <t>Prec_mean</t>
  </si>
  <si>
    <t>Prec_std</t>
  </si>
  <si>
    <t>Rec_mean</t>
  </si>
  <si>
    <t>Rec_std</t>
  </si>
  <si>
    <t>Run Type</t>
  </si>
  <si>
    <t>Data Type</t>
  </si>
  <si>
    <t>SVM</t>
  </si>
  <si>
    <t>XGBoost</t>
  </si>
  <si>
    <t>Random Forest</t>
  </si>
  <si>
    <t>KNN</t>
  </si>
  <si>
    <t>Raw</t>
  </si>
  <si>
    <t>Agg</t>
  </si>
  <si>
    <t>Win</t>
  </si>
  <si>
    <t>Raw + VG</t>
  </si>
  <si>
    <t>VG</t>
  </si>
  <si>
    <t>Model Name</t>
  </si>
  <si>
    <t>Accuracy (±std)</t>
  </si>
  <si>
    <t>F1 Score (±std)</t>
  </si>
  <si>
    <t>Precision (±std)</t>
  </si>
  <si>
    <t>Recall (±std)</t>
  </si>
  <si>
    <t>Input Mode</t>
  </si>
  <si>
    <t>Raw Features</t>
  </si>
  <si>
    <t>Visibility Graph Features</t>
  </si>
  <si>
    <t>Raw + Visibility Graph Features</t>
  </si>
  <si>
    <t>Run Mode</t>
  </si>
  <si>
    <t>Windowed</t>
  </si>
  <si>
    <t>Aggregated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</si>
</sst>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/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3" borderId="9" xfId="0" applyFill="1" applyBorder="1"/>
    <xf numFmtId="0" fontId="0" fillId="3" borderId="7" xfId="0" applyFill="1" applyBorder="1"/>
    <xf numFmtId="0" fontId="0" fillId="2" borderId="4" xfId="0" applyFill="1" applyBorder="1"/>
    <xf numFmtId="0" fontId="0" fillId="2" borderId="9" xfId="0" applyFill="1" applyBorder="1"/>
    <xf numFmtId="0" fontId="1" fillId="3" borderId="8" xfId="0" applyFont="1" applyFill="1" applyBorder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2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60A1F-9449-4A91-8C37-2E569624DE33}">
  <dimension ref="A1:K25"/>
  <sheetViews>
    <sheetView workbookViewId="0">
      <selection activeCell="I18" sqref="I18"/>
    </sheetView>
  </sheetViews>
  <sheetFormatPr defaultRowHeight="14.4" x14ac:dyDescent="0.3"/>
  <cols>
    <col min="1" max="1" width="8.88671875" bestFit="1" customWidth="1"/>
    <col min="2" max="2" width="9.5546875" bestFit="1" customWidth="1"/>
    <col min="3" max="3" width="14.44140625" bestFit="1" customWidth="1"/>
    <col min="4" max="6" width="12" bestFit="1" customWidth="1"/>
    <col min="7" max="7" width="12" customWidth="1"/>
    <col min="8" max="11" width="12" bestFit="1" customWidth="1"/>
  </cols>
  <sheetData>
    <row r="1" spans="1:11" x14ac:dyDescent="0.3">
      <c r="A1" s="2" t="s">
        <v>9</v>
      </c>
      <c r="B1" s="2" t="s">
        <v>10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 x14ac:dyDescent="0.3">
      <c r="A2" s="2" t="s">
        <v>16</v>
      </c>
      <c r="B2" s="2" t="s">
        <v>15</v>
      </c>
      <c r="C2" t="s">
        <v>12</v>
      </c>
      <c r="D2">
        <v>0.57880214101144301</v>
      </c>
      <c r="E2">
        <v>0.184896081378817</v>
      </c>
      <c r="F2">
        <v>0.64873240454635805</v>
      </c>
      <c r="G2">
        <v>0.16764824735817199</v>
      </c>
      <c r="H2">
        <v>0.60279623477297795</v>
      </c>
      <c r="I2">
        <v>0.17348987653307299</v>
      </c>
      <c r="J2">
        <v>0.75011074197120697</v>
      </c>
      <c r="K2">
        <v>0.21940420292951601</v>
      </c>
    </row>
    <row r="3" spans="1:11" x14ac:dyDescent="0.3">
      <c r="A3" s="2" t="s">
        <v>16</v>
      </c>
      <c r="B3" s="2" t="s">
        <v>15</v>
      </c>
      <c r="C3" t="s">
        <v>13</v>
      </c>
      <c r="D3">
        <v>0.58142303433001097</v>
      </c>
      <c r="E3">
        <v>0.16217321203413301</v>
      </c>
      <c r="F3">
        <v>0.64859249277853903</v>
      </c>
      <c r="G3">
        <v>0.154286936902232</v>
      </c>
      <c r="H3">
        <v>0.60647840531561403</v>
      </c>
      <c r="I3">
        <v>0.177386675627971</v>
      </c>
      <c r="J3">
        <v>0.74584717607973405</v>
      </c>
      <c r="K3">
        <v>0.21277435086303401</v>
      </c>
    </row>
    <row r="4" spans="1:11" x14ac:dyDescent="0.3">
      <c r="A4" s="2" t="s">
        <v>16</v>
      </c>
      <c r="B4" s="2" t="s">
        <v>15</v>
      </c>
      <c r="C4" t="s">
        <v>11</v>
      </c>
      <c r="D4">
        <v>0.54032853451458096</v>
      </c>
      <c r="E4">
        <v>0.18203034174753999</v>
      </c>
      <c r="F4">
        <v>0.58345930555232794</v>
      </c>
      <c r="G4">
        <v>0.197529954050357</v>
      </c>
      <c r="H4">
        <v>0.57782392026578</v>
      </c>
      <c r="I4">
        <v>0.21237148311922499</v>
      </c>
      <c r="J4">
        <v>0.64440753045404198</v>
      </c>
      <c r="K4">
        <v>0.26350607006052701</v>
      </c>
    </row>
    <row r="5" spans="1:11" x14ac:dyDescent="0.3">
      <c r="A5" s="2" t="s">
        <v>16</v>
      </c>
      <c r="B5" s="2" t="s">
        <v>15</v>
      </c>
      <c r="C5" t="s">
        <v>14</v>
      </c>
      <c r="D5">
        <v>0.52762089331856699</v>
      </c>
      <c r="E5">
        <v>0.185065800818593</v>
      </c>
      <c r="F5">
        <v>0.56233262861169797</v>
      </c>
      <c r="G5">
        <v>0.187166817096449</v>
      </c>
      <c r="H5">
        <v>0.59033776301218099</v>
      </c>
      <c r="I5">
        <v>0.22651172170790801</v>
      </c>
      <c r="J5">
        <v>0.58466223698781805</v>
      </c>
      <c r="K5">
        <v>0.22877857349854</v>
      </c>
    </row>
    <row r="6" spans="1:11" x14ac:dyDescent="0.3">
      <c r="A6" s="2" t="s">
        <v>16</v>
      </c>
      <c r="B6" s="2" t="s">
        <v>19</v>
      </c>
      <c r="C6" t="s">
        <v>12</v>
      </c>
      <c r="D6">
        <v>0.64935400516795805</v>
      </c>
      <c r="E6">
        <v>0.19200304014744901</v>
      </c>
      <c r="F6">
        <v>0.68801147173240196</v>
      </c>
      <c r="G6">
        <v>0.188766106100762</v>
      </c>
      <c r="H6">
        <v>0.68283499446290097</v>
      </c>
      <c r="I6">
        <v>0.22071880920838599</v>
      </c>
      <c r="J6">
        <v>0.74064230343300097</v>
      </c>
      <c r="K6">
        <v>0.231350990822842</v>
      </c>
    </row>
    <row r="7" spans="1:11" x14ac:dyDescent="0.3">
      <c r="A7" s="2" t="s">
        <v>16</v>
      </c>
      <c r="B7" s="2" t="s">
        <v>19</v>
      </c>
      <c r="C7" t="s">
        <v>11</v>
      </c>
      <c r="D7">
        <v>0.60734588409006995</v>
      </c>
      <c r="E7">
        <v>0.18610174212209701</v>
      </c>
      <c r="F7">
        <v>0.65419515884632096</v>
      </c>
      <c r="G7">
        <v>0.192281985931196</v>
      </c>
      <c r="H7">
        <v>0.63829826504245102</v>
      </c>
      <c r="I7">
        <v>0.22240917510506</v>
      </c>
      <c r="J7">
        <v>0.73316722037652204</v>
      </c>
      <c r="K7">
        <v>0.24769910716418</v>
      </c>
    </row>
    <row r="8" spans="1:11" x14ac:dyDescent="0.3">
      <c r="A8" s="2" t="s">
        <v>16</v>
      </c>
      <c r="B8" s="2" t="s">
        <v>19</v>
      </c>
      <c r="C8" t="s">
        <v>13</v>
      </c>
      <c r="D8">
        <v>0.64614248800295304</v>
      </c>
      <c r="E8">
        <v>0.185069465263971</v>
      </c>
      <c r="F8">
        <v>0.64314212918864</v>
      </c>
      <c r="G8">
        <v>0.23583168416615399</v>
      </c>
      <c r="H8">
        <v>0.68732004429678795</v>
      </c>
      <c r="I8">
        <v>0.249982186218807</v>
      </c>
      <c r="J8">
        <v>0.66982281284606804</v>
      </c>
      <c r="K8">
        <v>0.28703860712679002</v>
      </c>
    </row>
    <row r="9" spans="1:11" x14ac:dyDescent="0.3">
      <c r="A9" s="2" t="s">
        <v>16</v>
      </c>
      <c r="B9" s="2" t="s">
        <v>19</v>
      </c>
      <c r="C9" t="s">
        <v>14</v>
      </c>
      <c r="D9">
        <v>0.55145810262089301</v>
      </c>
      <c r="E9">
        <v>0.16381952017014201</v>
      </c>
      <c r="F9">
        <v>0.57060136246182702</v>
      </c>
      <c r="G9">
        <v>0.182745478652242</v>
      </c>
      <c r="H9">
        <v>0.592026578073089</v>
      </c>
      <c r="I9">
        <v>0.19782466968748899</v>
      </c>
      <c r="J9">
        <v>0.59883720930232498</v>
      </c>
      <c r="K9">
        <v>0.25529945673057097</v>
      </c>
    </row>
    <row r="10" spans="1:11" x14ac:dyDescent="0.3">
      <c r="A10" s="2" t="s">
        <v>16</v>
      </c>
      <c r="B10" s="2" t="s">
        <v>18</v>
      </c>
      <c r="C10" t="s">
        <v>13</v>
      </c>
      <c r="D10">
        <v>0.63471760797342103</v>
      </c>
      <c r="E10">
        <v>0.16399282450064601</v>
      </c>
      <c r="F10">
        <v>0.65577703949796895</v>
      </c>
      <c r="G10">
        <v>0.19880746867004401</v>
      </c>
      <c r="H10">
        <v>0.65703211517165006</v>
      </c>
      <c r="I10">
        <v>0.206928551893827</v>
      </c>
      <c r="J10">
        <v>0.69928017718715296</v>
      </c>
      <c r="K10">
        <v>0.248888545995436</v>
      </c>
    </row>
    <row r="11" spans="1:11" x14ac:dyDescent="0.3">
      <c r="A11" s="2" t="s">
        <v>16</v>
      </c>
      <c r="B11" s="2" t="s">
        <v>18</v>
      </c>
      <c r="C11" t="s">
        <v>11</v>
      </c>
      <c r="D11">
        <v>0.57141011443336998</v>
      </c>
      <c r="E11">
        <v>0.17735655719302101</v>
      </c>
      <c r="F11">
        <v>0.63894774476169802</v>
      </c>
      <c r="G11">
        <v>0.19292571494781099</v>
      </c>
      <c r="H11">
        <v>0.59459210040605304</v>
      </c>
      <c r="I11">
        <v>0.22054223482247501</v>
      </c>
      <c r="J11">
        <v>0.74972314507198201</v>
      </c>
      <c r="K11">
        <v>0.24721846020890101</v>
      </c>
    </row>
    <row r="12" spans="1:11" x14ac:dyDescent="0.3">
      <c r="A12" s="2" t="s">
        <v>16</v>
      </c>
      <c r="B12" s="2" t="s">
        <v>18</v>
      </c>
      <c r="C12" t="s">
        <v>12</v>
      </c>
      <c r="D12">
        <v>0.59063307493539996</v>
      </c>
      <c r="E12">
        <v>0.170889847505064</v>
      </c>
      <c r="F12">
        <v>0.63354023237744095</v>
      </c>
      <c r="G12">
        <v>0.20561281756533101</v>
      </c>
      <c r="H12">
        <v>0.60465116279069697</v>
      </c>
      <c r="I12">
        <v>0.21278789524724701</v>
      </c>
      <c r="J12">
        <v>0.71373200442967799</v>
      </c>
      <c r="K12">
        <v>0.26189108854335702</v>
      </c>
    </row>
    <row r="13" spans="1:11" x14ac:dyDescent="0.3">
      <c r="A13" s="2" t="s">
        <v>16</v>
      </c>
      <c r="B13" s="2" t="s">
        <v>18</v>
      </c>
      <c r="C13" t="s">
        <v>14</v>
      </c>
      <c r="D13">
        <v>0.56005906238464298</v>
      </c>
      <c r="E13">
        <v>0.17772888646138901</v>
      </c>
      <c r="F13">
        <v>0.60012287454147895</v>
      </c>
      <c r="G13">
        <v>0.184523009734018</v>
      </c>
      <c r="H13">
        <v>0.61546696197858897</v>
      </c>
      <c r="I13">
        <v>0.22403438801151901</v>
      </c>
      <c r="J13">
        <v>0.65365448504983403</v>
      </c>
      <c r="K13">
        <v>0.257885370717297</v>
      </c>
    </row>
    <row r="14" spans="1:11" x14ac:dyDescent="0.3">
      <c r="A14" s="2" t="s">
        <v>17</v>
      </c>
      <c r="B14" s="2" t="s">
        <v>15</v>
      </c>
      <c r="C14" t="s">
        <v>12</v>
      </c>
      <c r="D14">
        <v>0.50321206493070803</v>
      </c>
      <c r="E14">
        <v>0.12592780349659999</v>
      </c>
      <c r="F14">
        <v>0.59737706095781995</v>
      </c>
      <c r="G14">
        <v>0.15566445481107299</v>
      </c>
      <c r="H14">
        <v>0.54965087287076497</v>
      </c>
      <c r="I14">
        <v>0.18315408130574801</v>
      </c>
      <c r="J14">
        <v>0.732497910250831</v>
      </c>
      <c r="K14">
        <v>0.23929893905441399</v>
      </c>
    </row>
    <row r="15" spans="1:11" x14ac:dyDescent="0.3">
      <c r="A15" s="2" t="s">
        <v>17</v>
      </c>
      <c r="B15" s="2" t="s">
        <v>15</v>
      </c>
      <c r="C15" t="s">
        <v>13</v>
      </c>
      <c r="D15">
        <v>0.48993282196695598</v>
      </c>
      <c r="E15">
        <v>0.109245991665173</v>
      </c>
      <c r="F15">
        <v>0.57565129479086496</v>
      </c>
      <c r="G15">
        <v>0.120215493301918</v>
      </c>
      <c r="H15">
        <v>0.558550311337769</v>
      </c>
      <c r="I15">
        <v>0.16939925414798301</v>
      </c>
      <c r="J15">
        <v>0.67998915869681598</v>
      </c>
      <c r="K15">
        <v>0.22737465146083499</v>
      </c>
    </row>
    <row r="16" spans="1:11" x14ac:dyDescent="0.3">
      <c r="A16" s="2" t="s">
        <v>17</v>
      </c>
      <c r="B16" s="2" t="s">
        <v>15</v>
      </c>
      <c r="C16" t="s">
        <v>14</v>
      </c>
      <c r="D16">
        <v>0.50713435541013696</v>
      </c>
      <c r="E16">
        <v>0.117043519894471</v>
      </c>
      <c r="F16">
        <v>0.57305227632332301</v>
      </c>
      <c r="G16">
        <v>0.12876921024955301</v>
      </c>
      <c r="H16">
        <v>0.55545564117005497</v>
      </c>
      <c r="I16">
        <v>0.180373454910744</v>
      </c>
      <c r="J16">
        <v>0.63470690767245397</v>
      </c>
      <c r="K16">
        <v>0.15087790928327599</v>
      </c>
    </row>
    <row r="17" spans="1:11" x14ac:dyDescent="0.3">
      <c r="A17" s="2" t="s">
        <v>17</v>
      </c>
      <c r="B17" s="2" t="s">
        <v>15</v>
      </c>
      <c r="C17" t="s">
        <v>11</v>
      </c>
      <c r="D17">
        <v>0.48839625165316902</v>
      </c>
      <c r="E17">
        <v>0.13553960224365399</v>
      </c>
      <c r="F17">
        <v>0.558228470373344</v>
      </c>
      <c r="G17">
        <v>0.14652479902683199</v>
      </c>
      <c r="H17">
        <v>0.55705570898889301</v>
      </c>
      <c r="I17">
        <v>0.19422363348147401</v>
      </c>
      <c r="J17">
        <v>0.63463672591188203</v>
      </c>
      <c r="K17">
        <v>0.23008488341646799</v>
      </c>
    </row>
    <row r="18" spans="1:11" x14ac:dyDescent="0.3">
      <c r="A18" s="2" t="s">
        <v>17</v>
      </c>
      <c r="B18" s="2" t="s">
        <v>19</v>
      </c>
      <c r="C18" t="s">
        <v>11</v>
      </c>
      <c r="D18">
        <v>0.54999413883503401</v>
      </c>
      <c r="E18">
        <v>0.11857857840252101</v>
      </c>
      <c r="F18">
        <v>0.63733349159127195</v>
      </c>
      <c r="G18">
        <v>0.13907516449610099</v>
      </c>
      <c r="H18">
        <v>0.57973994504972803</v>
      </c>
      <c r="I18">
        <v>0.18011868870870901</v>
      </c>
      <c r="J18">
        <v>0.76946852937533705</v>
      </c>
      <c r="K18">
        <v>0.190264114862566</v>
      </c>
    </row>
    <row r="19" spans="1:11" x14ac:dyDescent="0.3">
      <c r="A19" s="2" t="s">
        <v>17</v>
      </c>
      <c r="B19" s="2" t="s">
        <v>19</v>
      </c>
      <c r="C19" t="s">
        <v>12</v>
      </c>
      <c r="D19">
        <v>0.56437029463165</v>
      </c>
      <c r="E19">
        <v>0.15541335341446399</v>
      </c>
      <c r="F19">
        <v>0.63078524718222295</v>
      </c>
      <c r="G19">
        <v>0.17325186747483701</v>
      </c>
      <c r="H19">
        <v>0.57975425613265297</v>
      </c>
      <c r="I19">
        <v>0.18715972527296201</v>
      </c>
      <c r="J19">
        <v>0.74170255037820698</v>
      </c>
      <c r="K19">
        <v>0.226892929972799</v>
      </c>
    </row>
    <row r="20" spans="1:11" x14ac:dyDescent="0.3">
      <c r="A20" s="2" t="s">
        <v>17</v>
      </c>
      <c r="B20" s="2" t="s">
        <v>19</v>
      </c>
      <c r="C20" t="s">
        <v>13</v>
      </c>
      <c r="D20">
        <v>0.55341447339710204</v>
      </c>
      <c r="E20">
        <v>0.15016859985533901</v>
      </c>
      <c r="F20">
        <v>0.60027507230563404</v>
      </c>
      <c r="G20">
        <v>0.17779640521537701</v>
      </c>
      <c r="H20">
        <v>0.58594833590720996</v>
      </c>
      <c r="I20">
        <v>0.20624721368563401</v>
      </c>
      <c r="J20">
        <v>0.67708003462150401</v>
      </c>
      <c r="K20">
        <v>0.233618595009428</v>
      </c>
    </row>
    <row r="21" spans="1:11" x14ac:dyDescent="0.3">
      <c r="A21" s="2" t="s">
        <v>17</v>
      </c>
      <c r="B21" s="2" t="s">
        <v>19</v>
      </c>
      <c r="C21" t="s">
        <v>14</v>
      </c>
      <c r="D21">
        <v>0.52645731126970896</v>
      </c>
      <c r="E21">
        <v>9.6990448140343896E-2</v>
      </c>
      <c r="F21">
        <v>0.57453402203912096</v>
      </c>
      <c r="G21">
        <v>0.130376316589944</v>
      </c>
      <c r="H21">
        <v>0.58494575320120701</v>
      </c>
      <c r="I21">
        <v>0.18959416398304599</v>
      </c>
      <c r="J21">
        <v>0.61859123024335805</v>
      </c>
      <c r="K21">
        <v>0.17054185347123199</v>
      </c>
    </row>
    <row r="22" spans="1:11" x14ac:dyDescent="0.3">
      <c r="A22" s="2" t="s">
        <v>17</v>
      </c>
      <c r="B22" s="2" t="s">
        <v>18</v>
      </c>
      <c r="C22" t="s">
        <v>11</v>
      </c>
      <c r="D22">
        <v>0.55669217279973904</v>
      </c>
      <c r="E22">
        <v>0.138803902382822</v>
      </c>
      <c r="F22">
        <v>0.64881353876081505</v>
      </c>
      <c r="G22">
        <v>0.13438282366128099</v>
      </c>
      <c r="H22">
        <v>0.58877103152231502</v>
      </c>
      <c r="I22">
        <v>0.18116812128152901</v>
      </c>
      <c r="J22">
        <v>0.78830639499087596</v>
      </c>
      <c r="K22">
        <v>0.17651009023304401</v>
      </c>
    </row>
    <row r="23" spans="1:11" x14ac:dyDescent="0.3">
      <c r="A23" s="2" t="s">
        <v>17</v>
      </c>
      <c r="B23" s="2" t="s">
        <v>18</v>
      </c>
      <c r="C23" t="s">
        <v>12</v>
      </c>
      <c r="D23">
        <v>0.52654881663925401</v>
      </c>
      <c r="E23">
        <v>0.14893078154011299</v>
      </c>
      <c r="F23">
        <v>0.62179978637649802</v>
      </c>
      <c r="G23">
        <v>0.15049614051855001</v>
      </c>
      <c r="H23">
        <v>0.56200886037956299</v>
      </c>
      <c r="I23">
        <v>0.17390702987506801</v>
      </c>
      <c r="J23">
        <v>0.76920599200640905</v>
      </c>
      <c r="K23">
        <v>0.20969177998114999</v>
      </c>
    </row>
    <row r="24" spans="1:11" x14ac:dyDescent="0.3">
      <c r="A24" s="2" t="s">
        <v>17</v>
      </c>
      <c r="B24" s="2" t="s">
        <v>18</v>
      </c>
      <c r="C24" t="s">
        <v>13</v>
      </c>
      <c r="D24">
        <v>0.54992297392874301</v>
      </c>
      <c r="E24">
        <v>0.13225208906115399</v>
      </c>
      <c r="F24">
        <v>0.61791370629112297</v>
      </c>
      <c r="G24">
        <v>0.14080253639180501</v>
      </c>
      <c r="H24">
        <v>0.60974728146230694</v>
      </c>
      <c r="I24">
        <v>0.20545178287243701</v>
      </c>
      <c r="J24">
        <v>0.70666962703650305</v>
      </c>
      <c r="K24">
        <v>0.20824310097276999</v>
      </c>
    </row>
    <row r="25" spans="1:11" x14ac:dyDescent="0.3">
      <c r="A25" s="2" t="s">
        <v>17</v>
      </c>
      <c r="B25" s="2" t="s">
        <v>18</v>
      </c>
      <c r="C25" t="s">
        <v>14</v>
      </c>
      <c r="D25">
        <v>0.51727571115334903</v>
      </c>
      <c r="E25">
        <v>0.15508546820307401</v>
      </c>
      <c r="F25">
        <v>0.57823653659471397</v>
      </c>
      <c r="G25">
        <v>0.17358618550520899</v>
      </c>
      <c r="H25">
        <v>0.55016511895876796</v>
      </c>
      <c r="I25">
        <v>0.20603276160607001</v>
      </c>
      <c r="J25">
        <v>0.65257230117809495</v>
      </c>
      <c r="K25">
        <v>0.20110979946074301</v>
      </c>
    </row>
  </sheetData>
  <autoFilter ref="A1:K25" xr:uid="{20B60A1F-9449-4A91-8C37-2E569624DE33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F4F26-DE01-4BB2-9AB3-84FA32AC1323}">
  <dimension ref="A1:O14"/>
  <sheetViews>
    <sheetView tabSelected="1" topLeftCell="C1" workbookViewId="0">
      <selection activeCell="K19" sqref="K19"/>
    </sheetView>
  </sheetViews>
  <sheetFormatPr defaultRowHeight="14.4" x14ac:dyDescent="0.3"/>
  <cols>
    <col min="1" max="1" width="6.88671875" customWidth="1"/>
    <col min="2" max="2" width="16.5546875" customWidth="1"/>
    <col min="3" max="3" width="14.44140625" bestFit="1" customWidth="1"/>
    <col min="4" max="7" width="15.6640625" style="1" customWidth="1"/>
    <col min="8" max="15" width="15.6640625" customWidth="1"/>
  </cols>
  <sheetData>
    <row r="1" spans="1:15" s="25" customFormat="1" ht="15" thickBot="1" x14ac:dyDescent="0.35">
      <c r="D1" s="26" t="s">
        <v>15</v>
      </c>
      <c r="E1" s="26" t="s">
        <v>15</v>
      </c>
      <c r="F1" s="26" t="s">
        <v>15</v>
      </c>
      <c r="G1" s="26" t="s">
        <v>15</v>
      </c>
      <c r="H1" s="25" t="s">
        <v>19</v>
      </c>
      <c r="I1" s="25" t="s">
        <v>19</v>
      </c>
      <c r="J1" s="25" t="s">
        <v>19</v>
      </c>
      <c r="K1" s="25" t="s">
        <v>19</v>
      </c>
      <c r="L1" s="25" t="s">
        <v>18</v>
      </c>
      <c r="M1" s="25" t="s">
        <v>18</v>
      </c>
      <c r="N1" s="25" t="s">
        <v>18</v>
      </c>
      <c r="O1" s="25" t="s">
        <v>18</v>
      </c>
    </row>
    <row r="2" spans="1:15" x14ac:dyDescent="0.3">
      <c r="B2" s="33" t="s">
        <v>29</v>
      </c>
      <c r="C2" s="4" t="s">
        <v>25</v>
      </c>
      <c r="D2" s="33" t="s">
        <v>26</v>
      </c>
      <c r="E2" s="34"/>
      <c r="F2" s="34"/>
      <c r="G2" s="35"/>
      <c r="H2" s="36" t="s">
        <v>27</v>
      </c>
      <c r="I2" s="37"/>
      <c r="J2" s="37"/>
      <c r="K2" s="38"/>
      <c r="L2" s="36" t="s">
        <v>28</v>
      </c>
      <c r="M2" s="37"/>
      <c r="N2" s="37"/>
      <c r="O2" s="38"/>
    </row>
    <row r="3" spans="1:15" x14ac:dyDescent="0.3">
      <c r="B3" s="41"/>
      <c r="C3" s="10" t="s">
        <v>20</v>
      </c>
      <c r="D3" s="9" t="s">
        <v>21</v>
      </c>
      <c r="E3" s="5" t="s">
        <v>22</v>
      </c>
      <c r="F3" s="5" t="s">
        <v>23</v>
      </c>
      <c r="G3" s="10" t="s">
        <v>24</v>
      </c>
      <c r="H3" s="9" t="s">
        <v>21</v>
      </c>
      <c r="I3" s="5" t="s">
        <v>22</v>
      </c>
      <c r="J3" s="5" t="s">
        <v>23</v>
      </c>
      <c r="K3" s="10" t="s">
        <v>24</v>
      </c>
      <c r="L3" s="9" t="s">
        <v>21</v>
      </c>
      <c r="M3" s="5" t="s">
        <v>22</v>
      </c>
      <c r="N3" s="5" t="s">
        <v>23</v>
      </c>
      <c r="O3" s="10" t="s">
        <v>24</v>
      </c>
    </row>
    <row r="4" spans="1:15" x14ac:dyDescent="0.3">
      <c r="A4" s="25" t="s">
        <v>17</v>
      </c>
      <c r="B4" s="39" t="s">
        <v>30</v>
      </c>
      <c r="C4" s="3" t="s">
        <v>11</v>
      </c>
      <c r="D4" s="13" t="str">
        <f>TEXT(ROUND(SUMIFS(Sheet1!$D:$D,Sheet1!$C:$C,$C4,Sheet1!$B:$B,D$1,Sheet1!$A:$A,$A4)*100,4),"0.0000") &amp; " ± " &amp; TEXT(ROUND(SUMIFS(Sheet1!$E:$E,Sheet1!$C:$C,$C4,Sheet1!$B:$B,D$1,Sheet1!$A:$A,$A4)*100,2),"0.00")</f>
        <v>48.8396 ± 13.55</v>
      </c>
      <c r="E4" s="7" t="str">
        <f>TEXT(ROUND(SUMIFS(Sheet1!$F:$F,Sheet1!$C:$C,$C4,Sheet1!$B:$B,E$1,Sheet1!$A:$A,$A4)*100,4),"0.0000") &amp; " ± " &amp; TEXT(ROUND(SUMIFS(Sheet1!$G:$G,Sheet1!$C:$C,$C4,Sheet1!$B:$B,E$1,Sheet1!$A:$A,$A4)*100,2),"0.00")</f>
        <v>55.8228 ± 14.65</v>
      </c>
      <c r="F4" s="7" t="str">
        <f>TEXT(ROUND(SUMIFS(Sheet1!$H:$H,Sheet1!$C:$C,$C4,Sheet1!$B:$B,F$1,Sheet1!$A:$A,$A4)*100,4),"0.0000") &amp; " ± " &amp; TEXT(ROUND(SUMIFS(Sheet1!$I:$I,Sheet1!$C:$C,$C4,Sheet1!$B:$B,F$1,Sheet1!$A:$A,$A4)*100,2),"0.00")</f>
        <v>55.7056 ± 19.42</v>
      </c>
      <c r="G4" s="14" t="str">
        <f>TEXT(ROUND(SUMIFS(Sheet1!$J:$J,Sheet1!$C:$C,$C4,Sheet1!$B:$B,G$1,Sheet1!$A:$A,$A4)*100,4),"0.0000") &amp; " ± " &amp; TEXT(ROUND(SUMIFS(Sheet1!$K:$K,Sheet1!$C:$C,$C4,Sheet1!$B:$B,G$1,Sheet1!$A:$A,$A4)*100,2),"0.00")</f>
        <v>63.4637 ± 23.01</v>
      </c>
      <c r="H4" s="13" t="str">
        <f>TEXT(ROUND(SUMIFS(Sheet1!$D:$D,Sheet1!$C:$C,$C4,Sheet1!$B:$B,H$1,Sheet1!$A:$A,$A4)*100,4),"0.0000") &amp; " ± " &amp; TEXT(ROUND(SUMIFS(Sheet1!$E:$E,Sheet1!$C:$C,$C4,Sheet1!$B:$B,H$1,Sheet1!$A:$A,$A4)*100,2),"0.00")</f>
        <v>54.9994 ± 11.86</v>
      </c>
      <c r="I4" s="6" t="str">
        <f>TEXT(ROUND(SUMIFS(Sheet1!$F:$F,Sheet1!$C:$C,$C4,Sheet1!$B:$B,I$1,Sheet1!$A:$A,$A4)*100,4),"0.0000") &amp; " ± " &amp; TEXT(ROUND(SUMIFS(Sheet1!$G:$G,Sheet1!$C:$C,$C4,Sheet1!$B:$B,I$1,Sheet1!$A:$A,$A4)*100,2),"0.00")</f>
        <v>63.7333 ± 13.91</v>
      </c>
      <c r="J4" s="7" t="str">
        <f>TEXT(ROUND(SUMIFS(Sheet1!$H:$H,Sheet1!$C:$C,$C4,Sheet1!$B:$B,J$1,Sheet1!$A:$A,$A4)*100,4),"0.0000") &amp; " ± " &amp; TEXT(ROUND(SUMIFS(Sheet1!$I:$I,Sheet1!$C:$C,$C4,Sheet1!$B:$B,J$1,Sheet1!$A:$A,$A4)*100,2),"0.00")</f>
        <v>57.9740 ± 18.01</v>
      </c>
      <c r="K4" s="19" t="str">
        <f>TEXT(ROUND(SUMIFS(Sheet1!$J:$J,Sheet1!$C:$C,$C4,Sheet1!$B:$B,K$1,Sheet1!$A:$A,$A4)*100,4),"0.0000") &amp; " ± " &amp; TEXT(ROUND(SUMIFS(Sheet1!$K:$K,Sheet1!$C:$C,$C4,Sheet1!$B:$B,K$1,Sheet1!$A:$A,$A4)*100,2),"0.00")</f>
        <v>76.9469 ± 19.03</v>
      </c>
      <c r="L4" s="18" t="str">
        <f>TEXT(ROUND(SUMIFS(Sheet1!$D:$D,Sheet1!$C:$C,$C4,Sheet1!$B:$B,L$1,Sheet1!$A:$A,$A4)*100,4),"0.0000") &amp; " ± " &amp; TEXT(ROUND(SUMIFS(Sheet1!$E:$E,Sheet1!$C:$C,$C4,Sheet1!$B:$B,L$1,Sheet1!$A:$A,$A4)*100,2),"0.00")</f>
        <v>55.6692 ± 13.88</v>
      </c>
      <c r="M4" s="6" t="str">
        <f>TEXT(ROUND(SUMIFS(Sheet1!$F:$F,Sheet1!$C:$C,$C4,Sheet1!$B:$B,M$1,Sheet1!$A:$A,$A4)*100,4),"0.0000") &amp; " ± " &amp; TEXT(ROUND(SUMIFS(Sheet1!$G:$G,Sheet1!$C:$C,$C4,Sheet1!$B:$B,M$1,Sheet1!$A:$A,$A4)*100,2),"0.00")</f>
        <v>64.8814 ± 13.44</v>
      </c>
      <c r="N4" s="7" t="str">
        <f>TEXT(ROUND(SUMIFS(Sheet1!$H:$H,Sheet1!$C:$C,$C4,Sheet1!$B:$B,N$1,Sheet1!$A:$A,$A4)*100,4),"0.0000") &amp; " ± " &amp; TEXT(ROUND(SUMIFS(Sheet1!$I:$I,Sheet1!$C:$C,$C4,Sheet1!$B:$B,N$1,Sheet1!$A:$A,$A4)*100,2),"0.00")</f>
        <v>58.8771 ± 18.12</v>
      </c>
      <c r="O4" s="19" t="str">
        <f>TEXT(ROUND(SUMIFS(Sheet1!$J:$J,Sheet1!$C:$C,$C4,Sheet1!$B:$B,O$1,Sheet1!$A:$A,$A4)*100,4),"0.0000") &amp; " ± " &amp; TEXT(ROUND(SUMIFS(Sheet1!$K:$K,Sheet1!$C:$C,$C4,Sheet1!$B:$B,O$1,Sheet1!$A:$A,$A4)*100,2),"0.00")</f>
        <v>78.8306 ± 17.65</v>
      </c>
    </row>
    <row r="5" spans="1:15" x14ac:dyDescent="0.3">
      <c r="A5" s="25" t="s">
        <v>17</v>
      </c>
      <c r="B5" s="39"/>
      <c r="C5" s="20" t="s">
        <v>13</v>
      </c>
      <c r="D5" s="11" t="str">
        <f>TEXT(ROUND(SUMIFS(Sheet1!$D:$D,Sheet1!$C:$C,$C5,Sheet1!$B:$B,D$1,Sheet1!$A:$A,$A5)*100,4),"0.0000") &amp; " ± " &amp; TEXT(ROUND(SUMIFS(Sheet1!$E:$E,Sheet1!$C:$C,$C5,Sheet1!$B:$B,D$1,Sheet1!$A:$A,$A5)*100,2),"0.00")</f>
        <v>48.9933 ± 10.92</v>
      </c>
      <c r="E5" s="8" t="str">
        <f>TEXT(ROUND(SUMIFS(Sheet1!$F:$F,Sheet1!$C:$C,$C5,Sheet1!$B:$B,E$1,Sheet1!$A:$A,$A5)*100,4),"0.0000") &amp; " ± " &amp; TEXT(ROUND(SUMIFS(Sheet1!$G:$G,Sheet1!$C:$C,$C5,Sheet1!$B:$B,E$1,Sheet1!$A:$A,$A5)*100,2),"0.00")</f>
        <v>57.5651 ± 12.02</v>
      </c>
      <c r="F5" s="8" t="str">
        <f>TEXT(ROUND(SUMIFS(Sheet1!$H:$H,Sheet1!$C:$C,$C5,Sheet1!$B:$B,F$1,Sheet1!$A:$A,$A5)*100,4),"0.0000") &amp; " ± " &amp; TEXT(ROUND(SUMIFS(Sheet1!$I:$I,Sheet1!$C:$C,$C5,Sheet1!$B:$B,F$1,Sheet1!$A:$A,$A5)*100,2),"0.00")</f>
        <v>55.8550 ± 16.94</v>
      </c>
      <c r="G5" s="12" t="str">
        <f>TEXT(ROUND(SUMIFS(Sheet1!$J:$J,Sheet1!$C:$C,$C5,Sheet1!$B:$B,G$1,Sheet1!$A:$A,$A5)*100,4),"0.0000") &amp; " ± " &amp; TEXT(ROUND(SUMIFS(Sheet1!$K:$K,Sheet1!$C:$C,$C5,Sheet1!$B:$B,G$1,Sheet1!$A:$A,$A5)*100,2),"0.00")</f>
        <v>67.9989 ± 22.74</v>
      </c>
      <c r="H5" s="11" t="str">
        <f>TEXT(ROUND(SUMIFS(Sheet1!$D:$D,Sheet1!$C:$C,$C5,Sheet1!$B:$B,H$1,Sheet1!$A:$A,$A5)*100,4),"0.0000") &amp; " ± " &amp; TEXT(ROUND(SUMIFS(Sheet1!$E:$E,Sheet1!$C:$C,$C5,Sheet1!$B:$B,H$1,Sheet1!$A:$A,$A5)*100,2),"0.00")</f>
        <v>55.3414 ± 15.02</v>
      </c>
      <c r="I5" s="8" t="str">
        <f>TEXT(ROUND(SUMIFS(Sheet1!$F:$F,Sheet1!$C:$C,$C5,Sheet1!$B:$B,I$1,Sheet1!$A:$A,$A5)*100,4),"0.0000") &amp; " ± " &amp; TEXT(ROUND(SUMIFS(Sheet1!$G:$G,Sheet1!$C:$C,$C5,Sheet1!$B:$B,I$1,Sheet1!$A:$A,$A5)*100,2),"0.00")</f>
        <v>60.0275 ± 17.78</v>
      </c>
      <c r="J5" s="32" t="str">
        <f>TEXT(ROUND(SUMIFS(Sheet1!$H:$H,Sheet1!$C:$C,$C5,Sheet1!$B:$B,J$1,Sheet1!$A:$A,$A5)*100,4),"0.0000") &amp; " ± " &amp; TEXT(ROUND(SUMIFS(Sheet1!$I:$I,Sheet1!$C:$C,$C5,Sheet1!$B:$B,J$1,Sheet1!$A:$A,$A5)*100,2),"0.00")</f>
        <v>58.5948 ± 20.62</v>
      </c>
      <c r="K5" s="12" t="str">
        <f>TEXT(ROUND(SUMIFS(Sheet1!$J:$J,Sheet1!$C:$C,$C5,Sheet1!$B:$B,K$1,Sheet1!$A:$A,$A5)*100,4),"0.0000") &amp; " ± " &amp; TEXT(ROUND(SUMIFS(Sheet1!$K:$K,Sheet1!$C:$C,$C5,Sheet1!$B:$B,K$1,Sheet1!$A:$A,$A5)*100,2),"0.00")</f>
        <v>67.7080 ± 23.36</v>
      </c>
      <c r="L5" s="11" t="str">
        <f>TEXT(ROUND(SUMIFS(Sheet1!$D:$D,Sheet1!$C:$C,$C5,Sheet1!$B:$B,L$1,Sheet1!$A:$A,$A5)*100,4),"0.0000") &amp; " ± " &amp; TEXT(ROUND(SUMIFS(Sheet1!$E:$E,Sheet1!$C:$C,$C5,Sheet1!$B:$B,L$1,Sheet1!$A:$A,$A5)*100,2),"0.00")</f>
        <v>54.9923 ± 13.23</v>
      </c>
      <c r="M5" s="8" t="str">
        <f>TEXT(ROUND(SUMIFS(Sheet1!$F:$F,Sheet1!$C:$C,$C5,Sheet1!$B:$B,M$1,Sheet1!$A:$A,$A5)*100,4),"0.0000") &amp; " ± " &amp; TEXT(ROUND(SUMIFS(Sheet1!$G:$G,Sheet1!$C:$C,$C5,Sheet1!$B:$B,M$1,Sheet1!$A:$A,$A5)*100,2),"0.00")</f>
        <v>61.7914 ± 14.08</v>
      </c>
      <c r="N5" s="32" t="str">
        <f>TEXT(ROUND(SUMIFS(Sheet1!$H:$H,Sheet1!$C:$C,$C5,Sheet1!$B:$B,N$1,Sheet1!$A:$A,$A5)*100,4),"0.0000") &amp; " ± " &amp; TEXT(ROUND(SUMIFS(Sheet1!$I:$I,Sheet1!$C:$C,$C5,Sheet1!$B:$B,N$1,Sheet1!$A:$A,$A5)*100,2),"0.00")</f>
        <v>60.9747 ± 20.55</v>
      </c>
      <c r="O5" s="12" t="str">
        <f>TEXT(ROUND(SUMIFS(Sheet1!$J:$J,Sheet1!$C:$C,$C5,Sheet1!$B:$B,O$1,Sheet1!$A:$A,$A5)*100,4),"0.0000") &amp; " ± " &amp; TEXT(ROUND(SUMIFS(Sheet1!$K:$K,Sheet1!$C:$C,$C5,Sheet1!$B:$B,O$1,Sheet1!$A:$A,$A5)*100,2),"0.00")</f>
        <v>70.6670 ± 20.82</v>
      </c>
    </row>
    <row r="6" spans="1:15" x14ac:dyDescent="0.3">
      <c r="A6" s="25" t="s">
        <v>17</v>
      </c>
      <c r="B6" s="39"/>
      <c r="C6" s="3" t="s">
        <v>12</v>
      </c>
      <c r="D6" s="13" t="str">
        <f>TEXT(ROUND(SUMIFS(Sheet1!$D:$D,Sheet1!$C:$C,$C6,Sheet1!$B:$B,D$1,Sheet1!$A:$A,$A6)*100,4),"0.0000") &amp; " ± " &amp; TEXT(ROUND(SUMIFS(Sheet1!$E:$E,Sheet1!$C:$C,$C6,Sheet1!$B:$B,D$1,Sheet1!$A:$A,$A6)*100,2),"0.00")</f>
        <v>50.3212 ± 12.59</v>
      </c>
      <c r="E6" s="6" t="str">
        <f>TEXT(ROUND(SUMIFS(Sheet1!$F:$F,Sheet1!$C:$C,$C6,Sheet1!$B:$B,E$1,Sheet1!$A:$A,$A6)*100,4),"0.0000") &amp; " ± " &amp; TEXT(ROUND(SUMIFS(Sheet1!$G:$G,Sheet1!$C:$C,$C6,Sheet1!$B:$B,E$1,Sheet1!$A:$A,$A6)*100,2),"0.00")</f>
        <v>59.7377 ± 15.57</v>
      </c>
      <c r="F6" s="6" t="str">
        <f>TEXT(ROUND(SUMIFS(Sheet1!$H:$H,Sheet1!$C:$C,$C6,Sheet1!$B:$B,F$1,Sheet1!$A:$A,$A6)*100,4),"0.0000") &amp; " ± " &amp; TEXT(ROUND(SUMIFS(Sheet1!$I:$I,Sheet1!$C:$C,$C6,Sheet1!$B:$B,F$1,Sheet1!$A:$A,$A6)*100,2),"0.00")</f>
        <v>54.9651 ± 18.32</v>
      </c>
      <c r="G6" s="19" t="str">
        <f>TEXT(ROUND(SUMIFS(Sheet1!$J:$J,Sheet1!$C:$C,$C6,Sheet1!$B:$B,G$1,Sheet1!$A:$A,$A6)*100,4),"0.0000") &amp; " ± " &amp; TEXT(ROUND(SUMIFS(Sheet1!$K:$K,Sheet1!$C:$C,$C6,Sheet1!$B:$B,G$1,Sheet1!$A:$A,$A6)*100,2),"0.00")</f>
        <v>73.2498 ± 23.93</v>
      </c>
      <c r="H6" s="18" t="str">
        <f>TEXT(ROUND(SUMIFS(Sheet1!$D:$D,Sheet1!$C:$C,$C6,Sheet1!$B:$B,H$1,Sheet1!$A:$A,$A6)*100,4),"0.0000") &amp; " ± " &amp; TEXT(ROUND(SUMIFS(Sheet1!$E:$E,Sheet1!$C:$C,$C6,Sheet1!$B:$B,H$1,Sheet1!$A:$A,$A6)*100,2),"0.00")</f>
        <v>56.4370 ± 15.54</v>
      </c>
      <c r="I6" s="7" t="str">
        <f>TEXT(ROUND(SUMIFS(Sheet1!$F:$F,Sheet1!$C:$C,$C6,Sheet1!$B:$B,I$1,Sheet1!$A:$A,$A6)*100,4),"0.0000") &amp; " ± " &amp; TEXT(ROUND(SUMIFS(Sheet1!$G:$G,Sheet1!$C:$C,$C6,Sheet1!$B:$B,I$1,Sheet1!$A:$A,$A6)*100,2),"0.00")</f>
        <v>63.0785 ± 17.33</v>
      </c>
      <c r="J6" s="7" t="str">
        <f>TEXT(ROUND(SUMIFS(Sheet1!$H:$H,Sheet1!$C:$C,$C6,Sheet1!$B:$B,J$1,Sheet1!$A:$A,$A6)*100,4),"0.0000") &amp; " ± " &amp; TEXT(ROUND(SUMIFS(Sheet1!$I:$I,Sheet1!$C:$C,$C6,Sheet1!$B:$B,J$1,Sheet1!$A:$A,$A6)*100,2),"0.00")</f>
        <v>57.9754 ± 18.72</v>
      </c>
      <c r="K6" s="14" t="str">
        <f>TEXT(ROUND(SUMIFS(Sheet1!$J:$J,Sheet1!$C:$C,$C6,Sheet1!$B:$B,K$1,Sheet1!$A:$A,$A6)*100,4),"0.0000") &amp; " ± " &amp; TEXT(ROUND(SUMIFS(Sheet1!$K:$K,Sheet1!$C:$C,$C6,Sheet1!$B:$B,K$1,Sheet1!$A:$A,$A6)*100,2),"0.00")</f>
        <v>74.1703 ± 22.69</v>
      </c>
      <c r="L6" s="13" t="str">
        <f>TEXT(ROUND(SUMIFS(Sheet1!$D:$D,Sheet1!$C:$C,$C6,Sheet1!$B:$B,L$1,Sheet1!$A:$A,$A6)*100,4),"0.0000") &amp; " ± " &amp; TEXT(ROUND(SUMIFS(Sheet1!$E:$E,Sheet1!$C:$C,$C6,Sheet1!$B:$B,L$1,Sheet1!$A:$A,$A6)*100,2),"0.00")</f>
        <v>52.6549 ± 14.89</v>
      </c>
      <c r="M6" s="7" t="str">
        <f>TEXT(ROUND(SUMIFS(Sheet1!$F:$F,Sheet1!$C:$C,$C6,Sheet1!$B:$B,M$1,Sheet1!$A:$A,$A6)*100,4),"0.0000") &amp; " ± " &amp; TEXT(ROUND(SUMIFS(Sheet1!$G:$G,Sheet1!$C:$C,$C6,Sheet1!$B:$B,M$1,Sheet1!$A:$A,$A6)*100,2),"0.00")</f>
        <v>62.1800 ± 15.05</v>
      </c>
      <c r="N6" s="7" t="str">
        <f>TEXT(ROUND(SUMIFS(Sheet1!$H:$H,Sheet1!$C:$C,$C6,Sheet1!$B:$B,N$1,Sheet1!$A:$A,$A6)*100,4),"0.0000") &amp; " ± " &amp; TEXT(ROUND(SUMIFS(Sheet1!$I:$I,Sheet1!$C:$C,$C6,Sheet1!$B:$B,N$1,Sheet1!$A:$A,$A6)*100,2),"0.00")</f>
        <v>56.2009 ± 17.39</v>
      </c>
      <c r="O6" s="14" t="str">
        <f>TEXT(ROUND(SUMIFS(Sheet1!$J:$J,Sheet1!$C:$C,$C6,Sheet1!$B:$B,O$1,Sheet1!$A:$A,$A6)*100,4),"0.0000") &amp; " ± " &amp; TEXT(ROUND(SUMIFS(Sheet1!$K:$K,Sheet1!$C:$C,$C6,Sheet1!$B:$B,O$1,Sheet1!$A:$A,$A6)*100,2),"0.00")</f>
        <v>76.9206 ± 20.97</v>
      </c>
    </row>
    <row r="7" spans="1:15" ht="15" thickBot="1" x14ac:dyDescent="0.35">
      <c r="A7" s="25" t="s">
        <v>17</v>
      </c>
      <c r="B7" s="40"/>
      <c r="C7" s="21" t="s">
        <v>14</v>
      </c>
      <c r="D7" s="48" t="str">
        <f>TEXT(ROUND(SUMIFS(Sheet1!$D:$D,Sheet1!$C:$C,$C7,Sheet1!$B:$B,D$1,Sheet1!$A:$A,$A7)*100,4),"0.0000") &amp; " ± " &amp; TEXT(ROUND(SUMIFS(Sheet1!$E:$E,Sheet1!$C:$C,$C7,Sheet1!$B:$B,D$1,Sheet1!$A:$A,$A7)*100,2),"0.00")</f>
        <v>50.7134 ± 11.70</v>
      </c>
      <c r="E7" s="16" t="str">
        <f>TEXT(ROUND(SUMIFS(Sheet1!$F:$F,Sheet1!$C:$C,$C7,Sheet1!$B:$B,E$1,Sheet1!$A:$A,$A7)*100,4),"0.0000") &amp; " ± " &amp; TEXT(ROUND(SUMIFS(Sheet1!$G:$G,Sheet1!$C:$C,$C7,Sheet1!$B:$B,E$1,Sheet1!$A:$A,$A7)*100,2),"0.00")</f>
        <v>57.3052 ± 12.88</v>
      </c>
      <c r="F7" s="16" t="str">
        <f>TEXT(ROUND(SUMIFS(Sheet1!$H:$H,Sheet1!$C:$C,$C7,Sheet1!$B:$B,F$1,Sheet1!$A:$A,$A7)*100,4),"0.0000") &amp; " ± " &amp; TEXT(ROUND(SUMIFS(Sheet1!$I:$I,Sheet1!$C:$C,$C7,Sheet1!$B:$B,F$1,Sheet1!$A:$A,$A7)*100,2),"0.00")</f>
        <v>55.5456 ± 18.04</v>
      </c>
      <c r="G7" s="17" t="str">
        <f>TEXT(ROUND(SUMIFS(Sheet1!$J:$J,Sheet1!$C:$C,$C7,Sheet1!$B:$B,G$1,Sheet1!$A:$A,$A7)*100,4),"0.0000") &amp; " ± " &amp; TEXT(ROUND(SUMIFS(Sheet1!$K:$K,Sheet1!$C:$C,$C7,Sheet1!$B:$B,G$1,Sheet1!$A:$A,$A7)*100,2),"0.00")</f>
        <v>63.4707 ± 15.09</v>
      </c>
      <c r="H7" s="15" t="str">
        <f>TEXT(ROUND(SUMIFS(Sheet1!$D:$D,Sheet1!$C:$C,$C7,Sheet1!$B:$B,H$1,Sheet1!$A:$A,$A7)*100,4),"0.0000") &amp; " ± " &amp; TEXT(ROUND(SUMIFS(Sheet1!$E:$E,Sheet1!$C:$C,$C7,Sheet1!$B:$B,H$1,Sheet1!$A:$A,$A7)*100,2),"0.00")</f>
        <v>52.6457 ± 9.70</v>
      </c>
      <c r="I7" s="16" t="str">
        <f>TEXT(ROUND(SUMIFS(Sheet1!$F:$F,Sheet1!$C:$C,$C7,Sheet1!$B:$B,I$1,Sheet1!$A:$A,$A7)*100,4),"0.0000") &amp; " ± " &amp; TEXT(ROUND(SUMIFS(Sheet1!$G:$G,Sheet1!$C:$C,$C7,Sheet1!$B:$B,I$1,Sheet1!$A:$A,$A7)*100,2),"0.00")</f>
        <v>57.4534 ± 13.04</v>
      </c>
      <c r="J7" s="16" t="str">
        <f>TEXT(ROUND(SUMIFS(Sheet1!$H:$H,Sheet1!$C:$C,$C7,Sheet1!$B:$B,J$1,Sheet1!$A:$A,$A7)*100,4),"0.0000") &amp; " ± " &amp; TEXT(ROUND(SUMIFS(Sheet1!$I:$I,Sheet1!$C:$C,$C7,Sheet1!$B:$B,J$1,Sheet1!$A:$A,$A7)*100,2),"0.00")</f>
        <v>58.4946 ± 18.96</v>
      </c>
      <c r="K7" s="17" t="str">
        <f>TEXT(ROUND(SUMIFS(Sheet1!$J:$J,Sheet1!$C:$C,$C7,Sheet1!$B:$B,K$1,Sheet1!$A:$A,$A7)*100,4),"0.0000") &amp; " ± " &amp; TEXT(ROUND(SUMIFS(Sheet1!$K:$K,Sheet1!$C:$C,$C7,Sheet1!$B:$B,K$1,Sheet1!$A:$A,$A7)*100,2),"0.00")</f>
        <v>61.8591 ± 17.05</v>
      </c>
      <c r="L7" s="15" t="str">
        <f>TEXT(ROUND(SUMIFS(Sheet1!$D:$D,Sheet1!$C:$C,$C7,Sheet1!$B:$B,L$1,Sheet1!$A:$A,$A7)*100,4),"0.0000") &amp; " ± " &amp; TEXT(ROUND(SUMIFS(Sheet1!$E:$E,Sheet1!$C:$C,$C7,Sheet1!$B:$B,L$1,Sheet1!$A:$A,$A7)*100,2),"0.00")</f>
        <v>51.7276 ± 15.51</v>
      </c>
      <c r="M7" s="16" t="str">
        <f>TEXT(ROUND(SUMIFS(Sheet1!$F:$F,Sheet1!$C:$C,$C7,Sheet1!$B:$B,M$1,Sheet1!$A:$A,$A7)*100,4),"0.0000") &amp; " ± " &amp; TEXT(ROUND(SUMIFS(Sheet1!$G:$G,Sheet1!$C:$C,$C7,Sheet1!$B:$B,M$1,Sheet1!$A:$A,$A7)*100,2),"0.00")</f>
        <v>57.8237 ± 17.36</v>
      </c>
      <c r="N7" s="16" t="str">
        <f>TEXT(ROUND(SUMIFS(Sheet1!$H:$H,Sheet1!$C:$C,$C7,Sheet1!$B:$B,N$1,Sheet1!$A:$A,$A7)*100,4),"0.0000") &amp; " ± " &amp; TEXT(ROUND(SUMIFS(Sheet1!$I:$I,Sheet1!$C:$C,$C7,Sheet1!$B:$B,N$1,Sheet1!$A:$A,$A7)*100,2),"0.00")</f>
        <v>55.0165 ± 20.60</v>
      </c>
      <c r="O7" s="17" t="str">
        <f>TEXT(ROUND(SUMIFS(Sheet1!$J:$J,Sheet1!$C:$C,$C7,Sheet1!$B:$B,O$1,Sheet1!$A:$A,$A7)*100,4),"0.0000") &amp; " ± " &amp; TEXT(ROUND(SUMIFS(Sheet1!$K:$K,Sheet1!$C:$C,$C7,Sheet1!$B:$B,O$1,Sheet1!$A:$A,$A7)*100,2),"0.00")</f>
        <v>65.2572 ± 20.11</v>
      </c>
    </row>
    <row r="8" spans="1:15" ht="15" thickBot="1" x14ac:dyDescent="0.35">
      <c r="A8" s="25"/>
      <c r="B8" s="1"/>
      <c r="D8" s="27"/>
      <c r="E8" s="27"/>
      <c r="F8" s="27"/>
      <c r="G8" s="27"/>
      <c r="H8" s="28"/>
      <c r="I8" s="28"/>
      <c r="J8" s="28"/>
      <c r="K8" s="28"/>
      <c r="L8" s="28"/>
      <c r="M8" s="28"/>
      <c r="N8" s="28"/>
      <c r="O8" s="28"/>
    </row>
    <row r="9" spans="1:15" x14ac:dyDescent="0.3">
      <c r="A9" s="25"/>
      <c r="B9" s="33" t="s">
        <v>29</v>
      </c>
      <c r="C9" s="22" t="s">
        <v>25</v>
      </c>
      <c r="D9" s="42" t="s">
        <v>26</v>
      </c>
      <c r="E9" s="43"/>
      <c r="F9" s="43"/>
      <c r="G9" s="44"/>
      <c r="H9" s="45" t="s">
        <v>27</v>
      </c>
      <c r="I9" s="46"/>
      <c r="J9" s="46"/>
      <c r="K9" s="47"/>
      <c r="L9" s="45" t="s">
        <v>28</v>
      </c>
      <c r="M9" s="46"/>
      <c r="N9" s="46"/>
      <c r="O9" s="47"/>
    </row>
    <row r="10" spans="1:15" x14ac:dyDescent="0.3">
      <c r="A10" s="25"/>
      <c r="B10" s="41"/>
      <c r="C10" s="23" t="s">
        <v>20</v>
      </c>
      <c r="D10" s="29" t="s">
        <v>21</v>
      </c>
      <c r="E10" s="30" t="s">
        <v>22</v>
      </c>
      <c r="F10" s="30" t="s">
        <v>23</v>
      </c>
      <c r="G10" s="31" t="s">
        <v>24</v>
      </c>
      <c r="H10" s="29" t="s">
        <v>21</v>
      </c>
      <c r="I10" s="30" t="s">
        <v>22</v>
      </c>
      <c r="J10" s="30" t="s">
        <v>23</v>
      </c>
      <c r="K10" s="31" t="s">
        <v>24</v>
      </c>
      <c r="L10" s="29" t="s">
        <v>21</v>
      </c>
      <c r="M10" s="30" t="s">
        <v>22</v>
      </c>
      <c r="N10" s="30" t="s">
        <v>23</v>
      </c>
      <c r="O10" s="31" t="s">
        <v>24</v>
      </c>
    </row>
    <row r="11" spans="1:15" x14ac:dyDescent="0.3">
      <c r="A11" s="25" t="s">
        <v>16</v>
      </c>
      <c r="B11" s="39" t="s">
        <v>31</v>
      </c>
      <c r="C11" s="3" t="s">
        <v>11</v>
      </c>
      <c r="D11" s="13" t="str">
        <f>TEXT(ROUND(SUMIFS(Sheet1!$D:$D,Sheet1!$C:$C,$C11,Sheet1!$B:$B,D$1,Sheet1!$A:$A,$A11)*100,4),"0.0000") &amp; " ± " &amp; TEXT(ROUND(SUMIFS(Sheet1!$E:$E,Sheet1!$C:$C,$C11,Sheet1!$B:$B,D$1,Sheet1!$A:$A,$A11)*100,2),"0.00")</f>
        <v>54.0329 ± 18.20</v>
      </c>
      <c r="E11" s="7" t="str">
        <f>TEXT(ROUND(SUMIFS(Sheet1!$F:$F,Sheet1!$C:$C,$C11,Sheet1!$B:$B,E$1,Sheet1!$A:$A,$A11)*100,4),"0.0000") &amp; " ± " &amp; TEXT(ROUND(SUMIFS(Sheet1!$G:$G,Sheet1!$C:$C,$C11,Sheet1!$B:$B,E$1,Sheet1!$A:$A,$A11)*100,2),"0.00")</f>
        <v>58.3459 ± 19.75</v>
      </c>
      <c r="F11" s="7" t="str">
        <f>TEXT(ROUND(SUMIFS(Sheet1!$H:$H,Sheet1!$C:$C,$C11,Sheet1!$B:$B,F$1,Sheet1!$A:$A,$A11)*100,4),"0.0000") &amp; " ± " &amp; TEXT(ROUND(SUMIFS(Sheet1!$I:$I,Sheet1!$C:$C,$C11,Sheet1!$B:$B,F$1,Sheet1!$A:$A,$A11)*100,2),"0.00")</f>
        <v>57.7824 ± 21.24</v>
      </c>
      <c r="G11" s="14" t="str">
        <f>TEXT(ROUND(SUMIFS(Sheet1!$J:$J,Sheet1!$C:$C,$C11,Sheet1!$B:$B,G$1,Sheet1!$A:$A,$A11)*100,4),"0.0000") &amp; " ± " &amp; TEXT(ROUND(SUMIFS(Sheet1!$K:$K,Sheet1!$C:$C,$C11,Sheet1!$B:$B,G$1,Sheet1!$A:$A,$A11)*100,2),"0.00")</f>
        <v>64.4408 ± 26.35</v>
      </c>
      <c r="H11" s="13" t="str">
        <f>TEXT(ROUND(SUMIFS(Sheet1!$D:$D,Sheet1!$C:$C,$C11,Sheet1!$B:$B,H$1,Sheet1!$A:$A,$A11)*100,4),"0.0000") &amp; " ± " &amp; TEXT(ROUND(SUMIFS(Sheet1!$E:$E,Sheet1!$C:$C,$C11,Sheet1!$B:$B,H$1,Sheet1!$A:$A,$A11)*100,2),"0.00")</f>
        <v>60.7346 ± 18.61</v>
      </c>
      <c r="I11" s="7" t="str">
        <f>TEXT(ROUND(SUMIFS(Sheet1!$F:$F,Sheet1!$C:$C,$C11,Sheet1!$B:$B,I$1,Sheet1!$A:$A,$A11)*100,4),"0.0000") &amp; " ± " &amp; TEXT(ROUND(SUMIFS(Sheet1!$G:$G,Sheet1!$C:$C,$C11,Sheet1!$B:$B,I$1,Sheet1!$A:$A,$A11)*100,2),"0.00")</f>
        <v>65.4195 ± 19.23</v>
      </c>
      <c r="J11" s="7" t="str">
        <f>TEXT(ROUND(SUMIFS(Sheet1!$H:$H,Sheet1!$C:$C,$C11,Sheet1!$B:$B,J$1,Sheet1!$A:$A,$A11)*100,4),"0.0000") &amp; " ± " &amp; TEXT(ROUND(SUMIFS(Sheet1!$I:$I,Sheet1!$C:$C,$C11,Sheet1!$B:$B,J$1,Sheet1!$A:$A,$A11)*100,2),"0.00")</f>
        <v>63.8298 ± 22.24</v>
      </c>
      <c r="K11" s="14" t="str">
        <f>TEXT(ROUND(SUMIFS(Sheet1!$J:$J,Sheet1!$C:$C,$C11,Sheet1!$B:$B,K$1,Sheet1!$A:$A,$A11)*100,4),"0.0000") &amp; " ± " &amp; TEXT(ROUND(SUMIFS(Sheet1!$K:$K,Sheet1!$C:$C,$C11,Sheet1!$B:$B,K$1,Sheet1!$A:$A,$A11)*100,2),"0.00")</f>
        <v>73.3167 ± 24.77</v>
      </c>
      <c r="L11" s="13" t="str">
        <f>TEXT(ROUND(SUMIFS(Sheet1!$D:$D,Sheet1!$C:$C,$C11,Sheet1!$B:$B,L$1,Sheet1!$A:$A,$A11)*100,4),"0.0000") &amp; " ± " &amp; TEXT(ROUND(SUMIFS(Sheet1!$E:$E,Sheet1!$C:$C,$C11,Sheet1!$B:$B,L$1,Sheet1!$A:$A,$A11)*100,2),"0.00")</f>
        <v>57.1410 ± 17.74</v>
      </c>
      <c r="M11" s="7" t="str">
        <f>TEXT(ROUND(SUMIFS(Sheet1!$F:$F,Sheet1!$C:$C,$C11,Sheet1!$B:$B,M$1,Sheet1!$A:$A,$A11)*100,4),"0.0000") &amp; " ± " &amp; TEXT(ROUND(SUMIFS(Sheet1!$G:$G,Sheet1!$C:$C,$C11,Sheet1!$B:$B,M$1,Sheet1!$A:$A,$A11)*100,2),"0.00")</f>
        <v>63.8948 ± 19.29</v>
      </c>
      <c r="N11" s="7" t="str">
        <f>TEXT(ROUND(SUMIFS(Sheet1!$H:$H,Sheet1!$C:$C,$C11,Sheet1!$B:$B,N$1,Sheet1!$A:$A,$A11)*100,4),"0.0000") &amp; " ± " &amp; TEXT(ROUND(SUMIFS(Sheet1!$I:$I,Sheet1!$C:$C,$C11,Sheet1!$B:$B,N$1,Sheet1!$A:$A,$A11)*100,2),"0.00")</f>
        <v>59.4592 ± 22.05</v>
      </c>
      <c r="O11" s="19" t="str">
        <f>TEXT(ROUND(SUMIFS(Sheet1!$J:$J,Sheet1!$C:$C,$C11,Sheet1!$B:$B,O$1,Sheet1!$A:$A,$A11)*100,4),"0.0000") &amp; " ± " &amp; TEXT(ROUND(SUMIFS(Sheet1!$K:$K,Sheet1!$C:$C,$C11,Sheet1!$B:$B,O$1,Sheet1!$A:$A,$A11)*100,2),"0.00")</f>
        <v>74.9723 ± 24.72</v>
      </c>
    </row>
    <row r="12" spans="1:15" x14ac:dyDescent="0.3">
      <c r="A12" s="25" t="s">
        <v>16</v>
      </c>
      <c r="B12" s="39"/>
      <c r="C12" s="20" t="s">
        <v>13</v>
      </c>
      <c r="D12" s="24" t="str">
        <f>TEXT(ROUND(SUMIFS(Sheet1!$D:$D,Sheet1!$C:$C,$C12,Sheet1!$B:$B,D$1,Sheet1!$A:$A,$A12)*100,4),"0.0000") &amp; " ± " &amp; TEXT(ROUND(SUMIFS(Sheet1!$E:$E,Sheet1!$C:$C,$C12,Sheet1!$B:$B,D$1,Sheet1!$A:$A,$A12)*100,2),"0.00")</f>
        <v>58.1423 ± 16.22</v>
      </c>
      <c r="E12" s="8" t="str">
        <f>TEXT(ROUND(SUMIFS(Sheet1!$F:$F,Sheet1!$C:$C,$C12,Sheet1!$B:$B,E$1,Sheet1!$A:$A,$A12)*100,4),"0.0000") &amp; " ± " &amp; TEXT(ROUND(SUMIFS(Sheet1!$G:$G,Sheet1!$C:$C,$C12,Sheet1!$B:$B,E$1,Sheet1!$A:$A,$A12)*100,2),"0.00")</f>
        <v>64.8592 ± 15.43</v>
      </c>
      <c r="F12" s="32" t="str">
        <f>TEXT(ROUND(SUMIFS(Sheet1!$H:$H,Sheet1!$C:$C,$C12,Sheet1!$B:$B,F$1,Sheet1!$A:$A,$A12)*100,4),"0.0000") &amp; " ± " &amp; TEXT(ROUND(SUMIFS(Sheet1!$I:$I,Sheet1!$C:$C,$C12,Sheet1!$B:$B,F$1,Sheet1!$A:$A,$A12)*100,2),"0.00")</f>
        <v>60.6478 ± 17.74</v>
      </c>
      <c r="G12" s="12" t="str">
        <f>TEXT(ROUND(SUMIFS(Sheet1!$J:$J,Sheet1!$C:$C,$C12,Sheet1!$B:$B,G$1,Sheet1!$A:$A,$A12)*100,4),"0.0000") &amp; " ± " &amp; TEXT(ROUND(SUMIFS(Sheet1!$K:$K,Sheet1!$C:$C,$C12,Sheet1!$B:$B,G$1,Sheet1!$A:$A,$A12)*100,2),"0.00")</f>
        <v>74.5847 ± 21.28</v>
      </c>
      <c r="H12" s="11" t="str">
        <f>TEXT(ROUND(SUMIFS(Sheet1!$D:$D,Sheet1!$C:$C,$C12,Sheet1!$B:$B,H$1,Sheet1!$A:$A,$A12)*100,4),"0.0000") &amp; " ± " &amp; TEXT(ROUND(SUMIFS(Sheet1!$E:$E,Sheet1!$C:$C,$C12,Sheet1!$B:$B,H$1,Sheet1!$A:$A,$A12)*100,2),"0.00")</f>
        <v>64.6142 ± 18.51</v>
      </c>
      <c r="I12" s="8" t="str">
        <f>TEXT(ROUND(SUMIFS(Sheet1!$F:$F,Sheet1!$C:$C,$C12,Sheet1!$B:$B,I$1,Sheet1!$A:$A,$A12)*100,4),"0.0000") &amp; " ± " &amp; TEXT(ROUND(SUMIFS(Sheet1!$G:$G,Sheet1!$C:$C,$C12,Sheet1!$B:$B,I$1,Sheet1!$A:$A,$A12)*100,2),"0.00")</f>
        <v>64.3142 ± 23.58</v>
      </c>
      <c r="J12" s="32" t="str">
        <f>TEXT(ROUND(SUMIFS(Sheet1!$H:$H,Sheet1!$C:$C,$C12,Sheet1!$B:$B,J$1,Sheet1!$A:$A,$A12)*100,4),"0.0000") &amp; " ± " &amp; TEXT(ROUND(SUMIFS(Sheet1!$I:$I,Sheet1!$C:$C,$C12,Sheet1!$B:$B,J$1,Sheet1!$A:$A,$A12)*100,2),"0.00")</f>
        <v>68.7320 ± 25.00</v>
      </c>
      <c r="K12" s="12" t="str">
        <f>TEXT(ROUND(SUMIFS(Sheet1!$J:$J,Sheet1!$C:$C,$C12,Sheet1!$B:$B,K$1,Sheet1!$A:$A,$A12)*100,4),"0.0000") &amp; " ± " &amp; TEXT(ROUND(SUMIFS(Sheet1!$K:$K,Sheet1!$C:$C,$C12,Sheet1!$B:$B,K$1,Sheet1!$A:$A,$A12)*100,2),"0.00")</f>
        <v>66.9823 ± 28.70</v>
      </c>
      <c r="L12" s="24" t="str">
        <f>TEXT(ROUND(SUMIFS(Sheet1!$D:$D,Sheet1!$C:$C,$C12,Sheet1!$B:$B,L$1,Sheet1!$A:$A,$A12)*100,4),"0.0000") &amp; " ± " &amp; TEXT(ROUND(SUMIFS(Sheet1!$E:$E,Sheet1!$C:$C,$C12,Sheet1!$B:$B,L$1,Sheet1!$A:$A,$A12)*100,2),"0.00")</f>
        <v>63.4718 ± 16.40</v>
      </c>
      <c r="M12" s="32" t="str">
        <f>TEXT(ROUND(SUMIFS(Sheet1!$F:$F,Sheet1!$C:$C,$C12,Sheet1!$B:$B,M$1,Sheet1!$A:$A,$A12)*100,4),"0.0000") &amp; " ± " &amp; TEXT(ROUND(SUMIFS(Sheet1!$G:$G,Sheet1!$C:$C,$C12,Sheet1!$B:$B,M$1,Sheet1!$A:$A,$A12)*100,2),"0.00")</f>
        <v>65.5777 ± 19.88</v>
      </c>
      <c r="N12" s="32" t="str">
        <f>TEXT(ROUND(SUMIFS(Sheet1!$H:$H,Sheet1!$C:$C,$C12,Sheet1!$B:$B,N$1,Sheet1!$A:$A,$A12)*100,4),"0.0000") &amp; " ± " &amp; TEXT(ROUND(SUMIFS(Sheet1!$I:$I,Sheet1!$C:$C,$C12,Sheet1!$B:$B,N$1,Sheet1!$A:$A,$A12)*100,2),"0.00")</f>
        <v>65.7032 ± 20.69</v>
      </c>
      <c r="O12" s="12" t="str">
        <f>TEXT(ROUND(SUMIFS(Sheet1!$J:$J,Sheet1!$C:$C,$C12,Sheet1!$B:$B,O$1,Sheet1!$A:$A,$A12)*100,4),"0.0000") &amp; " ± " &amp; TEXT(ROUND(SUMIFS(Sheet1!$K:$K,Sheet1!$C:$C,$C12,Sheet1!$B:$B,O$1,Sheet1!$A:$A,$A12)*100,2),"0.00")</f>
        <v>69.9280 ± 24.89</v>
      </c>
    </row>
    <row r="13" spans="1:15" x14ac:dyDescent="0.3">
      <c r="A13" s="25" t="s">
        <v>16</v>
      </c>
      <c r="B13" s="39"/>
      <c r="C13" s="3" t="s">
        <v>12</v>
      </c>
      <c r="D13" s="13" t="str">
        <f>TEXT(ROUND(SUMIFS(Sheet1!$D:$D,Sheet1!$C:$C,$C13,Sheet1!$B:$B,D$1,Sheet1!$A:$A,$A13)*100,4),"0.0000") &amp; " ± " &amp; TEXT(ROUND(SUMIFS(Sheet1!$E:$E,Sheet1!$C:$C,$C13,Sheet1!$B:$B,D$1,Sheet1!$A:$A,$A13)*100,2),"0.00")</f>
        <v>57.8802 ± 18.49</v>
      </c>
      <c r="E13" s="6" t="str">
        <f>TEXT(ROUND(SUMIFS(Sheet1!$F:$F,Sheet1!$C:$C,$C13,Sheet1!$B:$B,E$1,Sheet1!$A:$A,$A13)*100,4),"0.0000") &amp; " ± " &amp; TEXT(ROUND(SUMIFS(Sheet1!$G:$G,Sheet1!$C:$C,$C13,Sheet1!$B:$B,E$1,Sheet1!$A:$A,$A13)*100,2),"0.00")</f>
        <v>64.8732 ± 16.76</v>
      </c>
      <c r="F13" s="7" t="str">
        <f>TEXT(ROUND(SUMIFS(Sheet1!$H:$H,Sheet1!$C:$C,$C13,Sheet1!$B:$B,F$1,Sheet1!$A:$A,$A13)*100,4),"0.0000") &amp; " ± " &amp; TEXT(ROUND(SUMIFS(Sheet1!$I:$I,Sheet1!$C:$C,$C13,Sheet1!$B:$B,F$1,Sheet1!$A:$A,$A13)*100,2),"0.00")</f>
        <v>60.2796 ± 17.35</v>
      </c>
      <c r="G13" s="19" t="str">
        <f>TEXT(ROUND(SUMIFS(Sheet1!$J:$J,Sheet1!$C:$C,$C13,Sheet1!$B:$B,G$1,Sheet1!$A:$A,$A13)*100,4),"0.0000") &amp; " ± " &amp; TEXT(ROUND(SUMIFS(Sheet1!$K:$K,Sheet1!$C:$C,$C13,Sheet1!$B:$B,G$1,Sheet1!$A:$A,$A13)*100,2),"0.00")</f>
        <v>75.0111 ± 21.94</v>
      </c>
      <c r="H13" s="18" t="str">
        <f>TEXT(ROUND(SUMIFS(Sheet1!$D:$D,Sheet1!$C:$C,$C13,Sheet1!$B:$B,H$1,Sheet1!$A:$A,$A13)*100,4),"0.0000") &amp; " ± " &amp; TEXT(ROUND(SUMIFS(Sheet1!$E:$E,Sheet1!$C:$C,$C13,Sheet1!$B:$B,H$1,Sheet1!$A:$A,$A13)*100,2),"0.00")</f>
        <v>64.9354 ± 19.20</v>
      </c>
      <c r="I13" s="6" t="str">
        <f>TEXT(ROUND(SUMIFS(Sheet1!$F:$F,Sheet1!$C:$C,$C13,Sheet1!$B:$B,I$1,Sheet1!$A:$A,$A13)*100,4),"0.0000") &amp; " ± " &amp; TEXT(ROUND(SUMIFS(Sheet1!$G:$G,Sheet1!$C:$C,$C13,Sheet1!$B:$B,I$1,Sheet1!$A:$A,$A13)*100,2),"0.00")</f>
        <v>68.8011 ± 18.88</v>
      </c>
      <c r="J13" s="7" t="str">
        <f>TEXT(ROUND(SUMIFS(Sheet1!$H:$H,Sheet1!$C:$C,$C13,Sheet1!$B:$B,J$1,Sheet1!$A:$A,$A13)*100,4),"0.0000") &amp; " ± " &amp; TEXT(ROUND(SUMIFS(Sheet1!$I:$I,Sheet1!$C:$C,$C13,Sheet1!$B:$B,J$1,Sheet1!$A:$A,$A13)*100,2),"0.00")</f>
        <v>68.2835 ± 22.07</v>
      </c>
      <c r="K13" s="19" t="str">
        <f>TEXT(ROUND(SUMIFS(Sheet1!$J:$J,Sheet1!$C:$C,$C13,Sheet1!$B:$B,K$1,Sheet1!$A:$A,$A13)*100,4),"0.0000") &amp; " ± " &amp; TEXT(ROUND(SUMIFS(Sheet1!$K:$K,Sheet1!$C:$C,$C13,Sheet1!$B:$B,K$1,Sheet1!$A:$A,$A13)*100,2),"0.00")</f>
        <v>74.0642 ± 23.14</v>
      </c>
      <c r="L13" s="13" t="str">
        <f>TEXT(ROUND(SUMIFS(Sheet1!$D:$D,Sheet1!$C:$C,$C13,Sheet1!$B:$B,L$1,Sheet1!$A:$A,$A13)*100,4),"0.0000") &amp; " ± " &amp; TEXT(ROUND(SUMIFS(Sheet1!$E:$E,Sheet1!$C:$C,$C13,Sheet1!$B:$B,L$1,Sheet1!$A:$A,$A13)*100,2),"0.00")</f>
        <v>59.0633 ± 17.09</v>
      </c>
      <c r="M13" s="7" t="str">
        <f>TEXT(ROUND(SUMIFS(Sheet1!$F:$F,Sheet1!$C:$C,$C13,Sheet1!$B:$B,M$1,Sheet1!$A:$A,$A13)*100,4),"0.0000") &amp; " ± " &amp; TEXT(ROUND(SUMIFS(Sheet1!$G:$G,Sheet1!$C:$C,$C13,Sheet1!$B:$B,M$1,Sheet1!$A:$A,$A13)*100,2),"0.00")</f>
        <v>63.3540 ± 20.56</v>
      </c>
      <c r="N13" s="7" t="str">
        <f>TEXT(ROUND(SUMIFS(Sheet1!$H:$H,Sheet1!$C:$C,$C13,Sheet1!$B:$B,N$1,Sheet1!$A:$A,$A13)*100,4),"0.0000") &amp; " ± " &amp; TEXT(ROUND(SUMIFS(Sheet1!$I:$I,Sheet1!$C:$C,$C13,Sheet1!$B:$B,N$1,Sheet1!$A:$A,$A13)*100,2),"0.00")</f>
        <v>60.4651 ± 21.28</v>
      </c>
      <c r="O13" s="14" t="str">
        <f>TEXT(ROUND(SUMIFS(Sheet1!$J:$J,Sheet1!$C:$C,$C13,Sheet1!$B:$B,O$1,Sheet1!$A:$A,$A13)*100,4),"0.0000") &amp; " ± " &amp; TEXT(ROUND(SUMIFS(Sheet1!$K:$K,Sheet1!$C:$C,$C13,Sheet1!$B:$B,O$1,Sheet1!$A:$A,$A13)*100,2),"0.00")</f>
        <v>71.3732 ± 26.19</v>
      </c>
    </row>
    <row r="14" spans="1:15" ht="15" thickBot="1" x14ac:dyDescent="0.35">
      <c r="A14" s="25" t="s">
        <v>16</v>
      </c>
      <c r="B14" s="40"/>
      <c r="C14" s="21" t="s">
        <v>14</v>
      </c>
      <c r="D14" s="15" t="str">
        <f>TEXT(ROUND(SUMIFS(Sheet1!$D:$D,Sheet1!$C:$C,$C14,Sheet1!$B:$B,D$1,Sheet1!$A:$A,$A14)*100,4),"0.0000") &amp; " ± " &amp; TEXT(ROUND(SUMIFS(Sheet1!$E:$E,Sheet1!$C:$C,$C14,Sheet1!$B:$B,D$1,Sheet1!$A:$A,$A14)*100,2),"0.00")</f>
        <v>52.7621 ± 18.51</v>
      </c>
      <c r="E14" s="16" t="str">
        <f>TEXT(ROUND(SUMIFS(Sheet1!$F:$F,Sheet1!$C:$C,$C14,Sheet1!$B:$B,E$1,Sheet1!$A:$A,$A14)*100,4),"0.0000") &amp; " ± " &amp; TEXT(ROUND(SUMIFS(Sheet1!$G:$G,Sheet1!$C:$C,$C14,Sheet1!$B:$B,E$1,Sheet1!$A:$A,$A14)*100,2),"0.00")</f>
        <v>56.2333 ± 18.72</v>
      </c>
      <c r="F14" s="16" t="str">
        <f>TEXT(ROUND(SUMIFS(Sheet1!$H:$H,Sheet1!$C:$C,$C14,Sheet1!$B:$B,F$1,Sheet1!$A:$A,$A14)*100,4),"0.0000") &amp; " ± " &amp; TEXT(ROUND(SUMIFS(Sheet1!$I:$I,Sheet1!$C:$C,$C14,Sheet1!$B:$B,F$1,Sheet1!$A:$A,$A14)*100,2),"0.00")</f>
        <v>59.0338 ± 22.65</v>
      </c>
      <c r="G14" s="17" t="str">
        <f>TEXT(ROUND(SUMIFS(Sheet1!$J:$J,Sheet1!$C:$C,$C14,Sheet1!$B:$B,G$1,Sheet1!$A:$A,$A14)*100,4),"0.0000") &amp; " ± " &amp; TEXT(ROUND(SUMIFS(Sheet1!$K:$K,Sheet1!$C:$C,$C14,Sheet1!$B:$B,G$1,Sheet1!$A:$A,$A14)*100,2),"0.00")</f>
        <v>58.4662 ± 22.88</v>
      </c>
      <c r="H14" s="15" t="str">
        <f>TEXT(ROUND(SUMIFS(Sheet1!$D:$D,Sheet1!$C:$C,$C14,Sheet1!$B:$B,H$1,Sheet1!$A:$A,$A14)*100,4),"0.0000") &amp; " ± " &amp; TEXT(ROUND(SUMIFS(Sheet1!$E:$E,Sheet1!$C:$C,$C14,Sheet1!$B:$B,H$1,Sheet1!$A:$A,$A14)*100,2),"0.00")</f>
        <v>55.1458 ± 16.38</v>
      </c>
      <c r="I14" s="16" t="str">
        <f>TEXT(ROUND(SUMIFS(Sheet1!$F:$F,Sheet1!$C:$C,$C14,Sheet1!$B:$B,I$1,Sheet1!$A:$A,$A14)*100,4),"0.0000") &amp; " ± " &amp; TEXT(ROUND(SUMIFS(Sheet1!$G:$G,Sheet1!$C:$C,$C14,Sheet1!$B:$B,I$1,Sheet1!$A:$A,$A14)*100,2),"0.00")</f>
        <v>57.0601 ± 18.27</v>
      </c>
      <c r="J14" s="16" t="str">
        <f>TEXT(ROUND(SUMIFS(Sheet1!$H:$H,Sheet1!$C:$C,$C14,Sheet1!$B:$B,J$1,Sheet1!$A:$A,$A14)*100,4),"0.0000") &amp; " ± " &amp; TEXT(ROUND(SUMIFS(Sheet1!$I:$I,Sheet1!$C:$C,$C14,Sheet1!$B:$B,J$1,Sheet1!$A:$A,$A14)*100,2),"0.00")</f>
        <v>59.2027 ± 19.78</v>
      </c>
      <c r="K14" s="17" t="str">
        <f>TEXT(ROUND(SUMIFS(Sheet1!$J:$J,Sheet1!$C:$C,$C14,Sheet1!$B:$B,K$1,Sheet1!$A:$A,$A14)*100,4),"0.0000") &amp; " ± " &amp; TEXT(ROUND(SUMIFS(Sheet1!$K:$K,Sheet1!$C:$C,$C14,Sheet1!$B:$B,K$1,Sheet1!$A:$A,$A14)*100,2),"0.00")</f>
        <v>59.8837 ± 25.53</v>
      </c>
      <c r="L14" s="15" t="str">
        <f>TEXT(ROUND(SUMIFS(Sheet1!$D:$D,Sheet1!$C:$C,$C14,Sheet1!$B:$B,L$1,Sheet1!$A:$A,$A14)*100,4),"0.0000") &amp; " ± " &amp; TEXT(ROUND(SUMIFS(Sheet1!$E:$E,Sheet1!$C:$C,$C14,Sheet1!$B:$B,L$1,Sheet1!$A:$A,$A14)*100,2),"0.00")</f>
        <v>56.0059 ± 17.77</v>
      </c>
      <c r="M14" s="16" t="str">
        <f>TEXT(ROUND(SUMIFS(Sheet1!$F:$F,Sheet1!$C:$C,$C14,Sheet1!$B:$B,M$1,Sheet1!$A:$A,$A14)*100,4),"0.0000") &amp; " ± " &amp; TEXT(ROUND(SUMIFS(Sheet1!$G:$G,Sheet1!$C:$C,$C14,Sheet1!$B:$B,M$1,Sheet1!$A:$A,$A14)*100,2),"0.00")</f>
        <v>60.0123 ± 18.45</v>
      </c>
      <c r="N14" s="16" t="str">
        <f>TEXT(ROUND(SUMIFS(Sheet1!$H:$H,Sheet1!$C:$C,$C14,Sheet1!$B:$B,N$1,Sheet1!$A:$A,$A14)*100,4),"0.0000") &amp; " ± " &amp; TEXT(ROUND(SUMIFS(Sheet1!$I:$I,Sheet1!$C:$C,$C14,Sheet1!$B:$B,N$1,Sheet1!$A:$A,$A14)*100,2),"0.00")</f>
        <v>61.5467 ± 22.40</v>
      </c>
      <c r="O14" s="17" t="str">
        <f>TEXT(ROUND(SUMIFS(Sheet1!$J:$J,Sheet1!$C:$C,$C14,Sheet1!$B:$B,O$1,Sheet1!$A:$A,$A14)*100,4),"0.0000") &amp; " ± " &amp; TEXT(ROUND(SUMIFS(Sheet1!$K:$K,Sheet1!$C:$C,$C14,Sheet1!$B:$B,O$1,Sheet1!$A:$A,$A14)*100,2),"0.00")</f>
        <v>65.3654 ± 25.79</v>
      </c>
    </row>
  </sheetData>
  <mergeCells count="10">
    <mergeCell ref="D2:G2"/>
    <mergeCell ref="H2:K2"/>
    <mergeCell ref="L2:O2"/>
    <mergeCell ref="B4:B7"/>
    <mergeCell ref="B11:B14"/>
    <mergeCell ref="B2:B3"/>
    <mergeCell ref="B9:B10"/>
    <mergeCell ref="D9:G9"/>
    <mergeCell ref="H9:K9"/>
    <mergeCell ref="L9:O9"/>
  </mergeCells>
  <conditionalFormatting sqref="D4:O7 D11:G1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1:K14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1:O1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Hanifi</dc:creator>
  <cp:lastModifiedBy>Nikoo Amjadi</cp:lastModifiedBy>
  <dcterms:created xsi:type="dcterms:W3CDTF">2026-06-07T13:23:22Z</dcterms:created>
  <dcterms:modified xsi:type="dcterms:W3CDTF">2026-06-12T05:59:17Z</dcterms:modified>
</cp:coreProperties>
</file>