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f1\"/>
    </mc:Choice>
  </mc:AlternateContent>
  <xr:revisionPtr revIDLastSave="0" documentId="13_ncr:1_{856D8580-78C3-422C-B5BD-32389F791C40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F4" i="2"/>
  <c r="G4" i="2"/>
  <c r="H4" i="2"/>
  <c r="I4" i="2"/>
  <c r="J4" i="2"/>
  <c r="K4" i="2"/>
  <c r="L4" i="2"/>
  <c r="M4" i="2"/>
  <c r="N4" i="2"/>
  <c r="O4" i="2"/>
  <c r="D5" i="2"/>
  <c r="E5" i="2"/>
  <c r="F5" i="2"/>
  <c r="G5" i="2"/>
  <c r="H5" i="2"/>
  <c r="I5" i="2"/>
  <c r="J5" i="2"/>
  <c r="K5" i="2"/>
  <c r="L5" i="2"/>
  <c r="M5" i="2"/>
  <c r="N5" i="2"/>
  <c r="O5" i="2"/>
  <c r="D6" i="2"/>
  <c r="E6" i="2"/>
  <c r="F6" i="2"/>
  <c r="G6" i="2"/>
  <c r="H6" i="2"/>
  <c r="I6" i="2"/>
  <c r="J6" i="2"/>
  <c r="K6" i="2"/>
  <c r="L6" i="2"/>
  <c r="M6" i="2"/>
  <c r="N6" i="2"/>
  <c r="O6" i="2"/>
  <c r="D7" i="2"/>
  <c r="E7" i="2"/>
  <c r="F7" i="2"/>
  <c r="G7" i="2"/>
  <c r="H7" i="2"/>
  <c r="I7" i="2"/>
  <c r="J7" i="2"/>
  <c r="K7" i="2"/>
  <c r="L7" i="2"/>
  <c r="M7" i="2"/>
  <c r="N7" i="2"/>
  <c r="O7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<sst xmlns="http://schemas.openxmlformats.org/spreadsheetml/2006/main" count="149" uniqueCount="32">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</sst>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/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7" xfId="0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workbookViewId="0">
      <selection activeCell="G14" sqref="G14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0.56257844222960496</v>
      </c>
      <c r="E2">
        <v>0.214570472631363</v>
      </c>
      <c r="F2">
        <v>0.34384181709763101</v>
      </c>
      <c r="G2">
        <v>0.29370552208151901</v>
      </c>
      <c r="H2">
        <v>0.44390919158360997</v>
      </c>
      <c r="I2">
        <v>0.40326911955790101</v>
      </c>
      <c r="J2">
        <v>0.40775193798449599</v>
      </c>
      <c r="K2">
        <v>0.38422437007828703</v>
      </c>
    </row>
    <row r="3" spans="1:11" x14ac:dyDescent="0.3">
      <c r="A3" s="2" t="s">
        <v>16</v>
      </c>
      <c r="B3" s="2" t="s">
        <v>15</v>
      </c>
      <c r="C3" t="s">
        <v>13</v>
      </c>
      <c r="D3">
        <v>0.59151901070505697</v>
      </c>
      <c r="E3">
        <v>0.22229819640835699</v>
      </c>
      <c r="F3">
        <v>0.29490083559850999</v>
      </c>
      <c r="G3">
        <v>0.30807951790424998</v>
      </c>
      <c r="H3">
        <v>0.39728682170542601</v>
      </c>
      <c r="I3">
        <v>0.42654083404521298</v>
      </c>
      <c r="J3">
        <v>0.30575858250276799</v>
      </c>
      <c r="K3">
        <v>0.35393333885439199</v>
      </c>
    </row>
    <row r="4" spans="1:11" x14ac:dyDescent="0.3">
      <c r="A4" s="2" t="s">
        <v>16</v>
      </c>
      <c r="B4" s="2" t="s">
        <v>15</v>
      </c>
      <c r="C4" t="s">
        <v>11</v>
      </c>
      <c r="D4">
        <v>0.54437061646363905</v>
      </c>
      <c r="E4">
        <v>0.186733804779003</v>
      </c>
      <c r="F4">
        <v>0.22669888251283599</v>
      </c>
      <c r="G4">
        <v>0.24977733434555199</v>
      </c>
      <c r="H4">
        <v>0.363565891472868</v>
      </c>
      <c r="I4">
        <v>0.41630613571011599</v>
      </c>
      <c r="J4">
        <v>0.219573643410852</v>
      </c>
      <c r="K4">
        <v>0.28137055501021402</v>
      </c>
    </row>
    <row r="5" spans="1:11" x14ac:dyDescent="0.3">
      <c r="A5" s="2" t="s">
        <v>16</v>
      </c>
      <c r="B5" s="2" t="s">
        <v>15</v>
      </c>
      <c r="C5" t="s">
        <v>14</v>
      </c>
      <c r="D5">
        <v>0.56306755260243602</v>
      </c>
      <c r="E5">
        <v>0.21838506407709499</v>
      </c>
      <c r="F5">
        <v>0.132927279438907</v>
      </c>
      <c r="G5">
        <v>0.21742928675338799</v>
      </c>
      <c r="H5">
        <v>0.24418604651162701</v>
      </c>
      <c r="I5">
        <v>0.39432151064681698</v>
      </c>
      <c r="J5">
        <v>0.112320044296788</v>
      </c>
      <c r="K5">
        <v>0.216130529964566</v>
      </c>
    </row>
    <row r="6" spans="1:11" x14ac:dyDescent="0.3">
      <c r="A6" s="2" t="s">
        <v>16</v>
      </c>
      <c r="B6" s="2" t="s">
        <v>18</v>
      </c>
      <c r="C6" t="s">
        <v>11</v>
      </c>
      <c r="D6">
        <v>0.55038759689922401</v>
      </c>
      <c r="E6">
        <v>0.238371217689897</v>
      </c>
      <c r="F6">
        <v>0.207489409814991</v>
      </c>
      <c r="G6">
        <v>0.24468419289691301</v>
      </c>
      <c r="H6">
        <v>0.29533038021410102</v>
      </c>
      <c r="I6">
        <v>0.37016733999763901</v>
      </c>
      <c r="J6">
        <v>0.25443890734588398</v>
      </c>
      <c r="K6">
        <v>0.34458028555167902</v>
      </c>
    </row>
    <row r="7" spans="1:11" x14ac:dyDescent="0.3">
      <c r="A7" s="2" t="s">
        <v>16</v>
      </c>
      <c r="B7" s="2" t="s">
        <v>18</v>
      </c>
      <c r="C7" t="s">
        <v>14</v>
      </c>
      <c r="D7">
        <v>0.50645994832041297</v>
      </c>
      <c r="E7">
        <v>0.22897031438631199</v>
      </c>
      <c r="F7">
        <v>0.20612604449813701</v>
      </c>
      <c r="G7">
        <v>0.227162484209358</v>
      </c>
      <c r="H7">
        <v>0.26090808416389799</v>
      </c>
      <c r="I7">
        <v>0.328926025839618</v>
      </c>
      <c r="J7">
        <v>0.246557770394979</v>
      </c>
      <c r="K7">
        <v>0.31851070599408199</v>
      </c>
    </row>
    <row r="8" spans="1:11" x14ac:dyDescent="0.3">
      <c r="A8" s="2" t="s">
        <v>16</v>
      </c>
      <c r="B8" s="2" t="s">
        <v>18</v>
      </c>
      <c r="C8" t="s">
        <v>12</v>
      </c>
      <c r="D8">
        <v>0.44961240310077499</v>
      </c>
      <c r="E8">
        <v>0.23594999929222699</v>
      </c>
      <c r="F8">
        <v>0.20045561673468601</v>
      </c>
      <c r="G8">
        <v>0.25793367106126702</v>
      </c>
      <c r="H8">
        <v>0.253036175710594</v>
      </c>
      <c r="I8">
        <v>0.35108310037422602</v>
      </c>
      <c r="J8">
        <v>0.240817644887412</v>
      </c>
      <c r="K8">
        <v>0.33313690161090898</v>
      </c>
    </row>
    <row r="9" spans="1:11" x14ac:dyDescent="0.3">
      <c r="A9" s="2" t="s">
        <v>16</v>
      </c>
      <c r="B9" s="2" t="s">
        <v>18</v>
      </c>
      <c r="C9" t="s">
        <v>13</v>
      </c>
      <c r="D9">
        <v>0.52713178294573604</v>
      </c>
      <c r="E9">
        <v>0.268012348882465</v>
      </c>
      <c r="F9">
        <v>0.13701466492164099</v>
      </c>
      <c r="G9">
        <v>0.22948387661765199</v>
      </c>
      <c r="H9">
        <v>0.18045404208194901</v>
      </c>
      <c r="I9">
        <v>0.31078394060606102</v>
      </c>
      <c r="J9">
        <v>0.16805094130675499</v>
      </c>
      <c r="K9">
        <v>0.30961387332588303</v>
      </c>
    </row>
    <row r="10" spans="1:11" x14ac:dyDescent="0.3">
      <c r="A10" s="2" t="s">
        <v>17</v>
      </c>
      <c r="B10" s="2" t="s">
        <v>18</v>
      </c>
      <c r="C10" t="s">
        <v>12</v>
      </c>
      <c r="D10">
        <v>0.59813584348467996</v>
      </c>
      <c r="E10">
        <v>0.19140472764723199</v>
      </c>
      <c r="F10">
        <v>0.37936624099414701</v>
      </c>
      <c r="G10">
        <v>0.30147164651638803</v>
      </c>
      <c r="H10">
        <v>0.48250276854927998</v>
      </c>
      <c r="I10">
        <v>0.39954684943305002</v>
      </c>
      <c r="J10">
        <v>0.42284053156146101</v>
      </c>
      <c r="K10">
        <v>0.38187019626396002</v>
      </c>
    </row>
    <row r="11" spans="1:11" x14ac:dyDescent="0.3">
      <c r="A11" s="2" t="s">
        <v>17</v>
      </c>
      <c r="B11" s="2" t="s">
        <v>18</v>
      </c>
      <c r="C11" t="s">
        <v>13</v>
      </c>
      <c r="D11">
        <v>0.56774640088593498</v>
      </c>
      <c r="E11">
        <v>0.218221856182925</v>
      </c>
      <c r="F11">
        <v>0.24572301083928899</v>
      </c>
      <c r="G11">
        <v>0.28352190427151602</v>
      </c>
      <c r="H11">
        <v>0.37093023255813901</v>
      </c>
      <c r="I11">
        <v>0.42583089508026001</v>
      </c>
      <c r="J11">
        <v>0.23266888150609</v>
      </c>
      <c r="K11">
        <v>0.30885077844971298</v>
      </c>
    </row>
    <row r="12" spans="1:11" x14ac:dyDescent="0.3">
      <c r="A12" s="2" t="s">
        <v>17</v>
      </c>
      <c r="B12" s="2" t="s">
        <v>18</v>
      </c>
      <c r="C12" t="s">
        <v>11</v>
      </c>
      <c r="D12">
        <v>0.545837947582133</v>
      </c>
      <c r="E12">
        <v>0.18655832067838499</v>
      </c>
      <c r="F12">
        <v>0.23475452196382399</v>
      </c>
      <c r="G12">
        <v>0.23541592992274801</v>
      </c>
      <c r="H12">
        <v>0.38333333333333303</v>
      </c>
      <c r="I12">
        <v>0.40310487475554002</v>
      </c>
      <c r="J12">
        <v>0.24781284606866</v>
      </c>
      <c r="K12">
        <v>0.30867642441349302</v>
      </c>
    </row>
    <row r="13" spans="1:11" x14ac:dyDescent="0.3">
      <c r="A13" s="2" t="s">
        <v>17</v>
      </c>
      <c r="B13" s="2" t="s">
        <v>18</v>
      </c>
      <c r="C13" t="s">
        <v>14</v>
      </c>
      <c r="D13">
        <v>0.56329826504245095</v>
      </c>
      <c r="E13">
        <v>0.23636470234326601</v>
      </c>
      <c r="F13">
        <v>0.18054632705795401</v>
      </c>
      <c r="G13">
        <v>0.22548125502223901</v>
      </c>
      <c r="H13">
        <v>0.36511627906976701</v>
      </c>
      <c r="I13">
        <v>0.449358054226006</v>
      </c>
      <c r="J13">
        <v>0.158056478405315</v>
      </c>
      <c r="K13">
        <v>0.230343186972883</v>
      </c>
    </row>
    <row r="14" spans="1:11" x14ac:dyDescent="0.3">
      <c r="A14" s="2" t="s">
        <v>17</v>
      </c>
      <c r="B14" s="2" t="s">
        <v>15</v>
      </c>
      <c r="C14" t="s">
        <v>13</v>
      </c>
      <c r="D14">
        <v>0.61742496196727503</v>
      </c>
      <c r="E14">
        <v>0.21828160238636901</v>
      </c>
      <c r="F14">
        <v>0.19984815666395001</v>
      </c>
      <c r="G14">
        <v>0.23631553515322101</v>
      </c>
      <c r="H14">
        <v>0.27251590558704097</v>
      </c>
      <c r="I14">
        <v>0.33443440109978601</v>
      </c>
      <c r="J14">
        <v>0.246419789880442</v>
      </c>
      <c r="K14">
        <v>0.31448199475826599</v>
      </c>
    </row>
    <row r="15" spans="1:11" x14ac:dyDescent="0.3">
      <c r="A15" s="2" t="s">
        <v>17</v>
      </c>
      <c r="B15" s="2" t="s">
        <v>15</v>
      </c>
      <c r="C15" t="s">
        <v>11</v>
      </c>
      <c r="D15">
        <v>0.652164413112859</v>
      </c>
      <c r="E15">
        <v>0.20787179460823199</v>
      </c>
      <c r="F15">
        <v>0.18305196001322399</v>
      </c>
      <c r="G15">
        <v>0.23499274277688001</v>
      </c>
      <c r="H15">
        <v>0.326156918017383</v>
      </c>
      <c r="I15">
        <v>0.38402255339816199</v>
      </c>
      <c r="J15">
        <v>0.179732789144013</v>
      </c>
      <c r="K15">
        <v>0.27265383735301801</v>
      </c>
    </row>
    <row r="16" spans="1:11" x14ac:dyDescent="0.3">
      <c r="A16" s="2" t="s">
        <v>17</v>
      </c>
      <c r="B16" s="2" t="s">
        <v>15</v>
      </c>
      <c r="C16" t="s">
        <v>12</v>
      </c>
      <c r="D16">
        <v>0.584573549469385</v>
      </c>
      <c r="E16">
        <v>0.24396648315532901</v>
      </c>
      <c r="F16">
        <v>0.16578631943634001</v>
      </c>
      <c r="G16">
        <v>0.23329543838539499</v>
      </c>
      <c r="H16">
        <v>0.21149471476599199</v>
      </c>
      <c r="I16">
        <v>0.313285550074762</v>
      </c>
      <c r="J16">
        <v>0.21586638562302701</v>
      </c>
      <c r="K16">
        <v>0.31963852804986898</v>
      </c>
    </row>
    <row r="17" spans="1:11" x14ac:dyDescent="0.3">
      <c r="A17" s="2" t="s">
        <v>17</v>
      </c>
      <c r="B17" s="2" t="s">
        <v>15</v>
      </c>
      <c r="C17" t="s">
        <v>14</v>
      </c>
      <c r="D17">
        <v>0.63339808395608299</v>
      </c>
      <c r="E17">
        <v>0.200036196860922</v>
      </c>
      <c r="F17">
        <v>0.15157164627936001</v>
      </c>
      <c r="G17">
        <v>0.16871390057816199</v>
      </c>
      <c r="H17">
        <v>0.31131078224101399</v>
      </c>
      <c r="I17">
        <v>0.34929332158936299</v>
      </c>
      <c r="J17">
        <v>0.142298003873711</v>
      </c>
      <c r="K17">
        <v>0.203474974535263</v>
      </c>
    </row>
    <row r="18" spans="1:11" x14ac:dyDescent="0.3">
      <c r="A18" s="2" t="s">
        <v>16</v>
      </c>
      <c r="B18" s="2" t="s">
        <v>19</v>
      </c>
      <c r="C18" t="s">
        <v>12</v>
      </c>
      <c r="D18">
        <v>0.61968438538205906</v>
      </c>
      <c r="E18">
        <v>0.16216040523474301</v>
      </c>
      <c r="F18">
        <v>0.38360270220735299</v>
      </c>
      <c r="G18">
        <v>0.308329440678829</v>
      </c>
      <c r="H18">
        <v>0.46356589147286797</v>
      </c>
      <c r="I18">
        <v>0.39385223645373102</v>
      </c>
      <c r="J18">
        <v>0.386351052048726</v>
      </c>
      <c r="K18">
        <v>0.33173008173181701</v>
      </c>
    </row>
    <row r="19" spans="1:11" x14ac:dyDescent="0.3">
      <c r="A19" s="2" t="s">
        <v>16</v>
      </c>
      <c r="B19" s="2" t="s">
        <v>19</v>
      </c>
      <c r="C19" t="s">
        <v>11</v>
      </c>
      <c r="D19">
        <v>0.57519379844961205</v>
      </c>
      <c r="E19">
        <v>0.21068852554488399</v>
      </c>
      <c r="F19">
        <v>0.28491224537736098</v>
      </c>
      <c r="G19">
        <v>0.26709432175209502</v>
      </c>
      <c r="H19">
        <v>0.41705426356589098</v>
      </c>
      <c r="I19">
        <v>0.41739453281263</v>
      </c>
      <c r="J19">
        <v>0.31337209302325503</v>
      </c>
      <c r="K19">
        <v>0.34784243542968102</v>
      </c>
    </row>
    <row r="20" spans="1:11" x14ac:dyDescent="0.3">
      <c r="A20" s="2" t="s">
        <v>16</v>
      </c>
      <c r="B20" s="2" t="s">
        <v>19</v>
      </c>
      <c r="C20" t="s">
        <v>13</v>
      </c>
      <c r="D20">
        <v>0.57765780730896998</v>
      </c>
      <c r="E20">
        <v>0.219996192960175</v>
      </c>
      <c r="F20">
        <v>0.22779959059028801</v>
      </c>
      <c r="G20">
        <v>0.26122921261862703</v>
      </c>
      <c r="H20">
        <v>0.34379844961240302</v>
      </c>
      <c r="I20">
        <v>0.411181307824873</v>
      </c>
      <c r="J20">
        <v>0.19653931339977801</v>
      </c>
      <c r="K20">
        <v>0.240039104489046</v>
      </c>
    </row>
    <row r="21" spans="1:11" x14ac:dyDescent="0.3">
      <c r="A21" s="2" t="s">
        <v>16</v>
      </c>
      <c r="B21" s="2" t="s">
        <v>19</v>
      </c>
      <c r="C21" t="s">
        <v>14</v>
      </c>
      <c r="D21">
        <v>0.58660022148394197</v>
      </c>
      <c r="E21">
        <v>0.23931513251768499</v>
      </c>
      <c r="F21">
        <v>0.188029799657706</v>
      </c>
      <c r="G21">
        <v>0.24496726200555899</v>
      </c>
      <c r="H21">
        <v>0.290697674418604</v>
      </c>
      <c r="I21">
        <v>0.390608455421523</v>
      </c>
      <c r="J21">
        <v>0.16990586932447399</v>
      </c>
      <c r="K21">
        <v>0.24326385037758799</v>
      </c>
    </row>
    <row r="22" spans="1:11" x14ac:dyDescent="0.3">
      <c r="A22" s="2" t="s">
        <v>17</v>
      </c>
      <c r="B22" s="2" t="s">
        <v>19</v>
      </c>
      <c r="C22" t="s">
        <v>12</v>
      </c>
      <c r="D22">
        <v>0.61839016285397097</v>
      </c>
      <c r="E22">
        <v>0.15869044745306801</v>
      </c>
      <c r="F22">
        <v>0.25247128735500801</v>
      </c>
      <c r="G22">
        <v>0.236397596429507</v>
      </c>
      <c r="H22">
        <v>0.34935160598635201</v>
      </c>
      <c r="I22">
        <v>0.36308450587305502</v>
      </c>
      <c r="J22">
        <v>0.25651842410968301</v>
      </c>
      <c r="K22">
        <v>0.25503952498440702</v>
      </c>
    </row>
    <row r="23" spans="1:11" x14ac:dyDescent="0.3">
      <c r="A23" s="2" t="s">
        <v>17</v>
      </c>
      <c r="B23" s="2" t="s">
        <v>19</v>
      </c>
      <c r="C23" t="s">
        <v>13</v>
      </c>
      <c r="D23">
        <v>0.62017813374474096</v>
      </c>
      <c r="E23">
        <v>0.202099373846715</v>
      </c>
      <c r="F23">
        <v>0.23334787991957001</v>
      </c>
      <c r="G23">
        <v>0.229174155575157</v>
      </c>
      <c r="H23">
        <v>0.34347811992468202</v>
      </c>
      <c r="I23">
        <v>0.360300735267085</v>
      </c>
      <c r="J23">
        <v>0.259082581585101</v>
      </c>
      <c r="K23">
        <v>0.29781713007586602</v>
      </c>
    </row>
    <row r="24" spans="1:11" x14ac:dyDescent="0.3">
      <c r="A24" s="2" t="s">
        <v>17</v>
      </c>
      <c r="B24" s="2" t="s">
        <v>19</v>
      </c>
      <c r="C24" t="s">
        <v>14</v>
      </c>
      <c r="D24">
        <v>0.63299086816146899</v>
      </c>
      <c r="E24">
        <v>0.167040922612753</v>
      </c>
      <c r="F24">
        <v>0.17964780591318699</v>
      </c>
      <c r="G24">
        <v>0.179475670376403</v>
      </c>
      <c r="H24">
        <v>0.31341655760260401</v>
      </c>
      <c r="I24">
        <v>0.35009239797555303</v>
      </c>
      <c r="J24">
        <v>0.14547858502246799</v>
      </c>
      <c r="K24">
        <v>0.14580294508888</v>
      </c>
    </row>
    <row r="25" spans="1:11" x14ac:dyDescent="0.3">
      <c r="A25" s="2" t="s">
        <v>17</v>
      </c>
      <c r="B25" s="2" t="s">
        <v>19</v>
      </c>
      <c r="C25" t="s">
        <v>11</v>
      </c>
      <c r="D25">
        <v>0.61525287799498996</v>
      </c>
      <c r="E25">
        <v>0.19086241115840599</v>
      </c>
      <c r="F25">
        <v>0.157401752374392</v>
      </c>
      <c r="G25">
        <v>0.160260079281179</v>
      </c>
      <c r="H25">
        <v>0.27757475083056399</v>
      </c>
      <c r="I25">
        <v>0.31012744345545101</v>
      </c>
      <c r="J25">
        <v>0.16109243080767299</v>
      </c>
      <c r="K25">
        <v>0.205978441850418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workbookViewId="0">
      <selection activeCell="E10" sqref="C10:E10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s="10" customFormat="1" ht="15" thickBot="1" x14ac:dyDescent="0.35">
      <c r="D1" s="11" t="s">
        <v>15</v>
      </c>
      <c r="E1" s="11" t="s">
        <v>15</v>
      </c>
      <c r="F1" s="11" t="s">
        <v>15</v>
      </c>
      <c r="G1" s="11" t="s">
        <v>15</v>
      </c>
      <c r="H1" s="10" t="s">
        <v>19</v>
      </c>
      <c r="I1" s="10" t="s">
        <v>19</v>
      </c>
      <c r="J1" s="10" t="s">
        <v>19</v>
      </c>
      <c r="K1" s="10" t="s">
        <v>19</v>
      </c>
      <c r="L1" s="10" t="s">
        <v>18</v>
      </c>
      <c r="M1" s="10" t="s">
        <v>18</v>
      </c>
      <c r="N1" s="10" t="s">
        <v>18</v>
      </c>
      <c r="O1" s="10" t="s">
        <v>18</v>
      </c>
    </row>
    <row r="2" spans="1:15" x14ac:dyDescent="0.3">
      <c r="B2" s="17" t="s">
        <v>29</v>
      </c>
      <c r="C2" s="18" t="s">
        <v>25</v>
      </c>
      <c r="D2" s="17" t="s">
        <v>26</v>
      </c>
      <c r="E2" s="19"/>
      <c r="F2" s="19"/>
      <c r="G2" s="20"/>
      <c r="H2" s="21" t="s">
        <v>27</v>
      </c>
      <c r="I2" s="22"/>
      <c r="J2" s="22"/>
      <c r="K2" s="23"/>
      <c r="L2" s="21" t="s">
        <v>28</v>
      </c>
      <c r="M2" s="22"/>
      <c r="N2" s="22"/>
      <c r="O2" s="23"/>
    </row>
    <row r="3" spans="1:15" x14ac:dyDescent="0.3">
      <c r="B3" s="24"/>
      <c r="C3" s="25" t="s">
        <v>20</v>
      </c>
      <c r="D3" s="26" t="s">
        <v>21</v>
      </c>
      <c r="E3" s="27" t="s">
        <v>22</v>
      </c>
      <c r="F3" s="27" t="s">
        <v>23</v>
      </c>
      <c r="G3" s="25" t="s">
        <v>24</v>
      </c>
      <c r="H3" s="26" t="s">
        <v>21</v>
      </c>
      <c r="I3" s="27" t="s">
        <v>22</v>
      </c>
      <c r="J3" s="27" t="s">
        <v>23</v>
      </c>
      <c r="K3" s="25" t="s">
        <v>24</v>
      </c>
      <c r="L3" s="26" t="s">
        <v>21</v>
      </c>
      <c r="M3" s="27" t="s">
        <v>22</v>
      </c>
      <c r="N3" s="27" t="s">
        <v>23</v>
      </c>
      <c r="O3" s="25" t="s">
        <v>24</v>
      </c>
    </row>
    <row r="4" spans="1:15" x14ac:dyDescent="0.3">
      <c r="A4" s="10" t="s">
        <v>17</v>
      </c>
      <c r="B4" s="12" t="s">
        <v>30</v>
      </c>
      <c r="C4" s="3" t="s">
        <v>11</v>
      </c>
      <c r="D4" s="8" t="str">
        <f>TEXT(ROUND(SUMIFS(Sheet1!$D:$D,Sheet1!$C:$C,$C4,Sheet1!$B:$B,D$1,Sheet1!$A:$A,$A4)*100,4),"0.0000") &amp; " ± " &amp; TEXT(ROUND(SUMIFS(Sheet1!$E:$E,Sheet1!$C:$C,$C4,Sheet1!$B:$B,D$1,Sheet1!$A:$A,$A4)*100,2),"0.00")</f>
        <v>65.2164 ± 20.79</v>
      </c>
      <c r="E4" s="5" t="str">
        <f>TEXT(ROUND(SUMIFS(Sheet1!$F:$F,Sheet1!$C:$C,$C4,Sheet1!$B:$B,E$1,Sheet1!$A:$A,$A4)*100,4),"0.0000") &amp; " ± " &amp; TEXT(ROUND(SUMIFS(Sheet1!$G:$G,Sheet1!$C:$C,$C4,Sheet1!$B:$B,E$1,Sheet1!$A:$A,$A4)*100,2),"0.00")</f>
        <v>18.3052 ± 23.50</v>
      </c>
      <c r="F4" s="4" t="str">
        <f>TEXT(ROUND(SUMIFS(Sheet1!$H:$H,Sheet1!$C:$C,$C4,Sheet1!$B:$B,F$1,Sheet1!$A:$A,$A4)*100,4),"0.0000") &amp; " ± " &amp; TEXT(ROUND(SUMIFS(Sheet1!$I:$I,Sheet1!$C:$C,$C4,Sheet1!$B:$B,F$1,Sheet1!$A:$A,$A4)*100,2),"0.00")</f>
        <v>32.6157 ± 38.40</v>
      </c>
      <c r="G4" s="7" t="str">
        <f>TEXT(ROUND(SUMIFS(Sheet1!$J:$J,Sheet1!$C:$C,$C4,Sheet1!$B:$B,G$1,Sheet1!$A:$A,$A4)*100,4),"0.0000") &amp; " ± " &amp; TEXT(ROUND(SUMIFS(Sheet1!$K:$K,Sheet1!$C:$C,$C4,Sheet1!$B:$B,G$1,Sheet1!$A:$A,$A4)*100,2),"0.00")</f>
        <v>17.9733 ± 27.27</v>
      </c>
      <c r="H4" s="6" t="str">
        <f>TEXT(ROUND(SUMIFS(Sheet1!$D:$D,Sheet1!$C:$C,$C4,Sheet1!$B:$B,H$1,Sheet1!$A:$A,$A4)*100,4),"0.0000") &amp; " ± " &amp; TEXT(ROUND(SUMIFS(Sheet1!$E:$E,Sheet1!$C:$C,$C4,Sheet1!$B:$B,H$1,Sheet1!$A:$A,$A4)*100,2),"0.00")</f>
        <v>61.5253 ± 19.09</v>
      </c>
      <c r="I4" s="5" t="str">
        <f>TEXT(ROUND(SUMIFS(Sheet1!$F:$F,Sheet1!$C:$C,$C4,Sheet1!$B:$B,I$1,Sheet1!$A:$A,$A4)*100,4),"0.0000") &amp; " ± " &amp; TEXT(ROUND(SUMIFS(Sheet1!$G:$G,Sheet1!$C:$C,$C4,Sheet1!$B:$B,I$1,Sheet1!$A:$A,$A4)*100,2),"0.00")</f>
        <v>15.7402 ± 16.03</v>
      </c>
      <c r="J4" s="5" t="str">
        <f>TEXT(ROUND(SUMIFS(Sheet1!$H:$H,Sheet1!$C:$C,$C4,Sheet1!$B:$B,J$1,Sheet1!$A:$A,$A4)*100,4),"0.0000") &amp; " ± " &amp; TEXT(ROUND(SUMIFS(Sheet1!$I:$I,Sheet1!$C:$C,$C4,Sheet1!$B:$B,J$1,Sheet1!$A:$A,$A4)*100,2),"0.00")</f>
        <v>27.7575 ± 31.01</v>
      </c>
      <c r="K4" s="7" t="str">
        <f>TEXT(ROUND(SUMIFS(Sheet1!$J:$J,Sheet1!$C:$C,$C4,Sheet1!$B:$B,K$1,Sheet1!$A:$A,$A4)*100,4),"0.0000") &amp; " ± " &amp; TEXT(ROUND(SUMIFS(Sheet1!$K:$K,Sheet1!$C:$C,$C4,Sheet1!$B:$B,K$1,Sheet1!$A:$A,$A4)*100,2),"0.00")</f>
        <v>16.1092 ± 20.60</v>
      </c>
      <c r="L4" s="6" t="str">
        <f>TEXT(ROUND(SUMIFS(Sheet1!$D:$D,Sheet1!$C:$C,$C4,Sheet1!$B:$B,L$1,Sheet1!$A:$A,$A4)*100,4),"0.0000") &amp; " ± " &amp; TEXT(ROUND(SUMIFS(Sheet1!$E:$E,Sheet1!$C:$C,$C4,Sheet1!$B:$B,L$1,Sheet1!$A:$A,$A4)*100,2),"0.00")</f>
        <v>54.5838 ± 18.66</v>
      </c>
      <c r="M4" s="5" t="str">
        <f>TEXT(ROUND(SUMIFS(Sheet1!$F:$F,Sheet1!$C:$C,$C4,Sheet1!$B:$B,M$1,Sheet1!$A:$A,$A4)*100,4),"0.0000") &amp; " ± " &amp; TEXT(ROUND(SUMIFS(Sheet1!$G:$G,Sheet1!$C:$C,$C4,Sheet1!$B:$B,M$1,Sheet1!$A:$A,$A4)*100,2),"0.00")</f>
        <v>23.4755 ± 23.54</v>
      </c>
      <c r="N4" s="5" t="str">
        <f>TEXT(ROUND(SUMIFS(Sheet1!$H:$H,Sheet1!$C:$C,$C4,Sheet1!$B:$B,N$1,Sheet1!$A:$A,$A4)*100,4),"0.0000") &amp; " ± " &amp; TEXT(ROUND(SUMIFS(Sheet1!$I:$I,Sheet1!$C:$C,$C4,Sheet1!$B:$B,N$1,Sheet1!$A:$A,$A4)*100,2),"0.00")</f>
        <v>38.3333 ± 40.31</v>
      </c>
      <c r="O4" s="7" t="str">
        <f>TEXT(ROUND(SUMIFS(Sheet1!$J:$J,Sheet1!$C:$C,$C4,Sheet1!$B:$B,O$1,Sheet1!$A:$A,$A4)*100,4),"0.0000") &amp; " ± " &amp; TEXT(ROUND(SUMIFS(Sheet1!$K:$K,Sheet1!$C:$C,$C4,Sheet1!$B:$B,O$1,Sheet1!$A:$A,$A4)*100,2),"0.00")</f>
        <v>24.7813 ± 30.87</v>
      </c>
    </row>
    <row r="5" spans="1:15" x14ac:dyDescent="0.3">
      <c r="A5" s="10" t="s">
        <v>17</v>
      </c>
      <c r="B5" s="13"/>
      <c r="C5" s="28" t="s">
        <v>13</v>
      </c>
      <c r="D5" s="32" t="str">
        <f>TEXT(ROUND(SUMIFS(Sheet1!$D:$D,Sheet1!$C:$C,$C5,Sheet1!$B:$B,D$1,Sheet1!$A:$A,$A5)*100,4),"0.0000") &amp; " ± " &amp; TEXT(ROUND(SUMIFS(Sheet1!$E:$E,Sheet1!$C:$C,$C5,Sheet1!$B:$B,D$1,Sheet1!$A:$A,$A5)*100,2),"0.00")</f>
        <v>61.7425 ± 21.83</v>
      </c>
      <c r="E5" s="47" t="str">
        <f>TEXT(ROUND(SUMIFS(Sheet1!$F:$F,Sheet1!$C:$C,$C5,Sheet1!$B:$B,E$1,Sheet1!$A:$A,$A5)*100,4),"0.0000") &amp; " ± " &amp; TEXT(ROUND(SUMIFS(Sheet1!$G:$G,Sheet1!$C:$C,$C5,Sheet1!$B:$B,E$1,Sheet1!$A:$A,$A5)*100,2),"0.00")</f>
        <v>19.9848 ± 23.63</v>
      </c>
      <c r="F5" s="30" t="str">
        <f>TEXT(ROUND(SUMIFS(Sheet1!$H:$H,Sheet1!$C:$C,$C5,Sheet1!$B:$B,F$1,Sheet1!$A:$A,$A5)*100,4),"0.0000") &amp; " ± " &amp; TEXT(ROUND(SUMIFS(Sheet1!$I:$I,Sheet1!$C:$C,$C5,Sheet1!$B:$B,F$1,Sheet1!$A:$A,$A5)*100,2),"0.00")</f>
        <v>27.2516 ± 33.44</v>
      </c>
      <c r="G5" s="48" t="str">
        <f>TEXT(ROUND(SUMIFS(Sheet1!$J:$J,Sheet1!$C:$C,$C5,Sheet1!$B:$B,G$1,Sheet1!$A:$A,$A5)*100,4),"0.0000") &amp; " ± " &amp; TEXT(ROUND(SUMIFS(Sheet1!$K:$K,Sheet1!$C:$C,$C5,Sheet1!$B:$B,G$1,Sheet1!$A:$A,$A5)*100,2),"0.00")</f>
        <v>24.6420 ± 31.45</v>
      </c>
      <c r="H5" s="32" t="str">
        <f>TEXT(ROUND(SUMIFS(Sheet1!$D:$D,Sheet1!$C:$C,$C5,Sheet1!$B:$B,H$1,Sheet1!$A:$A,$A5)*100,4),"0.0000") &amp; " ± " &amp; TEXT(ROUND(SUMIFS(Sheet1!$E:$E,Sheet1!$C:$C,$C5,Sheet1!$B:$B,H$1,Sheet1!$A:$A,$A5)*100,2),"0.00")</f>
        <v>62.0178 ± 20.21</v>
      </c>
      <c r="I5" s="30" t="str">
        <f>TEXT(ROUND(SUMIFS(Sheet1!$F:$F,Sheet1!$C:$C,$C5,Sheet1!$B:$B,I$1,Sheet1!$A:$A,$A5)*100,4),"0.0000") &amp; " ± " &amp; TEXT(ROUND(SUMIFS(Sheet1!$G:$G,Sheet1!$C:$C,$C5,Sheet1!$B:$B,I$1,Sheet1!$A:$A,$A5)*100,2),"0.00")</f>
        <v>23.3348 ± 22.92</v>
      </c>
      <c r="J5" s="30" t="str">
        <f>TEXT(ROUND(SUMIFS(Sheet1!$H:$H,Sheet1!$C:$C,$C5,Sheet1!$B:$B,J$1,Sheet1!$A:$A,$A5)*100,4),"0.0000") &amp; " ± " &amp; TEXT(ROUND(SUMIFS(Sheet1!$I:$I,Sheet1!$C:$C,$C5,Sheet1!$B:$B,J$1,Sheet1!$A:$A,$A5)*100,2),"0.00")</f>
        <v>34.3478 ± 36.03</v>
      </c>
      <c r="K5" s="48" t="str">
        <f>TEXT(ROUND(SUMIFS(Sheet1!$J:$J,Sheet1!$C:$C,$C5,Sheet1!$B:$B,K$1,Sheet1!$A:$A,$A5)*100,4),"0.0000") &amp; " ± " &amp; TEXT(ROUND(SUMIFS(Sheet1!$K:$K,Sheet1!$C:$C,$C5,Sheet1!$B:$B,K$1,Sheet1!$A:$A,$A5)*100,2),"0.00")</f>
        <v>25.9083 ± 29.78</v>
      </c>
      <c r="L5" s="32" t="str">
        <f>TEXT(ROUND(SUMIFS(Sheet1!$D:$D,Sheet1!$C:$C,$C5,Sheet1!$B:$B,L$1,Sheet1!$A:$A,$A5)*100,4),"0.0000") &amp; " ± " &amp; TEXT(ROUND(SUMIFS(Sheet1!$E:$E,Sheet1!$C:$C,$C5,Sheet1!$B:$B,L$1,Sheet1!$A:$A,$A5)*100,2),"0.00")</f>
        <v>56.7746 ± 21.82</v>
      </c>
      <c r="M5" s="30" t="str">
        <f>TEXT(ROUND(SUMIFS(Sheet1!$F:$F,Sheet1!$C:$C,$C5,Sheet1!$B:$B,M$1,Sheet1!$A:$A,$A5)*100,4),"0.0000") &amp; " ± " &amp; TEXT(ROUND(SUMIFS(Sheet1!$G:$G,Sheet1!$C:$C,$C5,Sheet1!$B:$B,M$1,Sheet1!$A:$A,$A5)*100,2),"0.00")</f>
        <v>24.5723 ± 28.35</v>
      </c>
      <c r="N5" s="30" t="str">
        <f>TEXT(ROUND(SUMIFS(Sheet1!$H:$H,Sheet1!$C:$C,$C5,Sheet1!$B:$B,N$1,Sheet1!$A:$A,$A5)*100,4),"0.0000") &amp; " ± " &amp; TEXT(ROUND(SUMIFS(Sheet1!$I:$I,Sheet1!$C:$C,$C5,Sheet1!$B:$B,N$1,Sheet1!$A:$A,$A5)*100,2),"0.00")</f>
        <v>37.0930 ± 42.58</v>
      </c>
      <c r="O5" s="31" t="str">
        <f>TEXT(ROUND(SUMIFS(Sheet1!$J:$J,Sheet1!$C:$C,$C5,Sheet1!$B:$B,O$1,Sheet1!$A:$A,$A5)*100,4),"0.0000") &amp; " ± " &amp; TEXT(ROUND(SUMIFS(Sheet1!$K:$K,Sheet1!$C:$C,$C5,Sheet1!$B:$B,O$1,Sheet1!$A:$A,$A5)*100,2),"0.00")</f>
        <v>23.2669 ± 30.89</v>
      </c>
    </row>
    <row r="6" spans="1:15" x14ac:dyDescent="0.3">
      <c r="A6" s="10" t="s">
        <v>17</v>
      </c>
      <c r="B6" s="13"/>
      <c r="C6" s="3" t="s">
        <v>12</v>
      </c>
      <c r="D6" s="6" t="str">
        <f>TEXT(ROUND(SUMIFS(Sheet1!$D:$D,Sheet1!$C:$C,$C6,Sheet1!$B:$B,D$1,Sheet1!$A:$A,$A6)*100,4),"0.0000") &amp; " ± " &amp; TEXT(ROUND(SUMIFS(Sheet1!$E:$E,Sheet1!$C:$C,$C6,Sheet1!$B:$B,D$1,Sheet1!$A:$A,$A6)*100,2),"0.00")</f>
        <v>58.4574 ± 24.40</v>
      </c>
      <c r="E6" s="5" t="str">
        <f>TEXT(ROUND(SUMIFS(Sheet1!$F:$F,Sheet1!$C:$C,$C6,Sheet1!$B:$B,E$1,Sheet1!$A:$A,$A6)*100,4),"0.0000") &amp; " ± " &amp; TEXT(ROUND(SUMIFS(Sheet1!$G:$G,Sheet1!$C:$C,$C6,Sheet1!$B:$B,E$1,Sheet1!$A:$A,$A6)*100,2),"0.00")</f>
        <v>16.5786 ± 23.33</v>
      </c>
      <c r="F6" s="5" t="str">
        <f>TEXT(ROUND(SUMIFS(Sheet1!$H:$H,Sheet1!$C:$C,$C6,Sheet1!$B:$B,F$1,Sheet1!$A:$A,$A6)*100,4),"0.0000") &amp; " ± " &amp; TEXT(ROUND(SUMIFS(Sheet1!$I:$I,Sheet1!$C:$C,$C6,Sheet1!$B:$B,F$1,Sheet1!$A:$A,$A6)*100,2),"0.00")</f>
        <v>21.1495 ± 31.33</v>
      </c>
      <c r="G6" s="7" t="str">
        <f>TEXT(ROUND(SUMIFS(Sheet1!$J:$J,Sheet1!$C:$C,$C6,Sheet1!$B:$B,G$1,Sheet1!$A:$A,$A6)*100,4),"0.0000") &amp; " ± " &amp; TEXT(ROUND(SUMIFS(Sheet1!$K:$K,Sheet1!$C:$C,$C6,Sheet1!$B:$B,G$1,Sheet1!$A:$A,$A6)*100,2),"0.00")</f>
        <v>21.5866 ± 31.96</v>
      </c>
      <c r="H6" s="6" t="str">
        <f>TEXT(ROUND(SUMIFS(Sheet1!$D:$D,Sheet1!$C:$C,$C6,Sheet1!$B:$B,H$1,Sheet1!$A:$A,$A6)*100,4),"0.0000") &amp; " ± " &amp; TEXT(ROUND(SUMIFS(Sheet1!$E:$E,Sheet1!$C:$C,$C6,Sheet1!$B:$B,H$1,Sheet1!$A:$A,$A6)*100,2),"0.00")</f>
        <v>61.8390 ± 15.87</v>
      </c>
      <c r="I6" s="4" t="str">
        <f>TEXT(ROUND(SUMIFS(Sheet1!$F:$F,Sheet1!$C:$C,$C6,Sheet1!$B:$B,I$1,Sheet1!$A:$A,$A6)*100,4),"0.0000") &amp; " ± " &amp; TEXT(ROUND(SUMIFS(Sheet1!$G:$G,Sheet1!$C:$C,$C6,Sheet1!$B:$B,I$1,Sheet1!$A:$A,$A6)*100,2),"0.00")</f>
        <v>25.2471 ± 23.64</v>
      </c>
      <c r="J6" s="4" t="str">
        <f>TEXT(ROUND(SUMIFS(Sheet1!$H:$H,Sheet1!$C:$C,$C6,Sheet1!$B:$B,J$1,Sheet1!$A:$A,$A6)*100,4),"0.0000") &amp; " ± " &amp; TEXT(ROUND(SUMIFS(Sheet1!$I:$I,Sheet1!$C:$C,$C6,Sheet1!$B:$B,J$1,Sheet1!$A:$A,$A6)*100,2),"0.00")</f>
        <v>34.9352 ± 36.31</v>
      </c>
      <c r="K6" s="7" t="str">
        <f>TEXT(ROUND(SUMIFS(Sheet1!$J:$J,Sheet1!$C:$C,$C6,Sheet1!$B:$B,K$1,Sheet1!$A:$A,$A6)*100,4),"0.0000") &amp; " ± " &amp; TEXT(ROUND(SUMIFS(Sheet1!$K:$K,Sheet1!$C:$C,$C6,Sheet1!$B:$B,K$1,Sheet1!$A:$A,$A6)*100,2),"0.00")</f>
        <v>25.6518 ± 25.50</v>
      </c>
      <c r="L6" s="8" t="str">
        <f>TEXT(ROUND(SUMIFS(Sheet1!$D:$D,Sheet1!$C:$C,$C6,Sheet1!$B:$B,L$1,Sheet1!$A:$A,$A6)*100,4),"0.0000") &amp; " ± " &amp; TEXT(ROUND(SUMIFS(Sheet1!$E:$E,Sheet1!$C:$C,$C6,Sheet1!$B:$B,L$1,Sheet1!$A:$A,$A6)*100,2),"0.00")</f>
        <v>59.8136 ± 19.14</v>
      </c>
      <c r="M6" s="4" t="str">
        <f>TEXT(ROUND(SUMIFS(Sheet1!$F:$F,Sheet1!$C:$C,$C6,Sheet1!$B:$B,M$1,Sheet1!$A:$A,$A6)*100,4),"0.0000") &amp; " ± " &amp; TEXT(ROUND(SUMIFS(Sheet1!$G:$G,Sheet1!$C:$C,$C6,Sheet1!$B:$B,M$1,Sheet1!$A:$A,$A6)*100,2),"0.00")</f>
        <v>37.9366 ± 30.15</v>
      </c>
      <c r="N6" s="4" t="str">
        <f>TEXT(ROUND(SUMIFS(Sheet1!$H:$H,Sheet1!$C:$C,$C6,Sheet1!$B:$B,N$1,Sheet1!$A:$A,$A6)*100,4),"0.0000") &amp; " ± " &amp; TEXT(ROUND(SUMIFS(Sheet1!$I:$I,Sheet1!$C:$C,$C6,Sheet1!$B:$B,N$1,Sheet1!$A:$A,$A6)*100,2),"0.00")</f>
        <v>48.2503 ± 39.95</v>
      </c>
      <c r="O6" s="9" t="str">
        <f>TEXT(ROUND(SUMIFS(Sheet1!$J:$J,Sheet1!$C:$C,$C6,Sheet1!$B:$B,O$1,Sheet1!$A:$A,$A6)*100,4),"0.0000") &amp; " ± " &amp; TEXT(ROUND(SUMIFS(Sheet1!$K:$K,Sheet1!$C:$C,$C6,Sheet1!$B:$B,O$1,Sheet1!$A:$A,$A6)*100,2),"0.00")</f>
        <v>42.2841 ± 38.19</v>
      </c>
    </row>
    <row r="7" spans="1:15" ht="15" thickBot="1" x14ac:dyDescent="0.35">
      <c r="A7" s="10" t="s">
        <v>17</v>
      </c>
      <c r="B7" s="14"/>
      <c r="C7" s="33" t="s">
        <v>14</v>
      </c>
      <c r="D7" s="34" t="str">
        <f>TEXT(ROUND(SUMIFS(Sheet1!$D:$D,Sheet1!$C:$C,$C7,Sheet1!$B:$B,D$1,Sheet1!$A:$A,$A7)*100,4),"0.0000") &amp; " ± " &amp; TEXT(ROUND(SUMIFS(Sheet1!$E:$E,Sheet1!$C:$C,$C7,Sheet1!$B:$B,D$1,Sheet1!$A:$A,$A7)*100,2),"0.00")</f>
        <v>63.3398 ± 20.00</v>
      </c>
      <c r="E7" s="35" t="str">
        <f>TEXT(ROUND(SUMIFS(Sheet1!$F:$F,Sheet1!$C:$C,$C7,Sheet1!$B:$B,E$1,Sheet1!$A:$A,$A7)*100,4),"0.0000") &amp; " ± " &amp; TEXT(ROUND(SUMIFS(Sheet1!$G:$G,Sheet1!$C:$C,$C7,Sheet1!$B:$B,E$1,Sheet1!$A:$A,$A7)*100,2),"0.00")</f>
        <v>15.1572 ± 16.87</v>
      </c>
      <c r="F7" s="35" t="str">
        <f>TEXT(ROUND(SUMIFS(Sheet1!$H:$H,Sheet1!$C:$C,$C7,Sheet1!$B:$B,F$1,Sheet1!$A:$A,$A7)*100,4),"0.0000") &amp; " ± " &amp; TEXT(ROUND(SUMIFS(Sheet1!$I:$I,Sheet1!$C:$C,$C7,Sheet1!$B:$B,F$1,Sheet1!$A:$A,$A7)*100,2),"0.00")</f>
        <v>31.1311 ± 34.93</v>
      </c>
      <c r="G7" s="36" t="str">
        <f>TEXT(ROUND(SUMIFS(Sheet1!$J:$J,Sheet1!$C:$C,$C7,Sheet1!$B:$B,G$1,Sheet1!$A:$A,$A7)*100,4),"0.0000") &amp; " ± " &amp; TEXT(ROUND(SUMIFS(Sheet1!$K:$K,Sheet1!$C:$C,$C7,Sheet1!$B:$B,G$1,Sheet1!$A:$A,$A7)*100,2),"0.00")</f>
        <v>14.2298 ± 20.35</v>
      </c>
      <c r="H7" s="38" t="str">
        <f>TEXT(ROUND(SUMIFS(Sheet1!$D:$D,Sheet1!$C:$C,$C7,Sheet1!$B:$B,H$1,Sheet1!$A:$A,$A7)*100,4),"0.0000") &amp; " ± " &amp; TEXT(ROUND(SUMIFS(Sheet1!$E:$E,Sheet1!$C:$C,$C7,Sheet1!$B:$B,H$1,Sheet1!$A:$A,$A7)*100,2),"0.00")</f>
        <v>63.2991 ± 16.70</v>
      </c>
      <c r="I7" s="35" t="str">
        <f>TEXT(ROUND(SUMIFS(Sheet1!$F:$F,Sheet1!$C:$C,$C7,Sheet1!$B:$B,I$1,Sheet1!$A:$A,$A7)*100,4),"0.0000") &amp; " ± " &amp; TEXT(ROUND(SUMIFS(Sheet1!$G:$G,Sheet1!$C:$C,$C7,Sheet1!$B:$B,I$1,Sheet1!$A:$A,$A7)*100,2),"0.00")</f>
        <v>17.9648 ± 17.95</v>
      </c>
      <c r="J7" s="35" t="str">
        <f>TEXT(ROUND(SUMIFS(Sheet1!$H:$H,Sheet1!$C:$C,$C7,Sheet1!$B:$B,J$1,Sheet1!$A:$A,$A7)*100,4),"0.0000") &amp; " ± " &amp; TEXT(ROUND(SUMIFS(Sheet1!$I:$I,Sheet1!$C:$C,$C7,Sheet1!$B:$B,J$1,Sheet1!$A:$A,$A7)*100,2),"0.00")</f>
        <v>31.3417 ± 35.01</v>
      </c>
      <c r="K7" s="36" t="str">
        <f>TEXT(ROUND(SUMIFS(Sheet1!$J:$J,Sheet1!$C:$C,$C7,Sheet1!$B:$B,K$1,Sheet1!$A:$A,$A7)*100,4),"0.0000") &amp; " ± " &amp; TEXT(ROUND(SUMIFS(Sheet1!$K:$K,Sheet1!$C:$C,$C7,Sheet1!$B:$B,K$1,Sheet1!$A:$A,$A7)*100,2),"0.00")</f>
        <v>14.5479 ± 14.58</v>
      </c>
      <c r="L7" s="34" t="str">
        <f>TEXT(ROUND(SUMIFS(Sheet1!$D:$D,Sheet1!$C:$C,$C7,Sheet1!$B:$B,L$1,Sheet1!$A:$A,$A7)*100,4),"0.0000") &amp; " ± " &amp; TEXT(ROUND(SUMIFS(Sheet1!$E:$E,Sheet1!$C:$C,$C7,Sheet1!$B:$B,L$1,Sheet1!$A:$A,$A7)*100,2),"0.00")</f>
        <v>56.3298 ± 23.64</v>
      </c>
      <c r="M7" s="35" t="str">
        <f>TEXT(ROUND(SUMIFS(Sheet1!$F:$F,Sheet1!$C:$C,$C7,Sheet1!$B:$B,M$1,Sheet1!$A:$A,$A7)*100,4),"0.0000") &amp; " ± " &amp; TEXT(ROUND(SUMIFS(Sheet1!$G:$G,Sheet1!$C:$C,$C7,Sheet1!$B:$B,M$1,Sheet1!$A:$A,$A7)*100,2),"0.00")</f>
        <v>18.0546 ± 22.55</v>
      </c>
      <c r="N7" s="35" t="str">
        <f>TEXT(ROUND(SUMIFS(Sheet1!$H:$H,Sheet1!$C:$C,$C7,Sheet1!$B:$B,N$1,Sheet1!$A:$A,$A7)*100,4),"0.0000") &amp; " ± " &amp; TEXT(ROUND(SUMIFS(Sheet1!$I:$I,Sheet1!$C:$C,$C7,Sheet1!$B:$B,N$1,Sheet1!$A:$A,$A7)*100,2),"0.00")</f>
        <v>36.5116 ± 44.94</v>
      </c>
      <c r="O7" s="36" t="str">
        <f>TEXT(ROUND(SUMIFS(Sheet1!$J:$J,Sheet1!$C:$C,$C7,Sheet1!$B:$B,O$1,Sheet1!$A:$A,$A7)*100,4),"0.0000") &amp; " ± " &amp; TEXT(ROUND(SUMIFS(Sheet1!$K:$K,Sheet1!$C:$C,$C7,Sheet1!$B:$B,O$1,Sheet1!$A:$A,$A7)*100,2),"0.00")</f>
        <v>15.8056 ± 23.03</v>
      </c>
    </row>
    <row r="8" spans="1:15" ht="15" thickBot="1" x14ac:dyDescent="0.35">
      <c r="A8" s="10"/>
      <c r="B8" s="1"/>
      <c r="D8" s="39"/>
      <c r="E8" s="39"/>
      <c r="F8" s="39"/>
      <c r="G8" s="39"/>
      <c r="H8" s="40"/>
      <c r="I8" s="40"/>
      <c r="J8" s="40"/>
      <c r="K8" s="40"/>
      <c r="L8" s="40"/>
      <c r="M8" s="40"/>
      <c r="N8" s="40"/>
      <c r="O8" s="40"/>
    </row>
    <row r="9" spans="1:15" x14ac:dyDescent="0.3">
      <c r="A9" s="10"/>
      <c r="B9" s="17" t="s">
        <v>29</v>
      </c>
      <c r="C9" s="37" t="s">
        <v>25</v>
      </c>
      <c r="D9" s="41" t="s">
        <v>26</v>
      </c>
      <c r="E9" s="42"/>
      <c r="F9" s="42"/>
      <c r="G9" s="43"/>
      <c r="H9" s="44" t="s">
        <v>27</v>
      </c>
      <c r="I9" s="45"/>
      <c r="J9" s="45"/>
      <c r="K9" s="46"/>
      <c r="L9" s="44" t="s">
        <v>28</v>
      </c>
      <c r="M9" s="45"/>
      <c r="N9" s="45"/>
      <c r="O9" s="46"/>
    </row>
    <row r="10" spans="1:15" x14ac:dyDescent="0.3">
      <c r="A10" s="10"/>
      <c r="B10" s="24"/>
      <c r="C10" s="28" t="s">
        <v>20</v>
      </c>
      <c r="D10" s="32" t="s">
        <v>21</v>
      </c>
      <c r="E10" s="30" t="s">
        <v>22</v>
      </c>
      <c r="F10" s="30" t="s">
        <v>23</v>
      </c>
      <c r="G10" s="31" t="s">
        <v>24</v>
      </c>
      <c r="H10" s="32" t="s">
        <v>21</v>
      </c>
      <c r="I10" s="30" t="s">
        <v>22</v>
      </c>
      <c r="J10" s="30" t="s">
        <v>23</v>
      </c>
      <c r="K10" s="31" t="s">
        <v>24</v>
      </c>
      <c r="L10" s="32" t="s">
        <v>21</v>
      </c>
      <c r="M10" s="30" t="s">
        <v>22</v>
      </c>
      <c r="N10" s="30" t="s">
        <v>23</v>
      </c>
      <c r="O10" s="31" t="s">
        <v>24</v>
      </c>
    </row>
    <row r="11" spans="1:15" x14ac:dyDescent="0.3">
      <c r="A11" s="10" t="s">
        <v>16</v>
      </c>
      <c r="B11" s="15" t="s">
        <v>31</v>
      </c>
      <c r="C11" s="3" t="s">
        <v>11</v>
      </c>
      <c r="D11" s="6" t="str">
        <f>TEXT(ROUND(SUMIFS(Sheet1!$D:$D,Sheet1!$C:$C,$C11,Sheet1!$B:$B,D$1,Sheet1!$A:$A,$A11)*100,4),"0.0000") &amp; " ± " &amp; TEXT(ROUND(SUMIFS(Sheet1!$E:$E,Sheet1!$C:$C,$C11,Sheet1!$B:$B,D$1,Sheet1!$A:$A,$A11)*100,2),"0.00")</f>
        <v>54.4371 ± 18.67</v>
      </c>
      <c r="E11" s="5" t="str">
        <f>TEXT(ROUND(SUMIFS(Sheet1!$F:$F,Sheet1!$C:$C,$C11,Sheet1!$B:$B,E$1,Sheet1!$A:$A,$A11)*100,4),"0.0000") &amp; " ± " &amp; TEXT(ROUND(SUMIFS(Sheet1!$G:$G,Sheet1!$C:$C,$C11,Sheet1!$B:$B,E$1,Sheet1!$A:$A,$A11)*100,2),"0.00")</f>
        <v>22.6699 ± 24.98</v>
      </c>
      <c r="F11" s="5" t="str">
        <f>TEXT(ROUND(SUMIFS(Sheet1!$H:$H,Sheet1!$C:$C,$C11,Sheet1!$B:$B,F$1,Sheet1!$A:$A,$A11)*100,4),"0.0000") &amp; " ± " &amp; TEXT(ROUND(SUMIFS(Sheet1!$I:$I,Sheet1!$C:$C,$C11,Sheet1!$B:$B,F$1,Sheet1!$A:$A,$A11)*100,2),"0.00")</f>
        <v>36.3566 ± 41.63</v>
      </c>
      <c r="G11" s="7" t="str">
        <f>TEXT(ROUND(SUMIFS(Sheet1!$J:$J,Sheet1!$C:$C,$C11,Sheet1!$B:$B,G$1,Sheet1!$A:$A,$A11)*100,4),"0.0000") &amp; " ± " &amp; TEXT(ROUND(SUMIFS(Sheet1!$K:$K,Sheet1!$C:$C,$C11,Sheet1!$B:$B,G$1,Sheet1!$A:$A,$A11)*100,2),"0.00")</f>
        <v>21.9574 ± 28.14</v>
      </c>
      <c r="H11" s="6" t="str">
        <f>TEXT(ROUND(SUMIFS(Sheet1!$D:$D,Sheet1!$C:$C,$C11,Sheet1!$B:$B,H$1,Sheet1!$A:$A,$A11)*100,4),"0.0000") &amp; " ± " &amp; TEXT(ROUND(SUMIFS(Sheet1!$E:$E,Sheet1!$C:$C,$C11,Sheet1!$B:$B,H$1,Sheet1!$A:$A,$A11)*100,2),"0.00")</f>
        <v>57.5194 ± 21.07</v>
      </c>
      <c r="I11" s="5" t="str">
        <f>TEXT(ROUND(SUMIFS(Sheet1!$F:$F,Sheet1!$C:$C,$C11,Sheet1!$B:$B,I$1,Sheet1!$A:$A,$A11)*100,4),"0.0000") &amp; " ± " &amp; TEXT(ROUND(SUMIFS(Sheet1!$G:$G,Sheet1!$C:$C,$C11,Sheet1!$B:$B,I$1,Sheet1!$A:$A,$A11)*100,2),"0.00")</f>
        <v>28.4912 ± 26.71</v>
      </c>
      <c r="J11" s="5" t="str">
        <f>TEXT(ROUND(SUMIFS(Sheet1!$H:$H,Sheet1!$C:$C,$C11,Sheet1!$B:$B,J$1,Sheet1!$A:$A,$A11)*100,4),"0.0000") &amp; " ± " &amp; TEXT(ROUND(SUMIFS(Sheet1!$I:$I,Sheet1!$C:$C,$C11,Sheet1!$B:$B,J$1,Sheet1!$A:$A,$A11)*100,2),"0.00")</f>
        <v>41.7054 ± 41.74</v>
      </c>
      <c r="K11" s="7" t="str">
        <f>TEXT(ROUND(SUMIFS(Sheet1!$J:$J,Sheet1!$C:$C,$C11,Sheet1!$B:$B,K$1,Sheet1!$A:$A,$A11)*100,4),"0.0000") &amp; " ± " &amp; TEXT(ROUND(SUMIFS(Sheet1!$K:$K,Sheet1!$C:$C,$C11,Sheet1!$B:$B,K$1,Sheet1!$A:$A,$A11)*100,2),"0.00")</f>
        <v>31.3372 ± 34.78</v>
      </c>
      <c r="L11" s="8" t="str">
        <f>TEXT(ROUND(SUMIFS(Sheet1!$D:$D,Sheet1!$C:$C,$C11,Sheet1!$B:$B,L$1,Sheet1!$A:$A,$A11)*100,4),"0.0000") &amp; " ± " &amp; TEXT(ROUND(SUMIFS(Sheet1!$E:$E,Sheet1!$C:$C,$C11,Sheet1!$B:$B,L$1,Sheet1!$A:$A,$A11)*100,2),"0.00")</f>
        <v>55.0388 ± 23.84</v>
      </c>
      <c r="M11" s="4" t="str">
        <f>TEXT(ROUND(SUMIFS(Sheet1!$F:$F,Sheet1!$C:$C,$C11,Sheet1!$B:$B,M$1,Sheet1!$A:$A,$A11)*100,4),"0.0000") &amp; " ± " &amp; TEXT(ROUND(SUMIFS(Sheet1!$G:$G,Sheet1!$C:$C,$C11,Sheet1!$B:$B,M$1,Sheet1!$A:$A,$A11)*100,2),"0.00")</f>
        <v>20.7489 ± 24.47</v>
      </c>
      <c r="N11" s="4" t="str">
        <f>TEXT(ROUND(SUMIFS(Sheet1!$H:$H,Sheet1!$C:$C,$C11,Sheet1!$B:$B,N$1,Sheet1!$A:$A,$A11)*100,4),"0.0000") &amp; " ± " &amp; TEXT(ROUND(SUMIFS(Sheet1!$I:$I,Sheet1!$C:$C,$C11,Sheet1!$B:$B,N$1,Sheet1!$A:$A,$A11)*100,2),"0.00")</f>
        <v>29.5330 ± 37.02</v>
      </c>
      <c r="O11" s="9" t="str">
        <f>TEXT(ROUND(SUMIFS(Sheet1!$J:$J,Sheet1!$C:$C,$C11,Sheet1!$B:$B,O$1,Sheet1!$A:$A,$A11)*100,4),"0.0000") &amp; " ± " &amp; TEXT(ROUND(SUMIFS(Sheet1!$K:$K,Sheet1!$C:$C,$C11,Sheet1!$B:$B,O$1,Sheet1!$A:$A,$A11)*100,2),"0.00")</f>
        <v>25.4439 ± 34.46</v>
      </c>
    </row>
    <row r="12" spans="1:15" x14ac:dyDescent="0.3">
      <c r="A12" s="10" t="s">
        <v>16</v>
      </c>
      <c r="B12" s="15"/>
      <c r="C12" s="28" t="s">
        <v>13</v>
      </c>
      <c r="D12" s="29" t="str">
        <f>TEXT(ROUND(SUMIFS(Sheet1!$D:$D,Sheet1!$C:$C,$C12,Sheet1!$B:$B,D$1,Sheet1!$A:$A,$A12)*100,4),"0.0000") &amp; " ± " &amp; TEXT(ROUND(SUMIFS(Sheet1!$E:$E,Sheet1!$C:$C,$C12,Sheet1!$B:$B,D$1,Sheet1!$A:$A,$A12)*100,2),"0.00")</f>
        <v>59.1519 ± 22.23</v>
      </c>
      <c r="E12" s="30" t="str">
        <f>TEXT(ROUND(SUMIFS(Sheet1!$F:$F,Sheet1!$C:$C,$C12,Sheet1!$B:$B,E$1,Sheet1!$A:$A,$A12)*100,4),"0.0000") &amp; " ± " &amp; TEXT(ROUND(SUMIFS(Sheet1!$G:$G,Sheet1!$C:$C,$C12,Sheet1!$B:$B,E$1,Sheet1!$A:$A,$A12)*100,2),"0.00")</f>
        <v>29.4901 ± 30.81</v>
      </c>
      <c r="F12" s="30" t="str">
        <f>TEXT(ROUND(SUMIFS(Sheet1!$H:$H,Sheet1!$C:$C,$C12,Sheet1!$B:$B,F$1,Sheet1!$A:$A,$A12)*100,4),"0.0000") &amp; " ± " &amp; TEXT(ROUND(SUMIFS(Sheet1!$I:$I,Sheet1!$C:$C,$C12,Sheet1!$B:$B,F$1,Sheet1!$A:$A,$A12)*100,2),"0.00")</f>
        <v>39.7287 ± 42.65</v>
      </c>
      <c r="G12" s="31" t="str">
        <f>TEXT(ROUND(SUMIFS(Sheet1!$J:$J,Sheet1!$C:$C,$C12,Sheet1!$B:$B,G$1,Sheet1!$A:$A,$A12)*100,4),"0.0000") &amp; " ± " &amp; TEXT(ROUND(SUMIFS(Sheet1!$K:$K,Sheet1!$C:$C,$C12,Sheet1!$B:$B,G$1,Sheet1!$A:$A,$A12)*100,2),"0.00")</f>
        <v>30.5759 ± 35.39</v>
      </c>
      <c r="H12" s="32" t="str">
        <f>TEXT(ROUND(SUMIFS(Sheet1!$D:$D,Sheet1!$C:$C,$C12,Sheet1!$B:$B,H$1,Sheet1!$A:$A,$A12)*100,4),"0.0000") &amp; " ± " &amp; TEXT(ROUND(SUMIFS(Sheet1!$E:$E,Sheet1!$C:$C,$C12,Sheet1!$B:$B,H$1,Sheet1!$A:$A,$A12)*100,2),"0.00")</f>
        <v>57.7658 ± 22.00</v>
      </c>
      <c r="I12" s="30" t="str">
        <f>TEXT(ROUND(SUMIFS(Sheet1!$F:$F,Sheet1!$C:$C,$C12,Sheet1!$B:$B,I$1,Sheet1!$A:$A,$A12)*100,4),"0.0000") &amp; " ± " &amp; TEXT(ROUND(SUMIFS(Sheet1!$G:$G,Sheet1!$C:$C,$C12,Sheet1!$B:$B,I$1,Sheet1!$A:$A,$A12)*100,2),"0.00")</f>
        <v>22.7800 ± 26.12</v>
      </c>
      <c r="J12" s="30" t="str">
        <f>TEXT(ROUND(SUMIFS(Sheet1!$H:$H,Sheet1!$C:$C,$C12,Sheet1!$B:$B,J$1,Sheet1!$A:$A,$A12)*100,4),"0.0000") &amp; " ± " &amp; TEXT(ROUND(SUMIFS(Sheet1!$I:$I,Sheet1!$C:$C,$C12,Sheet1!$B:$B,J$1,Sheet1!$A:$A,$A12)*100,2),"0.00")</f>
        <v>34.3798 ± 41.12</v>
      </c>
      <c r="K12" s="31" t="str">
        <f>TEXT(ROUND(SUMIFS(Sheet1!$J:$J,Sheet1!$C:$C,$C12,Sheet1!$B:$B,K$1,Sheet1!$A:$A,$A12)*100,4),"0.0000") &amp; " ± " &amp; TEXT(ROUND(SUMIFS(Sheet1!$K:$K,Sheet1!$C:$C,$C12,Sheet1!$B:$B,K$1,Sheet1!$A:$A,$A12)*100,2),"0.00")</f>
        <v>19.6539 ± 24.00</v>
      </c>
      <c r="L12" s="32" t="str">
        <f>TEXT(ROUND(SUMIFS(Sheet1!$D:$D,Sheet1!$C:$C,$C12,Sheet1!$B:$B,L$1,Sheet1!$A:$A,$A12)*100,4),"0.0000") &amp; " ± " &amp; TEXT(ROUND(SUMIFS(Sheet1!$E:$E,Sheet1!$C:$C,$C12,Sheet1!$B:$B,L$1,Sheet1!$A:$A,$A12)*100,2),"0.00")</f>
        <v>52.7132 ± 26.80</v>
      </c>
      <c r="M12" s="30" t="str">
        <f>TEXT(ROUND(SUMIFS(Sheet1!$F:$F,Sheet1!$C:$C,$C12,Sheet1!$B:$B,M$1,Sheet1!$A:$A,$A12)*100,4),"0.0000") &amp; " ± " &amp; TEXT(ROUND(SUMIFS(Sheet1!$G:$G,Sheet1!$C:$C,$C12,Sheet1!$B:$B,M$1,Sheet1!$A:$A,$A12)*100,2),"0.00")</f>
        <v>13.7015 ± 22.95</v>
      </c>
      <c r="N12" s="30" t="str">
        <f>TEXT(ROUND(SUMIFS(Sheet1!$H:$H,Sheet1!$C:$C,$C12,Sheet1!$B:$B,N$1,Sheet1!$A:$A,$A12)*100,4),"0.0000") &amp; " ± " &amp; TEXT(ROUND(SUMIFS(Sheet1!$I:$I,Sheet1!$C:$C,$C12,Sheet1!$B:$B,N$1,Sheet1!$A:$A,$A12)*100,2),"0.00")</f>
        <v>18.0454 ± 31.08</v>
      </c>
      <c r="O12" s="31" t="str">
        <f>TEXT(ROUND(SUMIFS(Sheet1!$J:$J,Sheet1!$C:$C,$C12,Sheet1!$B:$B,O$1,Sheet1!$A:$A,$A12)*100,4),"0.0000") &amp; " ± " &amp; TEXT(ROUND(SUMIFS(Sheet1!$K:$K,Sheet1!$C:$C,$C12,Sheet1!$B:$B,O$1,Sheet1!$A:$A,$A12)*100,2),"0.00")</f>
        <v>16.8051 ± 30.96</v>
      </c>
    </row>
    <row r="13" spans="1:15" x14ac:dyDescent="0.3">
      <c r="A13" s="10" t="s">
        <v>16</v>
      </c>
      <c r="B13" s="15"/>
      <c r="C13" s="3" t="s">
        <v>12</v>
      </c>
      <c r="D13" s="6" t="str">
        <f>TEXT(ROUND(SUMIFS(Sheet1!$D:$D,Sheet1!$C:$C,$C13,Sheet1!$B:$B,D$1,Sheet1!$A:$A,$A13)*100,4),"0.0000") &amp; " ± " &amp; TEXT(ROUND(SUMIFS(Sheet1!$E:$E,Sheet1!$C:$C,$C13,Sheet1!$B:$B,D$1,Sheet1!$A:$A,$A13)*100,2),"0.00")</f>
        <v>56.2578 ± 21.46</v>
      </c>
      <c r="E13" s="4" t="str">
        <f>TEXT(ROUND(SUMIFS(Sheet1!$F:$F,Sheet1!$C:$C,$C13,Sheet1!$B:$B,E$1,Sheet1!$A:$A,$A13)*100,4),"0.0000") &amp; " ± " &amp; TEXT(ROUND(SUMIFS(Sheet1!$G:$G,Sheet1!$C:$C,$C13,Sheet1!$B:$B,E$1,Sheet1!$A:$A,$A13)*100,2),"0.00")</f>
        <v>34.3842 ± 29.37</v>
      </c>
      <c r="F13" s="4" t="str">
        <f>TEXT(ROUND(SUMIFS(Sheet1!$H:$H,Sheet1!$C:$C,$C13,Sheet1!$B:$B,F$1,Sheet1!$A:$A,$A13)*100,4),"0.0000") &amp; " ± " &amp; TEXT(ROUND(SUMIFS(Sheet1!$I:$I,Sheet1!$C:$C,$C13,Sheet1!$B:$B,F$1,Sheet1!$A:$A,$A13)*100,2),"0.00")</f>
        <v>44.3909 ± 40.33</v>
      </c>
      <c r="G13" s="9" t="str">
        <f>TEXT(ROUND(SUMIFS(Sheet1!$J:$J,Sheet1!$C:$C,$C13,Sheet1!$B:$B,G$1,Sheet1!$A:$A,$A13)*100,4),"0.0000") &amp; " ± " &amp; TEXT(ROUND(SUMIFS(Sheet1!$K:$K,Sheet1!$C:$C,$C13,Sheet1!$B:$B,G$1,Sheet1!$A:$A,$A13)*100,2),"0.00")</f>
        <v>40.7752 ± 38.42</v>
      </c>
      <c r="H13" s="8" t="str">
        <f>TEXT(ROUND(SUMIFS(Sheet1!$D:$D,Sheet1!$C:$C,$C13,Sheet1!$B:$B,H$1,Sheet1!$A:$A,$A13)*100,4),"0.0000") &amp; " ± " &amp; TEXT(ROUND(SUMIFS(Sheet1!$E:$E,Sheet1!$C:$C,$C13,Sheet1!$B:$B,H$1,Sheet1!$A:$A,$A13)*100,2),"0.00")</f>
        <v>61.9684 ± 16.22</v>
      </c>
      <c r="I13" s="4" t="str">
        <f>TEXT(ROUND(SUMIFS(Sheet1!$F:$F,Sheet1!$C:$C,$C13,Sheet1!$B:$B,I$1,Sheet1!$A:$A,$A13)*100,4),"0.0000") &amp; " ± " &amp; TEXT(ROUND(SUMIFS(Sheet1!$G:$G,Sheet1!$C:$C,$C13,Sheet1!$B:$B,I$1,Sheet1!$A:$A,$A13)*100,2),"0.00")</f>
        <v>38.3603 ± 30.83</v>
      </c>
      <c r="J13" s="4" t="str">
        <f>TEXT(ROUND(SUMIFS(Sheet1!$H:$H,Sheet1!$C:$C,$C13,Sheet1!$B:$B,J$1,Sheet1!$A:$A,$A13)*100,4),"0.0000") &amp; " ± " &amp; TEXT(ROUND(SUMIFS(Sheet1!$I:$I,Sheet1!$C:$C,$C13,Sheet1!$B:$B,J$1,Sheet1!$A:$A,$A13)*100,2),"0.00")</f>
        <v>46.3566 ± 39.39</v>
      </c>
      <c r="K13" s="9" t="str">
        <f>TEXT(ROUND(SUMIFS(Sheet1!$J:$J,Sheet1!$C:$C,$C13,Sheet1!$B:$B,K$1,Sheet1!$A:$A,$A13)*100,4),"0.0000") &amp; " ± " &amp; TEXT(ROUND(SUMIFS(Sheet1!$K:$K,Sheet1!$C:$C,$C13,Sheet1!$B:$B,K$1,Sheet1!$A:$A,$A13)*100,2),"0.00")</f>
        <v>38.6351 ± 33.17</v>
      </c>
      <c r="L13" s="6" t="str">
        <f>TEXT(ROUND(SUMIFS(Sheet1!$D:$D,Sheet1!$C:$C,$C13,Sheet1!$B:$B,L$1,Sheet1!$A:$A,$A13)*100,4),"0.0000") &amp; " ± " &amp; TEXT(ROUND(SUMIFS(Sheet1!$E:$E,Sheet1!$C:$C,$C13,Sheet1!$B:$B,L$1,Sheet1!$A:$A,$A13)*100,2),"0.00")</f>
        <v>44.9612 ± 23.59</v>
      </c>
      <c r="M13" s="5" t="str">
        <f>TEXT(ROUND(SUMIFS(Sheet1!$F:$F,Sheet1!$C:$C,$C13,Sheet1!$B:$B,M$1,Sheet1!$A:$A,$A13)*100,4),"0.0000") &amp; " ± " &amp; TEXT(ROUND(SUMIFS(Sheet1!$G:$G,Sheet1!$C:$C,$C13,Sheet1!$B:$B,M$1,Sheet1!$A:$A,$A13)*100,2),"0.00")</f>
        <v>20.0456 ± 25.79</v>
      </c>
      <c r="N13" s="5" t="str">
        <f>TEXT(ROUND(SUMIFS(Sheet1!$H:$H,Sheet1!$C:$C,$C13,Sheet1!$B:$B,N$1,Sheet1!$A:$A,$A13)*100,4),"0.0000") &amp; " ± " &amp; TEXT(ROUND(SUMIFS(Sheet1!$I:$I,Sheet1!$C:$C,$C13,Sheet1!$B:$B,N$1,Sheet1!$A:$A,$A13)*100,2),"0.00")</f>
        <v>25.3036 ± 35.11</v>
      </c>
      <c r="O13" s="7" t="str">
        <f>TEXT(ROUND(SUMIFS(Sheet1!$J:$J,Sheet1!$C:$C,$C13,Sheet1!$B:$B,O$1,Sheet1!$A:$A,$A13)*100,4),"0.0000") &amp; " ± " &amp; TEXT(ROUND(SUMIFS(Sheet1!$K:$K,Sheet1!$C:$C,$C13,Sheet1!$B:$B,O$1,Sheet1!$A:$A,$A13)*100,2),"0.00")</f>
        <v>24.0818 ± 33.31</v>
      </c>
    </row>
    <row r="14" spans="1:15" ht="15" thickBot="1" x14ac:dyDescent="0.35">
      <c r="A14" s="10" t="s">
        <v>16</v>
      </c>
      <c r="B14" s="16"/>
      <c r="C14" s="33" t="s">
        <v>14</v>
      </c>
      <c r="D14" s="34" t="str">
        <f>TEXT(ROUND(SUMIFS(Sheet1!$D:$D,Sheet1!$C:$C,$C14,Sheet1!$B:$B,D$1,Sheet1!$A:$A,$A14)*100,4),"0.0000") &amp; " ± " &amp; TEXT(ROUND(SUMIFS(Sheet1!$E:$E,Sheet1!$C:$C,$C14,Sheet1!$B:$B,D$1,Sheet1!$A:$A,$A14)*100,2),"0.00")</f>
        <v>56.3068 ± 21.84</v>
      </c>
      <c r="E14" s="35" t="str">
        <f>TEXT(ROUND(SUMIFS(Sheet1!$F:$F,Sheet1!$C:$C,$C14,Sheet1!$B:$B,E$1,Sheet1!$A:$A,$A14)*100,4),"0.0000") &amp; " ± " &amp; TEXT(ROUND(SUMIFS(Sheet1!$G:$G,Sheet1!$C:$C,$C14,Sheet1!$B:$B,E$1,Sheet1!$A:$A,$A14)*100,2),"0.00")</f>
        <v>13.2927 ± 21.74</v>
      </c>
      <c r="F14" s="35" t="str">
        <f>TEXT(ROUND(SUMIFS(Sheet1!$H:$H,Sheet1!$C:$C,$C14,Sheet1!$B:$B,F$1,Sheet1!$A:$A,$A14)*100,4),"0.0000") &amp; " ± " &amp; TEXT(ROUND(SUMIFS(Sheet1!$I:$I,Sheet1!$C:$C,$C14,Sheet1!$B:$B,F$1,Sheet1!$A:$A,$A14)*100,2),"0.00")</f>
        <v>24.4186 ± 39.43</v>
      </c>
      <c r="G14" s="36" t="str">
        <f>TEXT(ROUND(SUMIFS(Sheet1!$J:$J,Sheet1!$C:$C,$C14,Sheet1!$B:$B,G$1,Sheet1!$A:$A,$A14)*100,4),"0.0000") &amp; " ± " &amp; TEXT(ROUND(SUMIFS(Sheet1!$K:$K,Sheet1!$C:$C,$C14,Sheet1!$B:$B,G$1,Sheet1!$A:$A,$A14)*100,2),"0.00")</f>
        <v>11.2320 ± 21.61</v>
      </c>
      <c r="H14" s="34" t="str">
        <f>TEXT(ROUND(SUMIFS(Sheet1!$D:$D,Sheet1!$C:$C,$C14,Sheet1!$B:$B,H$1,Sheet1!$A:$A,$A14)*100,4),"0.0000") &amp; " ± " &amp; TEXT(ROUND(SUMIFS(Sheet1!$E:$E,Sheet1!$C:$C,$C14,Sheet1!$B:$B,H$1,Sheet1!$A:$A,$A14)*100,2),"0.00")</f>
        <v>58.6600 ± 23.93</v>
      </c>
      <c r="I14" s="35" t="str">
        <f>TEXT(ROUND(SUMIFS(Sheet1!$F:$F,Sheet1!$C:$C,$C14,Sheet1!$B:$B,I$1,Sheet1!$A:$A,$A14)*100,4),"0.0000") &amp; " ± " &amp; TEXT(ROUND(SUMIFS(Sheet1!$G:$G,Sheet1!$C:$C,$C14,Sheet1!$B:$B,I$1,Sheet1!$A:$A,$A14)*100,2),"0.00")</f>
        <v>18.8030 ± 24.50</v>
      </c>
      <c r="J14" s="35" t="str">
        <f>TEXT(ROUND(SUMIFS(Sheet1!$H:$H,Sheet1!$C:$C,$C14,Sheet1!$B:$B,J$1,Sheet1!$A:$A,$A14)*100,4),"0.0000") &amp; " ± " &amp; TEXT(ROUND(SUMIFS(Sheet1!$I:$I,Sheet1!$C:$C,$C14,Sheet1!$B:$B,J$1,Sheet1!$A:$A,$A14)*100,2),"0.00")</f>
        <v>29.0698 ± 39.06</v>
      </c>
      <c r="K14" s="36" t="str">
        <f>TEXT(ROUND(SUMIFS(Sheet1!$J:$J,Sheet1!$C:$C,$C14,Sheet1!$B:$B,K$1,Sheet1!$A:$A,$A14)*100,4),"0.0000") &amp; " ± " &amp; TEXT(ROUND(SUMIFS(Sheet1!$K:$K,Sheet1!$C:$C,$C14,Sheet1!$B:$B,K$1,Sheet1!$A:$A,$A14)*100,2),"0.00")</f>
        <v>16.9906 ± 24.33</v>
      </c>
      <c r="L14" s="34" t="str">
        <f>TEXT(ROUND(SUMIFS(Sheet1!$D:$D,Sheet1!$C:$C,$C14,Sheet1!$B:$B,L$1,Sheet1!$A:$A,$A14)*100,4),"0.0000") &amp; " ± " &amp; TEXT(ROUND(SUMIFS(Sheet1!$E:$E,Sheet1!$C:$C,$C14,Sheet1!$B:$B,L$1,Sheet1!$A:$A,$A14)*100,2),"0.00")</f>
        <v>50.6460 ± 22.90</v>
      </c>
      <c r="M14" s="35" t="str">
        <f>TEXT(ROUND(SUMIFS(Sheet1!$F:$F,Sheet1!$C:$C,$C14,Sheet1!$B:$B,M$1,Sheet1!$A:$A,$A14)*100,4),"0.0000") &amp; " ± " &amp; TEXT(ROUND(SUMIFS(Sheet1!$G:$G,Sheet1!$C:$C,$C14,Sheet1!$B:$B,M$1,Sheet1!$A:$A,$A14)*100,2),"0.00")</f>
        <v>20.6126 ± 22.72</v>
      </c>
      <c r="N14" s="35" t="str">
        <f>TEXT(ROUND(SUMIFS(Sheet1!$H:$H,Sheet1!$C:$C,$C14,Sheet1!$B:$B,N$1,Sheet1!$A:$A,$A14)*100,4),"0.0000") &amp; " ± " &amp; TEXT(ROUND(SUMIFS(Sheet1!$I:$I,Sheet1!$C:$C,$C14,Sheet1!$B:$B,N$1,Sheet1!$A:$A,$A14)*100,2),"0.00")</f>
        <v>26.0908 ± 32.89</v>
      </c>
      <c r="O14" s="36" t="str">
        <f>TEXT(ROUND(SUMIFS(Sheet1!$J:$J,Sheet1!$C:$C,$C14,Sheet1!$B:$B,O$1,Sheet1!$A:$A,$A14)*100,4),"0.0000") &amp; " ± " &amp; TEXT(ROUND(SUMIFS(Sheet1!$K:$K,Sheet1!$C:$C,$C14,Sheet1!$B:$B,O$1,Sheet1!$A:$A,$A14)*100,2),"0.00")</f>
        <v>24.6558 ± 31.85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2026-06-12T11:12:26Z</dcterms:modified>
</cp:coreProperties>
</file>