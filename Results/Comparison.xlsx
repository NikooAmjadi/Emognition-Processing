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o\Desktop\Thesis\Source\"/>
    </mc:Choice>
  </mc:AlternateContent>
  <xr:revisionPtr revIDLastSave="0" documentId="13_ncr:1_{69BC2A2E-CCBF-486C-B7A9-5536D2ED42C5}" xr6:coauthVersionLast="47" xr6:coauthVersionMax="47" xr10:uidLastSave="{00000000-0000-0000-0000-000000000000}"/>
  <bookViews>
    <workbookView xWindow="-108" yWindow="-108" windowWidth="23256" windowHeight="12456" activeTab="1" xr2:uid="{8D592C9F-CC51-43DD-B2E3-0BF015735963}"/>
  </bookViews>
  <sheets>
    <sheet name="Sheet1" sheetId="1" r:id="rId1"/>
    <sheet name="Sheet2" sheetId="2" r:id="rId2"/>
  </sheets>
  <definedNames>
    <definedName name="_xlnm._FilterDatabase" localSheetId="0" hidden="1">Sheet1!$A$1:$K$25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2" l="1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K14" i="2"/>
  <c r="J14" i="2"/>
  <c r="I14" i="2"/>
  <c r="H14" i="2"/>
  <c r="K13" i="2"/>
  <c r="J13" i="2"/>
  <c r="I13" i="2"/>
  <c r="H13" i="2"/>
  <c r="K12" i="2"/>
  <c r="J12" i="2"/>
  <c r="I12" i="2"/>
  <c r="H12" i="2"/>
  <c r="K11" i="2"/>
  <c r="J11" i="2"/>
  <c r="I11" i="2"/>
  <c r="H11" i="2"/>
  <c r="D11" i="2"/>
  <c r="G14" i="2"/>
  <c r="F14" i="2"/>
  <c r="E14" i="2"/>
  <c r="D14" i="2"/>
  <c r="G13" i="2"/>
  <c r="F13" i="2"/>
  <c r="E13" i="2"/>
  <c r="D13" i="2"/>
  <c r="G12" i="2"/>
  <c r="F12" i="2"/>
  <c r="E12" i="2"/>
  <c r="D12" i="2"/>
  <c r="G11" i="2"/>
  <c r="F11" i="2"/>
  <c r="E11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K7" i="2"/>
  <c r="H4" i="2"/>
  <c r="J7" i="2"/>
  <c r="I7" i="2"/>
  <c r="H7" i="2"/>
  <c r="K6" i="2"/>
  <c r="J6" i="2"/>
  <c r="I6" i="2"/>
  <c r="H6" i="2"/>
  <c r="K5" i="2"/>
  <c r="J5" i="2"/>
  <c r="I5" i="2"/>
  <c r="H5" i="2"/>
  <c r="K4" i="2"/>
  <c r="J4" i="2"/>
  <c r="I4" i="2"/>
  <c r="D5" i="2"/>
  <c r="D6" i="2"/>
  <c r="D7" i="2"/>
  <c r="E5" i="2"/>
  <c r="E6" i="2"/>
  <c r="E7" i="2"/>
  <c r="F5" i="2"/>
  <c r="F6" i="2"/>
  <c r="F7" i="2"/>
  <c r="G5" i="2"/>
  <c r="G6" i="2"/>
  <c r="G7" i="2"/>
  <c r="G4" i="2"/>
  <c r="F4" i="2"/>
  <c r="E4" i="2"/>
  <c r="D4" i="2"/>
</calcChain>
</file>

<file path=xl/sharedStrings.xml><?xml version="1.0" encoding="utf-8"?>
<sst xmlns="http://schemas.openxmlformats.org/spreadsheetml/2006/main" count="149" uniqueCount="32">
  <si>
    <t>Model</t>
  </si>
  <si>
    <t>Acc_mean</t>
  </si>
  <si>
    <t>Acc_std</t>
  </si>
  <si>
    <t>F1_mean</t>
  </si>
  <si>
    <t>F1_std</t>
  </si>
  <si>
    <t>Prec_mean</t>
  </si>
  <si>
    <t>Prec_std</t>
  </si>
  <si>
    <t>Rec_mean</t>
  </si>
  <si>
    <t>Rec_std</t>
  </si>
  <si>
    <t>Run Type</t>
  </si>
  <si>
    <t>Data Type</t>
  </si>
  <si>
    <t>SVM</t>
  </si>
  <si>
    <t>XGBoost</t>
  </si>
  <si>
    <t>Random Forest</t>
  </si>
  <si>
    <t>KNN</t>
  </si>
  <si>
    <t>Raw</t>
  </si>
  <si>
    <t>Agg</t>
  </si>
  <si>
    <t>Win</t>
  </si>
  <si>
    <t>Raw + VG</t>
  </si>
  <si>
    <t>VG</t>
  </si>
  <si>
    <t>Model Name</t>
  </si>
  <si>
    <t>Accuracy (±std)</t>
  </si>
  <si>
    <t>F1 Score (±std)</t>
  </si>
  <si>
    <t>Precision (±std)</t>
  </si>
  <si>
    <t>Recall (±std)</t>
  </si>
  <si>
    <t>Input Mode</t>
  </si>
  <si>
    <t>Raw Features</t>
  </si>
  <si>
    <t>Visibility Graph Features</t>
  </si>
  <si>
    <t>Raw + Visibility Graph Features</t>
  </si>
  <si>
    <t>Run Mode</t>
  </si>
  <si>
    <t>Windowed</t>
  </si>
  <si>
    <t>Aggregated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</si>
</sst>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3" borderId="9" xfId="0" applyFill="1" applyBorder="1"/>
    <xf numFmtId="0" fontId="0" fillId="3" borderId="7" xfId="0" applyFill="1" applyBorder="1"/>
    <xf numFmtId="0" fontId="0" fillId="2" borderId="4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A1F-9449-4A91-8C37-2E569624DE33}">
  <dimension ref="A1:K25"/>
  <sheetViews>
    <sheetView topLeftCell="A7" workbookViewId="0">
      <selection activeCell="B21" sqref="B21:B25"/>
    </sheetView>
  </sheetViews>
  <sheetFormatPr defaultRowHeight="14.4" x14ac:dyDescent="0.3"/>
  <cols>
    <col min="1" max="1" width="8.88671875" bestFit="1" customWidth="1"/>
    <col min="2" max="2" width="9.5546875" bestFit="1" customWidth="1"/>
    <col min="3" max="3" width="14.44140625" bestFit="1" customWidth="1"/>
    <col min="4" max="6" width="12" bestFit="1" customWidth="1"/>
    <col min="7" max="7" width="12" customWidth="1"/>
    <col min="8" max="11" width="12" bestFit="1" customWidth="1"/>
  </cols>
  <sheetData>
    <row r="1" spans="1:11" x14ac:dyDescent="0.3">
      <c r="A1" s="2" t="s">
        <v>9</v>
      </c>
      <c r="B1" s="2" t="s">
        <v>10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x14ac:dyDescent="0.3">
      <c r="A2" s="2" t="s">
        <v>16</v>
      </c>
      <c r="B2" s="2" t="s">
        <v>15</v>
      </c>
      <c r="C2" t="s">
        <v>14</v>
      </c>
      <c r="D2">
        <v>0.55982834994462805</v>
      </c>
      <c r="E2">
        <v>0.223338830964533</v>
      </c>
      <c r="F2">
        <v>0.61168327796234701</v>
      </c>
      <c r="G2">
        <v>0.21813197205084001</v>
      </c>
      <c r="H2">
        <v>0.58449612403100704</v>
      </c>
      <c r="I2">
        <v>0.241453269825704</v>
      </c>
      <c r="J2">
        <v>0.71124031007751898</v>
      </c>
      <c r="K2">
        <v>0.294407848079422</v>
      </c>
    </row>
    <row r="3" spans="1:11" x14ac:dyDescent="0.3">
      <c r="A3" s="2" t="s">
        <v>16</v>
      </c>
      <c r="B3" s="2" t="s">
        <v>15</v>
      </c>
      <c r="C3" t="s">
        <v>11</v>
      </c>
      <c r="D3">
        <v>0.51915836101882595</v>
      </c>
      <c r="E3">
        <v>0.21005667760602001</v>
      </c>
      <c r="F3">
        <v>0.57753783684016202</v>
      </c>
      <c r="G3">
        <v>0.21822987449706099</v>
      </c>
      <c r="H3">
        <v>0.53139534883720896</v>
      </c>
      <c r="I3">
        <v>0.22114364777208201</v>
      </c>
      <c r="J3">
        <v>0.68604651162790697</v>
      </c>
      <c r="K3">
        <v>0.28970113425852101</v>
      </c>
    </row>
    <row r="4" spans="1:11" x14ac:dyDescent="0.3">
      <c r="A4" s="2" t="s">
        <v>16</v>
      </c>
      <c r="B4" s="2" t="s">
        <v>15</v>
      </c>
      <c r="C4" t="s">
        <v>13</v>
      </c>
      <c r="D4">
        <v>0.54587486157253595</v>
      </c>
      <c r="E4">
        <v>0.22100281005625499</v>
      </c>
      <c r="F4">
        <v>0.56987818383167199</v>
      </c>
      <c r="G4">
        <v>0.255186088588988</v>
      </c>
      <c r="H4">
        <v>0.54186046511627906</v>
      </c>
      <c r="I4">
        <v>0.25554249162544401</v>
      </c>
      <c r="J4">
        <v>0.64534883720930203</v>
      </c>
      <c r="K4">
        <v>0.31749840955461001</v>
      </c>
    </row>
    <row r="5" spans="1:11" x14ac:dyDescent="0.3">
      <c r="A5" s="2" t="s">
        <v>16</v>
      </c>
      <c r="B5" s="2" t="s">
        <v>15</v>
      </c>
      <c r="C5" t="s">
        <v>12</v>
      </c>
      <c r="D5">
        <v>0.47724252491694302</v>
      </c>
      <c r="E5">
        <v>0.23198943013223999</v>
      </c>
      <c r="F5">
        <v>0.56831605087419002</v>
      </c>
      <c r="G5">
        <v>0.253344863016497</v>
      </c>
      <c r="H5">
        <v>0.48576965669988897</v>
      </c>
      <c r="I5">
        <v>0.245817992341653</v>
      </c>
      <c r="J5">
        <v>0.74806201550387597</v>
      </c>
      <c r="K5">
        <v>0.34686132918472301</v>
      </c>
    </row>
    <row r="6" spans="1:11" x14ac:dyDescent="0.3">
      <c r="A6" s="2" t="s">
        <v>16</v>
      </c>
      <c r="B6" s="2" t="s">
        <v>18</v>
      </c>
      <c r="C6" t="s">
        <v>12</v>
      </c>
      <c r="D6">
        <v>0.52414174972314498</v>
      </c>
      <c r="E6">
        <v>0.221110454751174</v>
      </c>
      <c r="F6">
        <v>0.60844155844155801</v>
      </c>
      <c r="G6">
        <v>0.25327050959811298</v>
      </c>
      <c r="H6">
        <v>0.505537098560354</v>
      </c>
      <c r="I6">
        <v>0.23207887122842899</v>
      </c>
      <c r="J6">
        <v>0.80426356589147197</v>
      </c>
      <c r="K6">
        <v>0.32937755531285601</v>
      </c>
    </row>
    <row r="7" spans="1:11" x14ac:dyDescent="0.3">
      <c r="A7" s="2" t="s">
        <v>16</v>
      </c>
      <c r="B7" s="2" t="s">
        <v>18</v>
      </c>
      <c r="C7" t="s">
        <v>11</v>
      </c>
      <c r="D7">
        <v>0.52187153931339902</v>
      </c>
      <c r="E7">
        <v>0.21973282006032399</v>
      </c>
      <c r="F7">
        <v>0.59307862679955703</v>
      </c>
      <c r="G7">
        <v>0.233962366537284</v>
      </c>
      <c r="H7">
        <v>0.52209302325581397</v>
      </c>
      <c r="I7">
        <v>0.23923113628102799</v>
      </c>
      <c r="J7">
        <v>0.74031007751937905</v>
      </c>
      <c r="K7">
        <v>0.30931349671885999</v>
      </c>
    </row>
    <row r="8" spans="1:11" x14ac:dyDescent="0.3">
      <c r="A8" s="2" t="s">
        <v>16</v>
      </c>
      <c r="B8" s="2" t="s">
        <v>18</v>
      </c>
      <c r="C8" t="s">
        <v>14</v>
      </c>
      <c r="D8">
        <v>0.49202657807308903</v>
      </c>
      <c r="E8">
        <v>0.223799441186221</v>
      </c>
      <c r="F8">
        <v>0.53864894795127305</v>
      </c>
      <c r="G8">
        <v>0.24973372794964399</v>
      </c>
      <c r="H8">
        <v>0.49457364341085203</v>
      </c>
      <c r="I8">
        <v>0.25321501036840699</v>
      </c>
      <c r="J8">
        <v>0.63953488372093004</v>
      </c>
      <c r="K8">
        <v>0.32929772694200599</v>
      </c>
    </row>
    <row r="9" spans="1:11" x14ac:dyDescent="0.3">
      <c r="A9" s="2" t="s">
        <v>16</v>
      </c>
      <c r="B9" s="2" t="s">
        <v>18</v>
      </c>
      <c r="C9" t="s">
        <v>13</v>
      </c>
      <c r="D9">
        <v>0.52837763012181604</v>
      </c>
      <c r="E9">
        <v>0.25103092955919498</v>
      </c>
      <c r="F9">
        <v>0.53204134366925004</v>
      </c>
      <c r="G9">
        <v>0.31522208497998599</v>
      </c>
      <c r="H9">
        <v>0.48139534883720903</v>
      </c>
      <c r="I9">
        <v>0.29901235579643698</v>
      </c>
      <c r="J9">
        <v>0.62209302325581395</v>
      </c>
      <c r="K9">
        <v>0.37239571021976697</v>
      </c>
    </row>
    <row r="10" spans="1:11" x14ac:dyDescent="0.3">
      <c r="A10" s="2" t="s">
        <v>17</v>
      </c>
      <c r="B10" s="2" t="s">
        <v>18</v>
      </c>
      <c r="C10" t="s">
        <v>12</v>
      </c>
      <c r="D10">
        <v>0.57078290370370899</v>
      </c>
      <c r="E10">
        <v>0.15490427070801899</v>
      </c>
      <c r="F10">
        <v>0.71087331052276703</v>
      </c>
      <c r="G10">
        <v>0.126091914079447</v>
      </c>
      <c r="H10">
        <v>0.57285731667172102</v>
      </c>
      <c r="I10">
        <v>0.155324348395141</v>
      </c>
      <c r="J10">
        <v>0.978653299484598</v>
      </c>
      <c r="K10">
        <v>7.5921446275818399E-2</v>
      </c>
    </row>
    <row r="11" spans="1:11" x14ac:dyDescent="0.3">
      <c r="A11" s="2" t="s">
        <v>17</v>
      </c>
      <c r="B11" s="2" t="s">
        <v>18</v>
      </c>
      <c r="C11" t="s">
        <v>11</v>
      </c>
      <c r="D11">
        <v>0.54148473300758104</v>
      </c>
      <c r="E11">
        <v>0.103399686348495</v>
      </c>
      <c r="F11">
        <v>0.64745766574953001</v>
      </c>
      <c r="G11">
        <v>0.115909381967172</v>
      </c>
      <c r="H11">
        <v>0.57441812991147301</v>
      </c>
      <c r="I11">
        <v>0.15313347451566001</v>
      </c>
      <c r="J11">
        <v>0.78774340837664303</v>
      </c>
      <c r="K11">
        <v>0.14726940353002399</v>
      </c>
    </row>
    <row r="12" spans="1:11" x14ac:dyDescent="0.3">
      <c r="A12" s="2" t="s">
        <v>17</v>
      </c>
      <c r="B12" s="2" t="s">
        <v>18</v>
      </c>
      <c r="C12" t="s">
        <v>14</v>
      </c>
      <c r="D12">
        <v>0.50584145565761196</v>
      </c>
      <c r="E12">
        <v>7.3341889751700196E-2</v>
      </c>
      <c r="F12">
        <v>0.58444461268909798</v>
      </c>
      <c r="G12">
        <v>0.107320752583561</v>
      </c>
      <c r="H12">
        <v>0.56208374414481399</v>
      </c>
      <c r="I12">
        <v>0.162541288526306</v>
      </c>
      <c r="J12">
        <v>0.63904221867308397</v>
      </c>
      <c r="K12">
        <v>0.10605114685077401</v>
      </c>
    </row>
    <row r="13" spans="1:11" x14ac:dyDescent="0.3">
      <c r="A13" s="2" t="s">
        <v>17</v>
      </c>
      <c r="B13" s="2" t="s">
        <v>18</v>
      </c>
      <c r="C13" t="s">
        <v>13</v>
      </c>
      <c r="D13">
        <v>0.525816074948803</v>
      </c>
      <c r="E13">
        <v>0.130821853174137</v>
      </c>
      <c r="F13">
        <v>0.580717512616024</v>
      </c>
      <c r="G13">
        <v>0.170998825215809</v>
      </c>
      <c r="H13">
        <v>0.55877349600931803</v>
      </c>
      <c r="I13">
        <v>0.16608305592702299</v>
      </c>
      <c r="J13">
        <v>0.65493555800730996</v>
      </c>
      <c r="K13">
        <v>0.24094998417636801</v>
      </c>
    </row>
    <row r="14" spans="1:11" x14ac:dyDescent="0.3">
      <c r="A14" s="2" t="s">
        <v>17</v>
      </c>
      <c r="B14" s="2" t="s">
        <v>15</v>
      </c>
      <c r="C14" t="s">
        <v>12</v>
      </c>
      <c r="D14">
        <v>0.57064276464486097</v>
      </c>
      <c r="E14">
        <v>0.15688570126454901</v>
      </c>
      <c r="F14">
        <v>0.71033599676720705</v>
      </c>
      <c r="G14">
        <v>0.13130229677498001</v>
      </c>
      <c r="H14">
        <v>0.57214372142930703</v>
      </c>
      <c r="I14">
        <v>0.15672794631897599</v>
      </c>
      <c r="J14">
        <v>0.98158346607185598</v>
      </c>
      <c r="K14">
        <v>9.8457779656192998E-2</v>
      </c>
    </row>
    <row r="15" spans="1:11" x14ac:dyDescent="0.3">
      <c r="A15" s="2" t="s">
        <v>17</v>
      </c>
      <c r="B15" s="2" t="s">
        <v>15</v>
      </c>
      <c r="C15" t="s">
        <v>11</v>
      </c>
      <c r="D15">
        <v>0.54241653106482002</v>
      </c>
      <c r="E15">
        <v>9.9695239609421199E-2</v>
      </c>
      <c r="F15">
        <v>0.65851481199260797</v>
      </c>
      <c r="G15">
        <v>0.106976625397685</v>
      </c>
      <c r="H15">
        <v>0.57488108783354297</v>
      </c>
      <c r="I15">
        <v>0.15253706896897201</v>
      </c>
      <c r="J15">
        <v>0.81843268895355503</v>
      </c>
      <c r="K15">
        <v>0.13788916100913001</v>
      </c>
    </row>
    <row r="16" spans="1:11" x14ac:dyDescent="0.3">
      <c r="A16" s="2" t="s">
        <v>17</v>
      </c>
      <c r="B16" s="2" t="s">
        <v>15</v>
      </c>
      <c r="C16" t="s">
        <v>14</v>
      </c>
      <c r="D16">
        <v>0.52685766152931002</v>
      </c>
      <c r="E16">
        <v>6.2584987975028802E-2</v>
      </c>
      <c r="F16">
        <v>0.60627727670711595</v>
      </c>
      <c r="G16">
        <v>9.1513319372480306E-2</v>
      </c>
      <c r="H16">
        <v>0.58069691805744506</v>
      </c>
      <c r="I16">
        <v>0.15384886292220701</v>
      </c>
      <c r="J16">
        <v>0.66645919192838299</v>
      </c>
      <c r="K16">
        <v>8.9050753200833693E-2</v>
      </c>
    </row>
    <row r="17" spans="1:11" x14ac:dyDescent="0.3">
      <c r="A17" s="2" t="s">
        <v>17</v>
      </c>
      <c r="B17" s="2" t="s">
        <v>15</v>
      </c>
      <c r="C17" t="s">
        <v>13</v>
      </c>
      <c r="D17">
        <v>0.507630634253182</v>
      </c>
      <c r="E17">
        <v>8.7909570354966604E-2</v>
      </c>
      <c r="F17">
        <v>0.57183412555366397</v>
      </c>
      <c r="G17">
        <v>0.142122960048781</v>
      </c>
      <c r="H17">
        <v>0.571214040635739</v>
      </c>
      <c r="I17">
        <v>0.152726663924596</v>
      </c>
      <c r="J17">
        <v>0.65186769301034597</v>
      </c>
      <c r="K17">
        <v>0.24831029688433501</v>
      </c>
    </row>
    <row r="18" spans="1:11" x14ac:dyDescent="0.3">
      <c r="A18" s="2" t="s">
        <v>16</v>
      </c>
      <c r="B18" s="2" t="s">
        <v>19</v>
      </c>
      <c r="C18" t="s">
        <v>12</v>
      </c>
      <c r="D18">
        <v>0.57547065337763004</v>
      </c>
      <c r="E18">
        <v>0.16202159721913001</v>
      </c>
      <c r="F18">
        <v>0.66843853820597998</v>
      </c>
      <c r="G18">
        <v>0.190922161346191</v>
      </c>
      <c r="H18">
        <v>0.55116279069767404</v>
      </c>
      <c r="I18">
        <v>0.193178076822453</v>
      </c>
      <c r="J18">
        <v>0.89534883720930203</v>
      </c>
      <c r="K18">
        <v>0.24051316749599799</v>
      </c>
    </row>
    <row r="19" spans="1:11" x14ac:dyDescent="0.3">
      <c r="A19" s="2" t="s">
        <v>16</v>
      </c>
      <c r="B19" s="2" t="s">
        <v>19</v>
      </c>
      <c r="C19" t="s">
        <v>11</v>
      </c>
      <c r="D19">
        <v>0.50143964562569199</v>
      </c>
      <c r="E19">
        <v>0.22922809622939999</v>
      </c>
      <c r="F19">
        <v>0.55339608711701704</v>
      </c>
      <c r="G19">
        <v>0.28313767464999601</v>
      </c>
      <c r="H19">
        <v>0.47286821705426302</v>
      </c>
      <c r="I19">
        <v>0.25962165017175698</v>
      </c>
      <c r="J19">
        <v>0.70155038759689903</v>
      </c>
      <c r="K19">
        <v>0.35684183834058603</v>
      </c>
    </row>
    <row r="20" spans="1:11" x14ac:dyDescent="0.3">
      <c r="A20" s="2" t="s">
        <v>16</v>
      </c>
      <c r="B20" s="2" t="s">
        <v>19</v>
      </c>
      <c r="C20" t="s">
        <v>13</v>
      </c>
      <c r="D20">
        <v>0.52295127353266802</v>
      </c>
      <c r="E20">
        <v>0.22533458830137801</v>
      </c>
      <c r="F20">
        <v>0.50645994832041297</v>
      </c>
      <c r="G20">
        <v>0.295515245851385</v>
      </c>
      <c r="H20">
        <v>0.50542635658914703</v>
      </c>
      <c r="I20">
        <v>0.31361691213017201</v>
      </c>
      <c r="J20">
        <v>0.56007751937984496</v>
      </c>
      <c r="K20">
        <v>0.35552377081354802</v>
      </c>
    </row>
    <row r="21" spans="1:11" x14ac:dyDescent="0.3">
      <c r="A21" s="2" t="s">
        <v>16</v>
      </c>
      <c r="B21" s="2" t="s">
        <v>19</v>
      </c>
      <c r="C21" t="s">
        <v>14</v>
      </c>
      <c r="D21">
        <v>0.47652270210409697</v>
      </c>
      <c r="E21">
        <v>0.26125641152965101</v>
      </c>
      <c r="F21">
        <v>0.49093761535621999</v>
      </c>
      <c r="G21">
        <v>0.3068450034172</v>
      </c>
      <c r="H21">
        <v>0.45</v>
      </c>
      <c r="I21">
        <v>0.296708907366452</v>
      </c>
      <c r="J21">
        <v>0.57945736434108497</v>
      </c>
      <c r="K21">
        <v>0.36961180154469497</v>
      </c>
    </row>
    <row r="22" spans="1:11" x14ac:dyDescent="0.3">
      <c r="A22" s="2" t="s">
        <v>17</v>
      </c>
      <c r="B22" s="2" t="s">
        <v>19</v>
      </c>
      <c r="C22" t="s">
        <v>12</v>
      </c>
      <c r="D22">
        <v>0.57364329976444095</v>
      </c>
      <c r="E22">
        <v>0.15344494243187601</v>
      </c>
      <c r="F22">
        <v>0.71713335153609803</v>
      </c>
      <c r="G22">
        <v>0.119914757257268</v>
      </c>
      <c r="H22">
        <v>0.57507701148514301</v>
      </c>
      <c r="I22">
        <v>0.154144337447158</v>
      </c>
      <c r="J22">
        <v>0.99510503067619105</v>
      </c>
      <c r="K22">
        <v>1.5764428063470899E-2</v>
      </c>
    </row>
    <row r="23" spans="1:11" x14ac:dyDescent="0.3">
      <c r="A23" s="2" t="s">
        <v>17</v>
      </c>
      <c r="B23" s="2" t="s">
        <v>19</v>
      </c>
      <c r="C23" t="s">
        <v>11</v>
      </c>
      <c r="D23">
        <v>0.56204869859593398</v>
      </c>
      <c r="E23">
        <v>0.123722907764762</v>
      </c>
      <c r="F23">
        <v>0.67142661234990697</v>
      </c>
      <c r="G23">
        <v>0.12128971593910901</v>
      </c>
      <c r="H23">
        <v>0.58236804898311301</v>
      </c>
      <c r="I23">
        <v>0.155437440950565</v>
      </c>
      <c r="J23">
        <v>0.84046950237130302</v>
      </c>
      <c r="K23">
        <v>0.14859184456567101</v>
      </c>
    </row>
    <row r="24" spans="1:11" x14ac:dyDescent="0.3">
      <c r="A24" s="2" t="s">
        <v>17</v>
      </c>
      <c r="B24" s="2" t="s">
        <v>19</v>
      </c>
      <c r="C24" t="s">
        <v>14</v>
      </c>
      <c r="D24">
        <v>0.52066807286107597</v>
      </c>
      <c r="E24">
        <v>7.6460770975846498E-2</v>
      </c>
      <c r="F24">
        <v>0.58756875468690895</v>
      </c>
      <c r="G24">
        <v>0.109036511658375</v>
      </c>
      <c r="H24">
        <v>0.57699603031364299</v>
      </c>
      <c r="I24">
        <v>0.16239638892973601</v>
      </c>
      <c r="J24">
        <v>0.62880939304238703</v>
      </c>
      <c r="K24">
        <v>0.107588276281826</v>
      </c>
    </row>
    <row r="25" spans="1:11" x14ac:dyDescent="0.3">
      <c r="A25" s="2" t="s">
        <v>17</v>
      </c>
      <c r="B25" s="2" t="s">
        <v>19</v>
      </c>
      <c r="C25" t="s">
        <v>13</v>
      </c>
      <c r="D25">
        <v>0.515140102251747</v>
      </c>
      <c r="E25">
        <v>0.13658056818619699</v>
      </c>
      <c r="F25">
        <v>0.55333732516781498</v>
      </c>
      <c r="G25">
        <v>0.18106232706957201</v>
      </c>
      <c r="H25">
        <v>0.54496361522441505</v>
      </c>
      <c r="I25">
        <v>0.17539157761606</v>
      </c>
      <c r="J25">
        <v>0.60095836504550304</v>
      </c>
      <c r="K25">
        <v>0.22808419906146499</v>
      </c>
    </row>
  </sheetData>
  <autoFilter ref="A1:K25" xr:uid="{20B60A1F-9449-4A91-8C37-2E569624DE3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F4F26-DE01-4BB2-9AB3-84FA32AC1323}">
  <dimension ref="A1:O14"/>
  <sheetViews>
    <sheetView tabSelected="1" topLeftCell="C1" workbookViewId="0">
      <selection activeCell="O13" sqref="O13"/>
    </sheetView>
  </sheetViews>
  <sheetFormatPr defaultRowHeight="14.4" x14ac:dyDescent="0.3"/>
  <cols>
    <col min="1" max="1" width="6.88671875" customWidth="1"/>
    <col min="2" max="2" width="16.5546875" customWidth="1"/>
    <col min="3" max="3" width="14.44140625" bestFit="1" customWidth="1"/>
    <col min="4" max="7" width="15.6640625" style="1" customWidth="1"/>
    <col min="8" max="15" width="15.6640625" customWidth="1"/>
  </cols>
  <sheetData>
    <row r="1" spans="1:15" ht="15" thickBot="1" x14ac:dyDescent="0.35">
      <c r="D1" s="1" t="s">
        <v>15</v>
      </c>
      <c r="E1" s="1" t="s">
        <v>15</v>
      </c>
      <c r="F1" s="1" t="s">
        <v>15</v>
      </c>
      <c r="G1" s="1" t="s">
        <v>15</v>
      </c>
      <c r="H1" t="s">
        <v>19</v>
      </c>
      <c r="I1" t="s">
        <v>19</v>
      </c>
      <c r="J1" t="s">
        <v>19</v>
      </c>
      <c r="K1" t="s">
        <v>19</v>
      </c>
      <c r="L1" t="s">
        <v>18</v>
      </c>
      <c r="M1" t="s">
        <v>18</v>
      </c>
      <c r="N1" t="s">
        <v>18</v>
      </c>
      <c r="O1" t="s">
        <v>18</v>
      </c>
    </row>
    <row r="2" spans="1:15" x14ac:dyDescent="0.3">
      <c r="B2" s="32" t="s">
        <v>29</v>
      </c>
      <c r="C2" s="6" t="s">
        <v>25</v>
      </c>
      <c r="D2" s="32" t="s">
        <v>26</v>
      </c>
      <c r="E2" s="33"/>
      <c r="F2" s="33"/>
      <c r="G2" s="34"/>
      <c r="H2" s="35" t="s">
        <v>27</v>
      </c>
      <c r="I2" s="36"/>
      <c r="J2" s="36"/>
      <c r="K2" s="37"/>
      <c r="L2" s="35" t="s">
        <v>28</v>
      </c>
      <c r="M2" s="36"/>
      <c r="N2" s="36"/>
      <c r="O2" s="37"/>
    </row>
    <row r="3" spans="1:15" x14ac:dyDescent="0.3">
      <c r="B3" s="40"/>
      <c r="C3" s="13" t="s">
        <v>20</v>
      </c>
      <c r="D3" s="12" t="s">
        <v>21</v>
      </c>
      <c r="E3" s="7" t="s">
        <v>22</v>
      </c>
      <c r="F3" s="7" t="s">
        <v>23</v>
      </c>
      <c r="G3" s="13" t="s">
        <v>24</v>
      </c>
      <c r="H3" s="12" t="s">
        <v>21</v>
      </c>
      <c r="I3" s="7" t="s">
        <v>22</v>
      </c>
      <c r="J3" s="7" t="s">
        <v>23</v>
      </c>
      <c r="K3" s="13" t="s">
        <v>24</v>
      </c>
      <c r="L3" s="12" t="s">
        <v>21</v>
      </c>
      <c r="M3" s="7" t="s">
        <v>22</v>
      </c>
      <c r="N3" s="7" t="s">
        <v>23</v>
      </c>
      <c r="O3" s="13" t="s">
        <v>24</v>
      </c>
    </row>
    <row r="4" spans="1:15" x14ac:dyDescent="0.3">
      <c r="A4" t="s">
        <v>17</v>
      </c>
      <c r="B4" s="38" t="s">
        <v>30</v>
      </c>
      <c r="C4" s="4" t="s">
        <v>11</v>
      </c>
      <c r="D4" s="3" t="str">
        <f>TEXT(ROUND(SUMIFS(Sheet1!$D:$D,Sheet1!$C:$C,$C4,Sheet1!$B:$B,D$1,Sheet1!$A:$A,$A4)*100,4),"0.0000") &amp; " ± " &amp; TEXT(ROUND(SUMIFS(Sheet1!$E:$E,Sheet1!$C:$C,$C4,Sheet1!$B:$B,D$1,Sheet1!$A:$A,$A4)*100,2),"0.00")</f>
        <v>54.2417 ± 9.97</v>
      </c>
      <c r="E4" s="2" t="str">
        <f>TEXT(ROUND(SUMIFS(Sheet1!$F:$F,Sheet1!$C:$C,$C4,Sheet1!$B:$B,E$1,Sheet1!$A:$A,$A4)*100,4),"0.0000") &amp; " ± " &amp; TEXT(ROUND(SUMIFS(Sheet1!$G:$G,Sheet1!$C:$C,$C4,Sheet1!$B:$B,E$1,Sheet1!$A:$A,$A4)*100,2),"0.00")</f>
        <v>65.8515 ± 10.70</v>
      </c>
      <c r="F4" s="2" t="str">
        <f>TEXT(ROUND(SUMIFS(Sheet1!$H:$H,Sheet1!$C:$C,$C4,Sheet1!$B:$B,F$1,Sheet1!$A:$A,$A4)*100,4),"0.0000") &amp; " ± " &amp; TEXT(ROUND(SUMIFS(Sheet1!$I:$I,Sheet1!$C:$C,$C4,Sheet1!$B:$B,F$1,Sheet1!$A:$A,$A4)*100,2),"0.00")</f>
        <v>57.4881 ± 15.25</v>
      </c>
      <c r="G4" s="5" t="str">
        <f>TEXT(ROUND(SUMIFS(Sheet1!$J:$J,Sheet1!$C:$C,$C4,Sheet1!$B:$B,G$1,Sheet1!$A:$A,$A4)*100,4),"0.0000") &amp; " ± " &amp; TEXT(ROUND(SUMIFS(Sheet1!$K:$K,Sheet1!$C:$C,$C4,Sheet1!$B:$B,G$1,Sheet1!$A:$A,$A4)*100,2),"0.00")</f>
        <v>81.8433 ± 13.79</v>
      </c>
      <c r="H4" s="3" t="str">
        <f>TEXT(ROUND(SUMIFS(Sheet1!$D:$D,Sheet1!$C:$C,$C4,Sheet1!$B:$B,H$1,Sheet1!$A:$A,$A4)*100,4),"0.0000") &amp; " ± " &amp; TEXT(ROUND(SUMIFS(Sheet1!$E:$E,Sheet1!$C:$C,$C4,Sheet1!$B:$B,H$1,Sheet1!$A:$A,$A4)*100,2),"0.00")</f>
        <v>56.2049 ± 12.37</v>
      </c>
      <c r="I4" s="2" t="str">
        <f>TEXT(ROUND(SUMIFS(Sheet1!$F:$F,Sheet1!$C:$C,$C4,Sheet1!$B:$B,I$1,Sheet1!$A:$A,$A4)*100,4),"0.0000") &amp; " ± " &amp; TEXT(ROUND(SUMIFS(Sheet1!$G:$G,Sheet1!$C:$C,$C4,Sheet1!$B:$B,I$1,Sheet1!$A:$A,$A4)*100,2),"0.00")</f>
        <v>67.1427 ± 12.13</v>
      </c>
      <c r="J4" s="9" t="str">
        <f>TEXT(ROUND(SUMIFS(Sheet1!$H:$H,Sheet1!$C:$C,$C4,Sheet1!$B:$B,J$1,Sheet1!$A:$A,$A4)*100,4),"0.0000") &amp; " ± " &amp; TEXT(ROUND(SUMIFS(Sheet1!$I:$I,Sheet1!$C:$C,$C4,Sheet1!$B:$B,J$1,Sheet1!$A:$A,$A4)*100,2),"0.00")</f>
        <v>58.2368 ± 15.54</v>
      </c>
      <c r="K4" s="5" t="str">
        <f>TEXT(ROUND(SUMIFS(Sheet1!$J:$J,Sheet1!$C:$C,$C4,Sheet1!$B:$B,K$1,Sheet1!$A:$A,$A4)*100,4),"0.0000") &amp; " ± " &amp; TEXT(ROUND(SUMIFS(Sheet1!$K:$K,Sheet1!$C:$C,$C4,Sheet1!$B:$B,K$1,Sheet1!$A:$A,$A4)*100,2),"0.00")</f>
        <v>84.0470 ± 14.86</v>
      </c>
      <c r="L4" s="3" t="str">
        <f>TEXT(ROUND(SUMIFS(Sheet1!$D:$D,Sheet1!$C:$C,$C4,Sheet1!$B:$B,L$1,Sheet1!$A:$A,$A4)*100,4),"0.0000") &amp; " ± " &amp; TEXT(ROUND(SUMIFS(Sheet1!$E:$E,Sheet1!$C:$C,$C4,Sheet1!$B:$B,L$1,Sheet1!$A:$A,$A4)*100,2),"0.00")</f>
        <v>54.1485 ± 10.34</v>
      </c>
      <c r="M4" s="2" t="str">
        <f>TEXT(ROUND(SUMIFS(Sheet1!$F:$F,Sheet1!$C:$C,$C4,Sheet1!$B:$B,M$1,Sheet1!$A:$A,$A4)*100,4),"0.0000") &amp; " ± " &amp; TEXT(ROUND(SUMIFS(Sheet1!$G:$G,Sheet1!$C:$C,$C4,Sheet1!$B:$B,M$1,Sheet1!$A:$A,$A4)*100,2),"0.00")</f>
        <v>64.7458 ± 11.59</v>
      </c>
      <c r="N4" s="9" t="str">
        <f>TEXT(ROUND(SUMIFS(Sheet1!$H:$H,Sheet1!$C:$C,$C4,Sheet1!$B:$B,N$1,Sheet1!$A:$A,$A4)*100,4),"0.0000") &amp; " ± " &amp; TEXT(ROUND(SUMIFS(Sheet1!$I:$I,Sheet1!$C:$C,$C4,Sheet1!$B:$B,N$1,Sheet1!$A:$A,$A4)*100,2),"0.00")</f>
        <v>57.4418 ± 15.31</v>
      </c>
      <c r="O4" s="5" t="str">
        <f>TEXT(ROUND(SUMIFS(Sheet1!$J:$J,Sheet1!$C:$C,$C4,Sheet1!$B:$B,O$1,Sheet1!$A:$A,$A4)*100,4),"0.0000") &amp; " ± " &amp; TEXT(ROUND(SUMIFS(Sheet1!$K:$K,Sheet1!$C:$C,$C4,Sheet1!$B:$B,O$1,Sheet1!$A:$A,$A4)*100,2),"0.00")</f>
        <v>78.7743 ± 14.73</v>
      </c>
    </row>
    <row r="5" spans="1:15" x14ac:dyDescent="0.3">
      <c r="A5" t="s">
        <v>17</v>
      </c>
      <c r="B5" s="38"/>
      <c r="C5" s="28" t="s">
        <v>13</v>
      </c>
      <c r="D5" s="14" t="str">
        <f>TEXT(ROUND(SUMIFS(Sheet1!$D:$D,Sheet1!$C:$C,$C5,Sheet1!$B:$B,D$1,Sheet1!$A:$A,$A5)*100,4),"0.0000") &amp; " ± " &amp; TEXT(ROUND(SUMIFS(Sheet1!$E:$E,Sheet1!$C:$C,$C5,Sheet1!$B:$B,D$1,Sheet1!$A:$A,$A5)*100,2),"0.00")</f>
        <v>50.7631 ± 8.79</v>
      </c>
      <c r="E5" s="8" t="str">
        <f>TEXT(ROUND(SUMIFS(Sheet1!$F:$F,Sheet1!$C:$C,$C5,Sheet1!$B:$B,E$1,Sheet1!$A:$A,$A5)*100,4),"0.0000") &amp; " ± " &amp; TEXT(ROUND(SUMIFS(Sheet1!$G:$G,Sheet1!$C:$C,$C5,Sheet1!$B:$B,E$1,Sheet1!$A:$A,$A5)*100,2),"0.00")</f>
        <v>57.1834 ± 14.21</v>
      </c>
      <c r="F5" s="11" t="str">
        <f>TEXT(ROUND(SUMIFS(Sheet1!$H:$H,Sheet1!$C:$C,$C5,Sheet1!$B:$B,F$1,Sheet1!$A:$A,$A5)*100,4),"0.0000") &amp; " ± " &amp; TEXT(ROUND(SUMIFS(Sheet1!$I:$I,Sheet1!$C:$C,$C5,Sheet1!$B:$B,F$1,Sheet1!$A:$A,$A5)*100,2),"0.00")</f>
        <v>57.1214 ± 15.27</v>
      </c>
      <c r="G5" s="15" t="str">
        <f>TEXT(ROUND(SUMIFS(Sheet1!$J:$J,Sheet1!$C:$C,$C5,Sheet1!$B:$B,G$1,Sheet1!$A:$A,$A5)*100,4),"0.0000") &amp; " ± " &amp; TEXT(ROUND(SUMIFS(Sheet1!$K:$K,Sheet1!$C:$C,$C5,Sheet1!$B:$B,G$1,Sheet1!$A:$A,$A5)*100,2),"0.00")</f>
        <v>65.1868 ± 24.83</v>
      </c>
      <c r="H5" s="14" t="str">
        <f>TEXT(ROUND(SUMIFS(Sheet1!$D:$D,Sheet1!$C:$C,$C5,Sheet1!$B:$B,H$1,Sheet1!$A:$A,$A5)*100,4),"0.0000") &amp; " ± " &amp; TEXT(ROUND(SUMIFS(Sheet1!$E:$E,Sheet1!$C:$C,$C5,Sheet1!$B:$B,H$1,Sheet1!$A:$A,$A5)*100,2),"0.00")</f>
        <v>51.5140 ± 13.66</v>
      </c>
      <c r="I5" s="8" t="str">
        <f>TEXT(ROUND(SUMIFS(Sheet1!$F:$F,Sheet1!$C:$C,$C5,Sheet1!$B:$B,I$1,Sheet1!$A:$A,$A5)*100,4),"0.0000") &amp; " ± " &amp; TEXT(ROUND(SUMIFS(Sheet1!$G:$G,Sheet1!$C:$C,$C5,Sheet1!$B:$B,I$1,Sheet1!$A:$A,$A5)*100,2),"0.00")</f>
        <v>55.3337 ± 18.11</v>
      </c>
      <c r="J5" s="8" t="str">
        <f>TEXT(ROUND(SUMIFS(Sheet1!$H:$H,Sheet1!$C:$C,$C5,Sheet1!$B:$B,J$1,Sheet1!$A:$A,$A5)*100,4),"0.0000") &amp; " ± " &amp; TEXT(ROUND(SUMIFS(Sheet1!$I:$I,Sheet1!$C:$C,$C5,Sheet1!$B:$B,J$1,Sheet1!$A:$A,$A5)*100,2),"0.00")</f>
        <v>54.4964 ± 17.54</v>
      </c>
      <c r="K5" s="15" t="str">
        <f>TEXT(ROUND(SUMIFS(Sheet1!$J:$J,Sheet1!$C:$C,$C5,Sheet1!$B:$B,K$1,Sheet1!$A:$A,$A5)*100,4),"0.0000") &amp; " ± " &amp; TEXT(ROUND(SUMIFS(Sheet1!$K:$K,Sheet1!$C:$C,$C5,Sheet1!$B:$B,K$1,Sheet1!$A:$A,$A5)*100,2),"0.00")</f>
        <v>60.0958 ± 22.81</v>
      </c>
      <c r="L5" s="14" t="str">
        <f>TEXT(ROUND(SUMIFS(Sheet1!$D:$D,Sheet1!$C:$C,$C5,Sheet1!$B:$B,L$1,Sheet1!$A:$A,$A5)*100,4),"0.0000") &amp; " ± " &amp; TEXT(ROUND(SUMIFS(Sheet1!$E:$E,Sheet1!$C:$C,$C5,Sheet1!$B:$B,L$1,Sheet1!$A:$A,$A5)*100,2),"0.00")</f>
        <v>52.5816 ± 13.08</v>
      </c>
      <c r="M5" s="8" t="str">
        <f>TEXT(ROUND(SUMIFS(Sheet1!$F:$F,Sheet1!$C:$C,$C5,Sheet1!$B:$B,M$1,Sheet1!$A:$A,$A5)*100,4),"0.0000") &amp; " ± " &amp; TEXT(ROUND(SUMIFS(Sheet1!$G:$G,Sheet1!$C:$C,$C5,Sheet1!$B:$B,M$1,Sheet1!$A:$A,$A5)*100,2),"0.00")</f>
        <v>58.0718 ± 17.10</v>
      </c>
      <c r="N5" s="8" t="str">
        <f>TEXT(ROUND(SUMIFS(Sheet1!$H:$H,Sheet1!$C:$C,$C5,Sheet1!$B:$B,N$1,Sheet1!$A:$A,$A5)*100,4),"0.0000") &amp; " ± " &amp; TEXT(ROUND(SUMIFS(Sheet1!$I:$I,Sheet1!$C:$C,$C5,Sheet1!$B:$B,N$1,Sheet1!$A:$A,$A5)*100,2),"0.00")</f>
        <v>55.8773 ± 16.61</v>
      </c>
      <c r="O5" s="15" t="str">
        <f>TEXT(ROUND(SUMIFS(Sheet1!$J:$J,Sheet1!$C:$C,$C5,Sheet1!$B:$B,O$1,Sheet1!$A:$A,$A5)*100,4),"0.0000") &amp; " ± " &amp; TEXT(ROUND(SUMIFS(Sheet1!$K:$K,Sheet1!$C:$C,$C5,Sheet1!$B:$B,O$1,Sheet1!$A:$A,$A5)*100,2),"0.00")</f>
        <v>65.4936 ± 24.09</v>
      </c>
    </row>
    <row r="6" spans="1:15" x14ac:dyDescent="0.3">
      <c r="A6" t="s">
        <v>17</v>
      </c>
      <c r="B6" s="38"/>
      <c r="C6" s="4" t="s">
        <v>12</v>
      </c>
      <c r="D6" s="26" t="str">
        <f>TEXT(ROUND(SUMIFS(Sheet1!$D:$D,Sheet1!$C:$C,$C6,Sheet1!$B:$B,D$1,Sheet1!$A:$A,$A6)*100,4),"0.0000") &amp; " ± " &amp; TEXT(ROUND(SUMIFS(Sheet1!$E:$E,Sheet1!$C:$C,$C6,Sheet1!$B:$B,D$1,Sheet1!$A:$A,$A6)*100,2),"0.00")</f>
        <v>57.0643 ± 15.69</v>
      </c>
      <c r="E6" s="9" t="str">
        <f>TEXT(ROUND(SUMIFS(Sheet1!$F:$F,Sheet1!$C:$C,$C6,Sheet1!$B:$B,E$1,Sheet1!$A:$A,$A6)*100,4),"0.0000") &amp; " ± " &amp; TEXT(ROUND(SUMIFS(Sheet1!$G:$G,Sheet1!$C:$C,$C6,Sheet1!$B:$B,E$1,Sheet1!$A:$A,$A6)*100,2),"0.00")</f>
        <v>71.0336 ± 13.13</v>
      </c>
      <c r="F6" s="2" t="str">
        <f>TEXT(ROUND(SUMIFS(Sheet1!$H:$H,Sheet1!$C:$C,$C6,Sheet1!$B:$B,F$1,Sheet1!$A:$A,$A6)*100,4),"0.0000") &amp; " ± " &amp; TEXT(ROUND(SUMIFS(Sheet1!$I:$I,Sheet1!$C:$C,$C6,Sheet1!$B:$B,F$1,Sheet1!$A:$A,$A6)*100,2),"0.00")</f>
        <v>57.2144 ± 15.67</v>
      </c>
      <c r="G6" s="27" t="str">
        <f>TEXT(ROUND(SUMIFS(Sheet1!$J:$J,Sheet1!$C:$C,$C6,Sheet1!$B:$B,G$1,Sheet1!$A:$A,$A6)*100,4),"0.0000") &amp; " ± " &amp; TEXT(ROUND(SUMIFS(Sheet1!$K:$K,Sheet1!$C:$C,$C6,Sheet1!$B:$B,G$1,Sheet1!$A:$A,$A6)*100,2),"0.00")</f>
        <v>98.1583 ± 9.85</v>
      </c>
      <c r="H6" s="26" t="str">
        <f>TEXT(ROUND(SUMIFS(Sheet1!$D:$D,Sheet1!$C:$C,$C6,Sheet1!$B:$B,H$1,Sheet1!$A:$A,$A6)*100,4),"0.0000") &amp; " ± " &amp; TEXT(ROUND(SUMIFS(Sheet1!$E:$E,Sheet1!$C:$C,$C6,Sheet1!$B:$B,H$1,Sheet1!$A:$A,$A6)*100,2),"0.00")</f>
        <v>57.3643 ± 15.34</v>
      </c>
      <c r="I6" s="9" t="str">
        <f>TEXT(ROUND(SUMIFS(Sheet1!$F:$F,Sheet1!$C:$C,$C6,Sheet1!$B:$B,I$1,Sheet1!$A:$A,$A6)*100,4),"0.0000") &amp; " ± " &amp; TEXT(ROUND(SUMIFS(Sheet1!$G:$G,Sheet1!$C:$C,$C6,Sheet1!$B:$B,I$1,Sheet1!$A:$A,$A6)*100,2),"0.00")</f>
        <v>71.7133 ± 11.99</v>
      </c>
      <c r="J6" s="10" t="str">
        <f>TEXT(ROUND(SUMIFS(Sheet1!$H:$H,Sheet1!$C:$C,$C6,Sheet1!$B:$B,J$1,Sheet1!$A:$A,$A6)*100,4),"0.0000") &amp; " ± " &amp; TEXT(ROUND(SUMIFS(Sheet1!$I:$I,Sheet1!$C:$C,$C6,Sheet1!$B:$B,J$1,Sheet1!$A:$A,$A6)*100,2),"0.00")</f>
        <v>57.5077 ± 15.41</v>
      </c>
      <c r="K6" s="27" t="str">
        <f>TEXT(ROUND(SUMIFS(Sheet1!$J:$J,Sheet1!$C:$C,$C6,Sheet1!$B:$B,K$1,Sheet1!$A:$A,$A6)*100,4),"0.0000") &amp; " ± " &amp; TEXT(ROUND(SUMIFS(Sheet1!$K:$K,Sheet1!$C:$C,$C6,Sheet1!$B:$B,K$1,Sheet1!$A:$A,$A6)*100,2),"0.00")</f>
        <v>99.5105 ± 1.58</v>
      </c>
      <c r="L6" s="26" t="str">
        <f>TEXT(ROUND(SUMIFS(Sheet1!$D:$D,Sheet1!$C:$C,$C6,Sheet1!$B:$B,L$1,Sheet1!$A:$A,$A6)*100,4),"0.0000") &amp; " ± " &amp; TEXT(ROUND(SUMIFS(Sheet1!$E:$E,Sheet1!$C:$C,$C6,Sheet1!$B:$B,L$1,Sheet1!$A:$A,$A6)*100,2),"0.00")</f>
        <v>57.0783 ± 15.49</v>
      </c>
      <c r="M6" s="9" t="str">
        <f>TEXT(ROUND(SUMIFS(Sheet1!$F:$F,Sheet1!$C:$C,$C6,Sheet1!$B:$B,M$1,Sheet1!$A:$A,$A6)*100,4),"0.0000") &amp; " ± " &amp; TEXT(ROUND(SUMIFS(Sheet1!$G:$G,Sheet1!$C:$C,$C6,Sheet1!$B:$B,M$1,Sheet1!$A:$A,$A6)*100,2),"0.00")</f>
        <v>71.0873 ± 12.61</v>
      </c>
      <c r="N6" s="10" t="str">
        <f>TEXT(ROUND(SUMIFS(Sheet1!$H:$H,Sheet1!$C:$C,$C6,Sheet1!$B:$B,N$1,Sheet1!$A:$A,$A6)*100,4),"0.0000") &amp; " ± " &amp; TEXT(ROUND(SUMIFS(Sheet1!$I:$I,Sheet1!$C:$C,$C6,Sheet1!$B:$B,N$1,Sheet1!$A:$A,$A6)*100,2),"0.00")</f>
        <v>57.2857 ± 15.53</v>
      </c>
      <c r="O6" s="27" t="str">
        <f>TEXT(ROUND(SUMIFS(Sheet1!$J:$J,Sheet1!$C:$C,$C6,Sheet1!$B:$B,O$1,Sheet1!$A:$A,$A6)*100,4),"0.0000") &amp; " ± " &amp; TEXT(ROUND(SUMIFS(Sheet1!$K:$K,Sheet1!$C:$C,$C6,Sheet1!$B:$B,O$1,Sheet1!$A:$A,$A6)*100,2),"0.00")</f>
        <v>97.8653 ± 7.59</v>
      </c>
    </row>
    <row r="7" spans="1:15" ht="15" thickBot="1" x14ac:dyDescent="0.35">
      <c r="A7" t="s">
        <v>17</v>
      </c>
      <c r="B7" s="39"/>
      <c r="C7" s="29" t="s">
        <v>14</v>
      </c>
      <c r="D7" s="16" t="str">
        <f>TEXT(ROUND(SUMIFS(Sheet1!$D:$D,Sheet1!$C:$C,$C7,Sheet1!$B:$B,D$1,Sheet1!$A:$A,$A7)*100,4),"0.0000") &amp; " ± " &amp; TEXT(ROUND(SUMIFS(Sheet1!$E:$E,Sheet1!$C:$C,$C7,Sheet1!$B:$B,D$1,Sheet1!$A:$A,$A7)*100,2),"0.00")</f>
        <v>52.6858 ± 6.26</v>
      </c>
      <c r="E7" s="17" t="str">
        <f>TEXT(ROUND(SUMIFS(Sheet1!$F:$F,Sheet1!$C:$C,$C7,Sheet1!$B:$B,E$1,Sheet1!$A:$A,$A7)*100,4),"0.0000") &amp; " ± " &amp; TEXT(ROUND(SUMIFS(Sheet1!$G:$G,Sheet1!$C:$C,$C7,Sheet1!$B:$B,E$1,Sheet1!$A:$A,$A7)*100,2),"0.00")</f>
        <v>60.6277 ± 9.15</v>
      </c>
      <c r="F7" s="41" t="str">
        <f>TEXT(ROUND(SUMIFS(Sheet1!$H:$H,Sheet1!$C:$C,$C7,Sheet1!$B:$B,F$1,Sheet1!$A:$A,$A7)*100,4),"0.0000") &amp; " ± " &amp; TEXT(ROUND(SUMIFS(Sheet1!$I:$I,Sheet1!$C:$C,$C7,Sheet1!$B:$B,F$1,Sheet1!$A:$A,$A7)*100,2),"0.00")</f>
        <v>58.0697 ± 15.38</v>
      </c>
      <c r="G7" s="18" t="str">
        <f>TEXT(ROUND(SUMIFS(Sheet1!$J:$J,Sheet1!$C:$C,$C7,Sheet1!$B:$B,G$1,Sheet1!$A:$A,$A7)*100,4),"0.0000") &amp; " ± " &amp; TEXT(ROUND(SUMIFS(Sheet1!$K:$K,Sheet1!$C:$C,$C7,Sheet1!$B:$B,G$1,Sheet1!$A:$A,$A7)*100,2),"0.00")</f>
        <v>66.6459 ± 8.91</v>
      </c>
      <c r="H7" s="16" t="str">
        <f>TEXT(ROUND(SUMIFS(Sheet1!$D:$D,Sheet1!$C:$C,$C7,Sheet1!$B:$B,H$1,Sheet1!$A:$A,$A7)*100,4),"0.0000") &amp; " ± " &amp; TEXT(ROUND(SUMIFS(Sheet1!$E:$E,Sheet1!$C:$C,$C7,Sheet1!$B:$B,H$1,Sheet1!$A:$A,$A7)*100,2),"0.00")</f>
        <v>52.0668 ± 7.65</v>
      </c>
      <c r="I7" s="17" t="str">
        <f>TEXT(ROUND(SUMIFS(Sheet1!$F:$F,Sheet1!$C:$C,$C7,Sheet1!$B:$B,I$1,Sheet1!$A:$A,$A7)*100,4),"0.0000") &amp; " ± " &amp; TEXT(ROUND(SUMIFS(Sheet1!$G:$G,Sheet1!$C:$C,$C7,Sheet1!$B:$B,I$1,Sheet1!$A:$A,$A7)*100,2),"0.00")</f>
        <v>58.7569 ± 10.90</v>
      </c>
      <c r="J7" s="17" t="str">
        <f>TEXT(ROUND(SUMIFS(Sheet1!$H:$H,Sheet1!$C:$C,$C7,Sheet1!$B:$B,J$1,Sheet1!$A:$A,$A7)*100,4),"0.0000") &amp; " ± " &amp; TEXT(ROUND(SUMIFS(Sheet1!$I:$I,Sheet1!$C:$C,$C7,Sheet1!$B:$B,J$1,Sheet1!$A:$A,$A7)*100,2),"0.00")</f>
        <v>57.6996 ± 16.24</v>
      </c>
      <c r="K7" s="18" t="str">
        <f>TEXT(ROUND(SUMIFS(Sheet1!$J:$J,Sheet1!$C:$C,$C7,Sheet1!$B:$B,K$1,Sheet1!$A:$A,$A7)*100,4),"0.0000") &amp; " ± " &amp; TEXT(ROUND(SUMIFS(Sheet1!$K:$K,Sheet1!$C:$C,$C7,Sheet1!$B:$B,K$1,Sheet1!$A:$A,$A7)*100,2),"0.00")</f>
        <v>62.8809 ± 10.76</v>
      </c>
      <c r="L7" s="16" t="str">
        <f>TEXT(ROUND(SUMIFS(Sheet1!$D:$D,Sheet1!$C:$C,$C7,Sheet1!$B:$B,L$1,Sheet1!$A:$A,$A7)*100,4),"0.0000") &amp; " ± " &amp; TEXT(ROUND(SUMIFS(Sheet1!$E:$E,Sheet1!$C:$C,$C7,Sheet1!$B:$B,L$1,Sheet1!$A:$A,$A7)*100,2),"0.00")</f>
        <v>50.5841 ± 7.33</v>
      </c>
      <c r="M7" s="17" t="str">
        <f>TEXT(ROUND(SUMIFS(Sheet1!$F:$F,Sheet1!$C:$C,$C7,Sheet1!$B:$B,M$1,Sheet1!$A:$A,$A7)*100,4),"0.0000") &amp; " ± " &amp; TEXT(ROUND(SUMIFS(Sheet1!$G:$G,Sheet1!$C:$C,$C7,Sheet1!$B:$B,M$1,Sheet1!$A:$A,$A7)*100,2),"0.00")</f>
        <v>58.4445 ± 10.73</v>
      </c>
      <c r="N7" s="17" t="str">
        <f>TEXT(ROUND(SUMIFS(Sheet1!$H:$H,Sheet1!$C:$C,$C7,Sheet1!$B:$B,N$1,Sheet1!$A:$A,$A7)*100,4),"0.0000") &amp; " ± " &amp; TEXT(ROUND(SUMIFS(Sheet1!$I:$I,Sheet1!$C:$C,$C7,Sheet1!$B:$B,N$1,Sheet1!$A:$A,$A7)*100,2),"0.00")</f>
        <v>56.2084 ± 16.25</v>
      </c>
      <c r="O7" s="18" t="str">
        <f>TEXT(ROUND(SUMIFS(Sheet1!$J:$J,Sheet1!$C:$C,$C7,Sheet1!$B:$B,O$1,Sheet1!$A:$A,$A7)*100,4),"0.0000") &amp; " ± " &amp; TEXT(ROUND(SUMIFS(Sheet1!$K:$K,Sheet1!$C:$C,$C7,Sheet1!$B:$B,O$1,Sheet1!$A:$A,$A7)*100,2),"0.00")</f>
        <v>63.9042 ± 10.61</v>
      </c>
    </row>
    <row r="8" spans="1:15" ht="15" thickBot="1" x14ac:dyDescent="0.35">
      <c r="B8" s="1"/>
    </row>
    <row r="9" spans="1:15" x14ac:dyDescent="0.3">
      <c r="B9" s="32" t="s">
        <v>29</v>
      </c>
      <c r="C9" s="30" t="s">
        <v>25</v>
      </c>
      <c r="D9" s="32" t="s">
        <v>26</v>
      </c>
      <c r="E9" s="33"/>
      <c r="F9" s="33"/>
      <c r="G9" s="34"/>
      <c r="H9" s="35" t="s">
        <v>27</v>
      </c>
      <c r="I9" s="36"/>
      <c r="J9" s="36"/>
      <c r="K9" s="37"/>
      <c r="L9" s="35" t="s">
        <v>28</v>
      </c>
      <c r="M9" s="36"/>
      <c r="N9" s="36"/>
      <c r="O9" s="37"/>
    </row>
    <row r="10" spans="1:15" x14ac:dyDescent="0.3">
      <c r="B10" s="40"/>
      <c r="C10" s="31" t="s">
        <v>20</v>
      </c>
      <c r="D10" s="12" t="s">
        <v>21</v>
      </c>
      <c r="E10" s="7" t="s">
        <v>22</v>
      </c>
      <c r="F10" s="7" t="s">
        <v>23</v>
      </c>
      <c r="G10" s="13" t="s">
        <v>24</v>
      </c>
      <c r="H10" s="12" t="s">
        <v>21</v>
      </c>
      <c r="I10" s="7" t="s">
        <v>22</v>
      </c>
      <c r="J10" s="7" t="s">
        <v>23</v>
      </c>
      <c r="K10" s="13" t="s">
        <v>24</v>
      </c>
      <c r="L10" s="12" t="s">
        <v>21</v>
      </c>
      <c r="M10" s="7" t="s">
        <v>22</v>
      </c>
      <c r="N10" s="7" t="s">
        <v>23</v>
      </c>
      <c r="O10" s="13" t="s">
        <v>24</v>
      </c>
    </row>
    <row r="11" spans="1:15" x14ac:dyDescent="0.3">
      <c r="A11" t="s">
        <v>16</v>
      </c>
      <c r="B11" s="38" t="s">
        <v>31</v>
      </c>
      <c r="C11" s="4" t="s">
        <v>11</v>
      </c>
      <c r="D11" s="21" t="str">
        <f>TEXT(ROUND(SUMIFS(Sheet1!$D:$D,Sheet1!$C:$C,$C11,Sheet1!$B:$B,D$1,Sheet1!$A:$A,$A11)*100,4),"0.0000") &amp; " ± " &amp; TEXT(ROUND(SUMIFS(Sheet1!$E:$E,Sheet1!$C:$C,$C11,Sheet1!$B:$B,D$1,Sheet1!$A:$A,$A11)*100,2),"0.00")</f>
        <v>51.9158 ± 21.01</v>
      </c>
      <c r="E11" s="10" t="str">
        <f>TEXT(ROUND(SUMIFS(Sheet1!$F:$F,Sheet1!$C:$C,$C11,Sheet1!$B:$B,E$1,Sheet1!$A:$A,$A11)*100,4),"0.0000") &amp; " ± " &amp; TEXT(ROUND(SUMIFS(Sheet1!$G:$G,Sheet1!$C:$C,$C11,Sheet1!$B:$B,E$1,Sheet1!$A:$A,$A11)*100,2),"0.00")</f>
        <v>57.7538 ± 21.82</v>
      </c>
      <c r="F11" s="10" t="str">
        <f>TEXT(ROUND(SUMIFS(Sheet1!$H:$H,Sheet1!$C:$C,$C11,Sheet1!$B:$B,F$1,Sheet1!$A:$A,$A11)*100,4),"0.0000") &amp; " ± " &amp; TEXT(ROUND(SUMIFS(Sheet1!$I:$I,Sheet1!$C:$C,$C11,Sheet1!$B:$B,F$1,Sheet1!$A:$A,$A11)*100,2),"0.00")</f>
        <v>53.1395 ± 22.11</v>
      </c>
      <c r="G11" s="22" t="str">
        <f>TEXT(ROUND(SUMIFS(Sheet1!$J:$J,Sheet1!$C:$C,$C11,Sheet1!$B:$B,G$1,Sheet1!$A:$A,$A11)*100,4),"0.0000") &amp; " ± " &amp; TEXT(ROUND(SUMIFS(Sheet1!$K:$K,Sheet1!$C:$C,$C11,Sheet1!$B:$B,G$1,Sheet1!$A:$A,$A11)*100,2),"0.00")</f>
        <v>68.6047 ± 28.97</v>
      </c>
      <c r="H11" s="21" t="str">
        <f>TEXT(ROUND(SUMIFS(Sheet1!$D:$D,Sheet1!$C:$C,$C11,Sheet1!$B:$B,H$1,Sheet1!$A:$A,$A11)*100,4),"0.0000") &amp; " ± " &amp; TEXT(ROUND(SUMIFS(Sheet1!$E:$E,Sheet1!$C:$C,$C11,Sheet1!$B:$B,H$1,Sheet1!$A:$A,$A11)*100,2),"0.00")</f>
        <v>50.1440 ± 22.92</v>
      </c>
      <c r="I11" s="10" t="str">
        <f>TEXT(ROUND(SUMIFS(Sheet1!$F:$F,Sheet1!$C:$C,$C11,Sheet1!$B:$B,I$1,Sheet1!$A:$A,$A11)*100,4),"0.0000") &amp; " ± " &amp; TEXT(ROUND(SUMIFS(Sheet1!$G:$G,Sheet1!$C:$C,$C11,Sheet1!$B:$B,I$1,Sheet1!$A:$A,$A11)*100,2),"0.00")</f>
        <v>55.3396 ± 28.31</v>
      </c>
      <c r="J11" s="10" t="str">
        <f>TEXT(ROUND(SUMIFS(Sheet1!$H:$H,Sheet1!$C:$C,$C11,Sheet1!$B:$B,J$1,Sheet1!$A:$A,$A11)*100,4),"0.0000") &amp; " ± " &amp; TEXT(ROUND(SUMIFS(Sheet1!$I:$I,Sheet1!$C:$C,$C11,Sheet1!$B:$B,J$1,Sheet1!$A:$A,$A11)*100,2),"0.00")</f>
        <v>47.2868 ± 25.96</v>
      </c>
      <c r="K11" s="22" t="str">
        <f>TEXT(ROUND(SUMIFS(Sheet1!$J:$J,Sheet1!$C:$C,$C11,Sheet1!$B:$B,K$1,Sheet1!$A:$A,$A11)*100,4),"0.0000") &amp; " ± " &amp; TEXT(ROUND(SUMIFS(Sheet1!$K:$K,Sheet1!$C:$C,$C11,Sheet1!$B:$B,K$1,Sheet1!$A:$A,$A11)*100,2),"0.00")</f>
        <v>70.1550 ± 35.68</v>
      </c>
      <c r="L11" s="21" t="str">
        <f>TEXT(ROUND(SUMIFS(Sheet1!$D:$D,Sheet1!$C:$C,$C11,Sheet1!$B:$B,L$1,Sheet1!$A:$A,$A11)*100,4),"0.0000") &amp; " ± " &amp; TEXT(ROUND(SUMIFS(Sheet1!$E:$E,Sheet1!$C:$C,$C11,Sheet1!$B:$B,L$1,Sheet1!$A:$A,$A11)*100,2),"0.00")</f>
        <v>52.1872 ± 21.97</v>
      </c>
      <c r="M11" s="10" t="str">
        <f>TEXT(ROUND(SUMIFS(Sheet1!$F:$F,Sheet1!$C:$C,$C11,Sheet1!$B:$B,M$1,Sheet1!$A:$A,$A11)*100,4),"0.0000") &amp; " ± " &amp; TEXT(ROUND(SUMIFS(Sheet1!$G:$G,Sheet1!$C:$C,$C11,Sheet1!$B:$B,M$1,Sheet1!$A:$A,$A11)*100,2),"0.00")</f>
        <v>59.3079 ± 23.40</v>
      </c>
      <c r="N11" s="9" t="str">
        <f>TEXT(ROUND(SUMIFS(Sheet1!$H:$H,Sheet1!$C:$C,$C11,Sheet1!$B:$B,N$1,Sheet1!$A:$A,$A11)*100,4),"0.0000") &amp; " ± " &amp; TEXT(ROUND(SUMIFS(Sheet1!$I:$I,Sheet1!$C:$C,$C11,Sheet1!$B:$B,N$1,Sheet1!$A:$A,$A11)*100,2),"0.00")</f>
        <v>52.2093 ± 23.92</v>
      </c>
      <c r="O11" s="22" t="str">
        <f>TEXT(ROUND(SUMIFS(Sheet1!$J:$J,Sheet1!$C:$C,$C11,Sheet1!$B:$B,O$1,Sheet1!$A:$A,$A11)*100,4),"0.0000") &amp; " ± " &amp; TEXT(ROUND(SUMIFS(Sheet1!$K:$K,Sheet1!$C:$C,$C11,Sheet1!$B:$B,O$1,Sheet1!$A:$A,$A11)*100,2),"0.00")</f>
        <v>74.0310 ± 30.93</v>
      </c>
    </row>
    <row r="12" spans="1:15" x14ac:dyDescent="0.3">
      <c r="A12" t="s">
        <v>16</v>
      </c>
      <c r="B12" s="38"/>
      <c r="C12" s="28" t="s">
        <v>13</v>
      </c>
      <c r="D12" s="19" t="str">
        <f>TEXT(ROUND(SUMIFS(Sheet1!$D:$D,Sheet1!$C:$C,$C12,Sheet1!$B:$B,D$1,Sheet1!$A:$A,$A12)*100,4),"0.0000") &amp; " ± " &amp; TEXT(ROUND(SUMIFS(Sheet1!$E:$E,Sheet1!$C:$C,$C12,Sheet1!$B:$B,D$1,Sheet1!$A:$A,$A12)*100,2),"0.00")</f>
        <v>54.5875 ± 22.10</v>
      </c>
      <c r="E12" s="11" t="str">
        <f>TEXT(ROUND(SUMIFS(Sheet1!$F:$F,Sheet1!$C:$C,$C12,Sheet1!$B:$B,E$1,Sheet1!$A:$A,$A12)*100,4),"0.0000") &amp; " ± " &amp; TEXT(ROUND(SUMIFS(Sheet1!$G:$G,Sheet1!$C:$C,$C12,Sheet1!$B:$B,E$1,Sheet1!$A:$A,$A12)*100,2),"0.00")</f>
        <v>56.9878 ± 25.52</v>
      </c>
      <c r="F12" s="11" t="str">
        <f>TEXT(ROUND(SUMIFS(Sheet1!$H:$H,Sheet1!$C:$C,$C12,Sheet1!$B:$B,F$1,Sheet1!$A:$A,$A12)*100,4),"0.0000") &amp; " ± " &amp; TEXT(ROUND(SUMIFS(Sheet1!$I:$I,Sheet1!$C:$C,$C12,Sheet1!$B:$B,F$1,Sheet1!$A:$A,$A12)*100,2),"0.00")</f>
        <v>54.1860 ± 25.55</v>
      </c>
      <c r="G12" s="20" t="str">
        <f>TEXT(ROUND(SUMIFS(Sheet1!$J:$J,Sheet1!$C:$C,$C12,Sheet1!$B:$B,G$1,Sheet1!$A:$A,$A12)*100,4),"0.0000") &amp; " ± " &amp; TEXT(ROUND(SUMIFS(Sheet1!$K:$K,Sheet1!$C:$C,$C12,Sheet1!$B:$B,G$1,Sheet1!$A:$A,$A12)*100,2),"0.00")</f>
        <v>64.5349 ± 31.75</v>
      </c>
      <c r="H12" s="19" t="str">
        <f>TEXT(ROUND(SUMIFS(Sheet1!$D:$D,Sheet1!$C:$C,$C12,Sheet1!$B:$B,H$1,Sheet1!$A:$A,$A12)*100,4),"0.0000") &amp; " ± " &amp; TEXT(ROUND(SUMIFS(Sheet1!$E:$E,Sheet1!$C:$C,$C12,Sheet1!$B:$B,H$1,Sheet1!$A:$A,$A12)*100,2),"0.00")</f>
        <v>52.2951 ± 22.53</v>
      </c>
      <c r="I12" s="11" t="str">
        <f>TEXT(ROUND(SUMIFS(Sheet1!$F:$F,Sheet1!$C:$C,$C12,Sheet1!$B:$B,I$1,Sheet1!$A:$A,$A12)*100,4),"0.0000") &amp; " ± " &amp; TEXT(ROUND(SUMIFS(Sheet1!$G:$G,Sheet1!$C:$C,$C12,Sheet1!$B:$B,I$1,Sheet1!$A:$A,$A12)*100,2),"0.00")</f>
        <v>50.6460 ± 29.55</v>
      </c>
      <c r="J12" s="11" t="str">
        <f>TEXT(ROUND(SUMIFS(Sheet1!$H:$H,Sheet1!$C:$C,$C12,Sheet1!$B:$B,J$1,Sheet1!$A:$A,$A12)*100,4),"0.0000") &amp; " ± " &amp; TEXT(ROUND(SUMIFS(Sheet1!$I:$I,Sheet1!$C:$C,$C12,Sheet1!$B:$B,J$1,Sheet1!$A:$A,$A12)*100,2),"0.00")</f>
        <v>50.5426 ± 31.36</v>
      </c>
      <c r="K12" s="20" t="str">
        <f>TEXT(ROUND(SUMIFS(Sheet1!$J:$J,Sheet1!$C:$C,$C12,Sheet1!$B:$B,K$1,Sheet1!$A:$A,$A12)*100,4),"0.0000") &amp; " ± " &amp; TEXT(ROUND(SUMIFS(Sheet1!$K:$K,Sheet1!$C:$C,$C12,Sheet1!$B:$B,K$1,Sheet1!$A:$A,$A12)*100,2),"0.00")</f>
        <v>56.0078 ± 35.55</v>
      </c>
      <c r="L12" s="43" t="str">
        <f>TEXT(ROUND(SUMIFS(Sheet1!$D:$D,Sheet1!$C:$C,$C12,Sheet1!$B:$B,L$1,Sheet1!$A:$A,$A12)*100,4),"0.0000") &amp; " ± " &amp; TEXT(ROUND(SUMIFS(Sheet1!$E:$E,Sheet1!$C:$C,$C12,Sheet1!$B:$B,L$1,Sheet1!$A:$A,$A12)*100,2),"0.00")</f>
        <v>52.8378 ± 25.10</v>
      </c>
      <c r="M12" s="11" t="str">
        <f>TEXT(ROUND(SUMIFS(Sheet1!$F:$F,Sheet1!$C:$C,$C12,Sheet1!$B:$B,M$1,Sheet1!$A:$A,$A12)*100,4),"0.0000") &amp; " ± " &amp; TEXT(ROUND(SUMIFS(Sheet1!$G:$G,Sheet1!$C:$C,$C12,Sheet1!$B:$B,M$1,Sheet1!$A:$A,$A12)*100,2),"0.00")</f>
        <v>53.2041 ± 31.52</v>
      </c>
      <c r="N12" s="11" t="str">
        <f>TEXT(ROUND(SUMIFS(Sheet1!$H:$H,Sheet1!$C:$C,$C12,Sheet1!$B:$B,N$1,Sheet1!$A:$A,$A12)*100,4),"0.0000") &amp; " ± " &amp; TEXT(ROUND(SUMIFS(Sheet1!$I:$I,Sheet1!$C:$C,$C12,Sheet1!$B:$B,N$1,Sheet1!$A:$A,$A12)*100,2),"0.00")</f>
        <v>48.1395 ± 29.90</v>
      </c>
      <c r="O12" s="20" t="str">
        <f>TEXT(ROUND(SUMIFS(Sheet1!$J:$J,Sheet1!$C:$C,$C12,Sheet1!$B:$B,O$1,Sheet1!$A:$A,$A12)*100,4),"0.0000") &amp; " ± " &amp; TEXT(ROUND(SUMIFS(Sheet1!$K:$K,Sheet1!$C:$C,$C12,Sheet1!$B:$B,O$1,Sheet1!$A:$A,$A12)*100,2),"0.00")</f>
        <v>62.2093 ± 37.24</v>
      </c>
    </row>
    <row r="13" spans="1:15" x14ac:dyDescent="0.3">
      <c r="A13" t="s">
        <v>16</v>
      </c>
      <c r="B13" s="38"/>
      <c r="C13" s="4" t="s">
        <v>12</v>
      </c>
      <c r="D13" s="21" t="str">
        <f>TEXT(ROUND(SUMIFS(Sheet1!$D:$D,Sheet1!$C:$C,$C13,Sheet1!$B:$B,D$1,Sheet1!$A:$A,$A13)*100,4),"0.0000") &amp; " ± " &amp; TEXT(ROUND(SUMIFS(Sheet1!$E:$E,Sheet1!$C:$C,$C13,Sheet1!$B:$B,D$1,Sheet1!$A:$A,$A13)*100,2),"0.00")</f>
        <v>47.7243 ± 23.20</v>
      </c>
      <c r="E13" s="10" t="str">
        <f>TEXT(ROUND(SUMIFS(Sheet1!$F:$F,Sheet1!$C:$C,$C13,Sheet1!$B:$B,E$1,Sheet1!$A:$A,$A13)*100,4),"0.0000") &amp; " ± " &amp; TEXT(ROUND(SUMIFS(Sheet1!$G:$G,Sheet1!$C:$C,$C13,Sheet1!$B:$B,E$1,Sheet1!$A:$A,$A13)*100,2),"0.00")</f>
        <v>56.8316 ± 25.33</v>
      </c>
      <c r="F13" s="10" t="str">
        <f>TEXT(ROUND(SUMIFS(Sheet1!$H:$H,Sheet1!$C:$C,$C13,Sheet1!$B:$B,F$1,Sheet1!$A:$A,$A13)*100,4),"0.0000") &amp; " ± " &amp; TEXT(ROUND(SUMIFS(Sheet1!$I:$I,Sheet1!$C:$C,$C13,Sheet1!$B:$B,F$1,Sheet1!$A:$A,$A13)*100,2),"0.00")</f>
        <v>48.5770 ± 24.58</v>
      </c>
      <c r="G13" s="27" t="str">
        <f>TEXT(ROUND(SUMIFS(Sheet1!$J:$J,Sheet1!$C:$C,$C13,Sheet1!$B:$B,G$1,Sheet1!$A:$A,$A13)*100,4),"0.0000") &amp; " ± " &amp; TEXT(ROUND(SUMIFS(Sheet1!$K:$K,Sheet1!$C:$C,$C13,Sheet1!$B:$B,G$1,Sheet1!$A:$A,$A13)*100,2),"0.00")</f>
        <v>74.8062 ± 34.69</v>
      </c>
      <c r="H13" s="26" t="str">
        <f>TEXT(ROUND(SUMIFS(Sheet1!$D:$D,Sheet1!$C:$C,$C13,Sheet1!$B:$B,H$1,Sheet1!$A:$A,$A13)*100,4),"0.0000") &amp; " ± " &amp; TEXT(ROUND(SUMIFS(Sheet1!$E:$E,Sheet1!$C:$C,$C13,Sheet1!$B:$B,H$1,Sheet1!$A:$A,$A13)*100,2),"0.00")</f>
        <v>57.5471 ± 16.20</v>
      </c>
      <c r="I13" s="9" t="str">
        <f>TEXT(ROUND(SUMIFS(Sheet1!$F:$F,Sheet1!$C:$C,$C13,Sheet1!$B:$B,I$1,Sheet1!$A:$A,$A13)*100,4),"0.0000") &amp; " ± " &amp; TEXT(ROUND(SUMIFS(Sheet1!$G:$G,Sheet1!$C:$C,$C13,Sheet1!$B:$B,I$1,Sheet1!$A:$A,$A13)*100,2),"0.00")</f>
        <v>66.8439 ± 19.09</v>
      </c>
      <c r="J13" s="9" t="str">
        <f>TEXT(ROUND(SUMIFS(Sheet1!$H:$H,Sheet1!$C:$C,$C13,Sheet1!$B:$B,J$1,Sheet1!$A:$A,$A13)*100,4),"0.0000") &amp; " ± " &amp; TEXT(ROUND(SUMIFS(Sheet1!$I:$I,Sheet1!$C:$C,$C13,Sheet1!$B:$B,J$1,Sheet1!$A:$A,$A13)*100,2),"0.00")</f>
        <v>55.1163 ± 19.32</v>
      </c>
      <c r="K13" s="27" t="str">
        <f>TEXT(ROUND(SUMIFS(Sheet1!$J:$J,Sheet1!$C:$C,$C13,Sheet1!$B:$B,K$1,Sheet1!$A:$A,$A13)*100,4),"0.0000") &amp; " ± " &amp; TEXT(ROUND(SUMIFS(Sheet1!$K:$K,Sheet1!$C:$C,$C13,Sheet1!$B:$B,K$1,Sheet1!$A:$A,$A13)*100,2),"0.00")</f>
        <v>89.5349 ± 24.05</v>
      </c>
      <c r="L13" s="21" t="str">
        <f>TEXT(ROUND(SUMIFS(Sheet1!$D:$D,Sheet1!$C:$C,$C13,Sheet1!$B:$B,L$1,Sheet1!$A:$A,$A13)*100,4),"0.0000") &amp; " ± " &amp; TEXT(ROUND(SUMIFS(Sheet1!$E:$E,Sheet1!$C:$C,$C13,Sheet1!$B:$B,L$1,Sheet1!$A:$A,$A13)*100,2),"0.00")</f>
        <v>52.4142 ± 22.11</v>
      </c>
      <c r="M13" s="9" t="str">
        <f>TEXT(ROUND(SUMIFS(Sheet1!$F:$F,Sheet1!$C:$C,$C13,Sheet1!$B:$B,M$1,Sheet1!$A:$A,$A13)*100,4),"0.0000") &amp; " ± " &amp; TEXT(ROUND(SUMIFS(Sheet1!$G:$G,Sheet1!$C:$C,$C13,Sheet1!$B:$B,M$1,Sheet1!$A:$A,$A13)*100,2),"0.00")</f>
        <v>60.8442 ± 25.33</v>
      </c>
      <c r="N13" s="10" t="str">
        <f>TEXT(ROUND(SUMIFS(Sheet1!$H:$H,Sheet1!$C:$C,$C13,Sheet1!$B:$B,N$1,Sheet1!$A:$A,$A13)*100,4),"0.0000") &amp; " ± " &amp; TEXT(ROUND(SUMIFS(Sheet1!$I:$I,Sheet1!$C:$C,$C13,Sheet1!$B:$B,N$1,Sheet1!$A:$A,$A13)*100,2),"0.00")</f>
        <v>50.5537 ± 23.21</v>
      </c>
      <c r="O13" s="27" t="str">
        <f>TEXT(ROUND(SUMIFS(Sheet1!$J:$J,Sheet1!$C:$C,$C13,Sheet1!$B:$B,O$1,Sheet1!$A:$A,$A13)*100,4),"0.0000") &amp; " ± " &amp; TEXT(ROUND(SUMIFS(Sheet1!$K:$K,Sheet1!$C:$C,$C13,Sheet1!$B:$B,O$1,Sheet1!$A:$A,$A13)*100,2),"0.00")</f>
        <v>80.4264 ± 32.94</v>
      </c>
    </row>
    <row r="14" spans="1:15" ht="15" thickBot="1" x14ac:dyDescent="0.35">
      <c r="A14" t="s">
        <v>16</v>
      </c>
      <c r="B14" s="39"/>
      <c r="C14" s="29" t="s">
        <v>14</v>
      </c>
      <c r="D14" s="42" t="str">
        <f>TEXT(ROUND(SUMIFS(Sheet1!$D:$D,Sheet1!$C:$C,$C14,Sheet1!$B:$B,D$1,Sheet1!$A:$A,$A14)*100,4),"0.0000") &amp; " ± " &amp; TEXT(ROUND(SUMIFS(Sheet1!$E:$E,Sheet1!$C:$C,$C14,Sheet1!$B:$B,D$1,Sheet1!$A:$A,$A14)*100,2),"0.00")</f>
        <v>55.9828 ± 22.33</v>
      </c>
      <c r="E14" s="41" t="str">
        <f>TEXT(ROUND(SUMIFS(Sheet1!$F:$F,Sheet1!$C:$C,$C14,Sheet1!$B:$B,E$1,Sheet1!$A:$A,$A14)*100,4),"0.0000") &amp; " ± " &amp; TEXT(ROUND(SUMIFS(Sheet1!$G:$G,Sheet1!$C:$C,$C14,Sheet1!$B:$B,E$1,Sheet1!$A:$A,$A14)*100,2),"0.00")</f>
        <v>61.1683 ± 21.81</v>
      </c>
      <c r="F14" s="41" t="str">
        <f>TEXT(ROUND(SUMIFS(Sheet1!$H:$H,Sheet1!$C:$C,$C14,Sheet1!$B:$B,F$1,Sheet1!$A:$A,$A14)*100,4),"0.0000") &amp; " ± " &amp; TEXT(ROUND(SUMIFS(Sheet1!$I:$I,Sheet1!$C:$C,$C14,Sheet1!$B:$B,F$1,Sheet1!$A:$A,$A14)*100,2),"0.00")</f>
        <v>58.4496 ± 24.15</v>
      </c>
      <c r="G14" s="25" t="str">
        <f>TEXT(ROUND(SUMIFS(Sheet1!$J:$J,Sheet1!$C:$C,$C14,Sheet1!$B:$B,G$1,Sheet1!$A:$A,$A14)*100,4),"0.0000") &amp; " ± " &amp; TEXT(ROUND(SUMIFS(Sheet1!$K:$K,Sheet1!$C:$C,$C14,Sheet1!$B:$B,G$1,Sheet1!$A:$A,$A14)*100,2),"0.00")</f>
        <v>71.1240 ± 29.44</v>
      </c>
      <c r="H14" s="23" t="str">
        <f>TEXT(ROUND(SUMIFS(Sheet1!$D:$D,Sheet1!$C:$C,$C14,Sheet1!$B:$B,H$1,Sheet1!$A:$A,$A14)*100,4),"0.0000") &amp; " ± " &amp; TEXT(ROUND(SUMIFS(Sheet1!$E:$E,Sheet1!$C:$C,$C14,Sheet1!$B:$B,H$1,Sheet1!$A:$A,$A14)*100,2),"0.00")</f>
        <v>47.6523 ± 26.13</v>
      </c>
      <c r="I14" s="24" t="str">
        <f>TEXT(ROUND(SUMIFS(Sheet1!$F:$F,Sheet1!$C:$C,$C14,Sheet1!$B:$B,I$1,Sheet1!$A:$A,$A14)*100,4),"0.0000") &amp; " ± " &amp; TEXT(ROUND(SUMIFS(Sheet1!$G:$G,Sheet1!$C:$C,$C14,Sheet1!$B:$B,I$1,Sheet1!$A:$A,$A14)*100,2),"0.00")</f>
        <v>49.0938 ± 30.68</v>
      </c>
      <c r="J14" s="24" t="str">
        <f>TEXT(ROUND(SUMIFS(Sheet1!$H:$H,Sheet1!$C:$C,$C14,Sheet1!$B:$B,J$1,Sheet1!$A:$A,$A14)*100,4),"0.0000") &amp; " ± " &amp; TEXT(ROUND(SUMIFS(Sheet1!$I:$I,Sheet1!$C:$C,$C14,Sheet1!$B:$B,J$1,Sheet1!$A:$A,$A14)*100,2),"0.00")</f>
        <v>45.0000 ± 29.67</v>
      </c>
      <c r="K14" s="25" t="str">
        <f>TEXT(ROUND(SUMIFS(Sheet1!$J:$J,Sheet1!$C:$C,$C14,Sheet1!$B:$B,K$1,Sheet1!$A:$A,$A14)*100,4),"0.0000") &amp; " ± " &amp; TEXT(ROUND(SUMIFS(Sheet1!$K:$K,Sheet1!$C:$C,$C14,Sheet1!$B:$B,K$1,Sheet1!$A:$A,$A14)*100,2),"0.00")</f>
        <v>57.9457 ± 36.96</v>
      </c>
      <c r="L14" s="23" t="str">
        <f>TEXT(ROUND(SUMIFS(Sheet1!$D:$D,Sheet1!$C:$C,$C14,Sheet1!$B:$B,L$1,Sheet1!$A:$A,$A14)*100,4),"0.0000") &amp; " ± " &amp; TEXT(ROUND(SUMIFS(Sheet1!$E:$E,Sheet1!$C:$C,$C14,Sheet1!$B:$B,L$1,Sheet1!$A:$A,$A14)*100,2),"0.00")</f>
        <v>49.2027 ± 22.38</v>
      </c>
      <c r="M14" s="24" t="str">
        <f>TEXT(ROUND(SUMIFS(Sheet1!$F:$F,Sheet1!$C:$C,$C14,Sheet1!$B:$B,M$1,Sheet1!$A:$A,$A14)*100,4),"0.0000") &amp; " ± " &amp; TEXT(ROUND(SUMIFS(Sheet1!$G:$G,Sheet1!$C:$C,$C14,Sheet1!$B:$B,M$1,Sheet1!$A:$A,$A14)*100,2),"0.00")</f>
        <v>53.8649 ± 24.97</v>
      </c>
      <c r="N14" s="24" t="str">
        <f>TEXT(ROUND(SUMIFS(Sheet1!$H:$H,Sheet1!$C:$C,$C14,Sheet1!$B:$B,N$1,Sheet1!$A:$A,$A14)*100,4),"0.0000") &amp; " ± " &amp; TEXT(ROUND(SUMIFS(Sheet1!$I:$I,Sheet1!$C:$C,$C14,Sheet1!$B:$B,N$1,Sheet1!$A:$A,$A14)*100,2),"0.00")</f>
        <v>49.4574 ± 25.32</v>
      </c>
      <c r="O14" s="25" t="str">
        <f>TEXT(ROUND(SUMIFS(Sheet1!$J:$J,Sheet1!$C:$C,$C14,Sheet1!$B:$B,O$1,Sheet1!$A:$A,$A14)*100,4),"0.0000") &amp; " ± " &amp; TEXT(ROUND(SUMIFS(Sheet1!$K:$K,Sheet1!$C:$C,$C14,Sheet1!$B:$B,O$1,Sheet1!$A:$A,$A14)*100,2),"0.00")</f>
        <v>63.9535 ± 32.93</v>
      </c>
    </row>
  </sheetData>
  <mergeCells count="10">
    <mergeCell ref="D2:G2"/>
    <mergeCell ref="H2:K2"/>
    <mergeCell ref="L2:O2"/>
    <mergeCell ref="B4:B7"/>
    <mergeCell ref="B11:B14"/>
    <mergeCell ref="B2:B3"/>
    <mergeCell ref="B9:B10"/>
    <mergeCell ref="D9:G9"/>
    <mergeCell ref="H9:K9"/>
    <mergeCell ref="L9:O9"/>
  </mergeCells>
  <conditionalFormatting sqref="D4:O7 D11:G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:K1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:O1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Hanifi</dc:creator>
  <cp:lastModifiedBy>Nikoo Amjadi</cp:lastModifiedBy>
  <dcterms:created xsi:type="dcterms:W3CDTF">2026-06-07T13:23:22Z</dcterms:created>
  <dcterms:modified xsi:type="dcterms:W3CDTF">2026-06-09T14:42:36Z</dcterms:modified>
</cp:coreProperties>
</file>