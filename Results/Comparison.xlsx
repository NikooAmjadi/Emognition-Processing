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o\Desktop\Thesis\Source\"/>
    </mc:Choice>
  </mc:AlternateContent>
  <xr:revisionPtr revIDLastSave="0" documentId="13_ncr:1_{94857F76-471F-42AA-84BD-98EE4C7B8BBA}" xr6:coauthVersionLast="47" xr6:coauthVersionMax="47" xr10:uidLastSave="{00000000-0000-0000-0000-000000000000}"/>
  <bookViews>
    <workbookView xWindow="-108" yWindow="-108" windowWidth="23256" windowHeight="12456" activeTab="1" xr2:uid="{8D592C9F-CC51-43DD-B2E3-0BF015735963}"/>
  </bookViews>
  <sheets>
    <sheet name="Sheet1" sheetId="1" r:id="rId1"/>
    <sheet name="Sheet2" sheetId="2" r:id="rId2"/>
  </sheets>
  <definedNames>
    <definedName name="_xlnm._FilterDatabase" localSheetId="0" hidden="1">Sheet1!$A$1:$K$25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2" l="1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K14" i="2"/>
  <c r="J14" i="2"/>
  <c r="I14" i="2"/>
  <c r="H14" i="2"/>
  <c r="K13" i="2"/>
  <c r="J13" i="2"/>
  <c r="I13" i="2"/>
  <c r="H13" i="2"/>
  <c r="K12" i="2"/>
  <c r="J12" i="2"/>
  <c r="I12" i="2"/>
  <c r="H12" i="2"/>
  <c r="K11" i="2"/>
  <c r="J11" i="2"/>
  <c r="I11" i="2"/>
  <c r="H11" i="2"/>
  <c r="D11" i="2"/>
  <c r="G14" i="2"/>
  <c r="F14" i="2"/>
  <c r="E14" i="2"/>
  <c r="D14" i="2"/>
  <c r="G13" i="2"/>
  <c r="F13" i="2"/>
  <c r="E13" i="2"/>
  <c r="D13" i="2"/>
  <c r="G12" i="2"/>
  <c r="F12" i="2"/>
  <c r="E12" i="2"/>
  <c r="D12" i="2"/>
  <c r="G11" i="2"/>
  <c r="F11" i="2"/>
  <c r="E11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K7" i="2"/>
  <c r="H4" i="2"/>
  <c r="J7" i="2"/>
  <c r="I7" i="2"/>
  <c r="H7" i="2"/>
  <c r="K6" i="2"/>
  <c r="J6" i="2"/>
  <c r="I6" i="2"/>
  <c r="H6" i="2"/>
  <c r="K5" i="2"/>
  <c r="J5" i="2"/>
  <c r="I5" i="2"/>
  <c r="H5" i="2"/>
  <c r="K4" i="2"/>
  <c r="J4" i="2"/>
  <c r="I4" i="2"/>
  <c r="D5" i="2"/>
  <c r="D6" i="2"/>
  <c r="D7" i="2"/>
  <c r="E5" i="2"/>
  <c r="E6" i="2"/>
  <c r="E7" i="2"/>
  <c r="F5" i="2"/>
  <c r="F6" i="2"/>
  <c r="F7" i="2"/>
  <c r="G5" i="2"/>
  <c r="G6" i="2"/>
  <c r="G7" i="2"/>
  <c r="G4" i="2"/>
  <c r="F4" i="2"/>
  <c r="E4" i="2"/>
  <c r="D4" i="2"/>
</calcChain>
</file>

<file path=xl/sharedStrings.xml><?xml version="1.0" encoding="utf-8"?>
<sst xmlns="http://schemas.openxmlformats.org/spreadsheetml/2006/main" count="149" uniqueCount="32">
  <si>
    <t>Model</t>
  </si>
  <si>
    <t>Acc_mean</t>
  </si>
  <si>
    <t>Acc_std</t>
  </si>
  <si>
    <t>F1_mean</t>
  </si>
  <si>
    <t>F1_std</t>
  </si>
  <si>
    <t>Prec_mean</t>
  </si>
  <si>
    <t>Prec_std</t>
  </si>
  <si>
    <t>Rec_mean</t>
  </si>
  <si>
    <t>Rec_std</t>
  </si>
  <si>
    <t>Run Type</t>
  </si>
  <si>
    <t>Data Type</t>
  </si>
  <si>
    <t>SVM</t>
  </si>
  <si>
    <t>XGBoost</t>
  </si>
  <si>
    <t>Random Forest</t>
  </si>
  <si>
    <t>KNN</t>
  </si>
  <si>
    <t>Raw</t>
  </si>
  <si>
    <t>Agg</t>
  </si>
  <si>
    <t>Win</t>
  </si>
  <si>
    <t>Raw + VG</t>
  </si>
  <si>
    <t>VG</t>
  </si>
  <si>
    <t>Model Name</t>
  </si>
  <si>
    <t>Accuracy (±std)</t>
  </si>
  <si>
    <t>F1 Score (±std)</t>
  </si>
  <si>
    <t>Precision (±std)</t>
  </si>
  <si>
    <t>Recall (±std)</t>
  </si>
  <si>
    <t>Input Mode</t>
  </si>
  <si>
    <t>Raw Features</t>
  </si>
  <si>
    <t>Visibility Graph Features</t>
  </si>
  <si>
    <t>Raw + Visibility Graph Features</t>
  </si>
  <si>
    <t>Run Mode</t>
  </si>
  <si>
    <t>Windowed</t>
  </si>
  <si>
    <t>Aggregated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</si>
</sst>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/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3" borderId="9" xfId="0" applyFill="1" applyBorder="1"/>
    <xf numFmtId="0" fontId="0" fillId="3" borderId="7" xfId="0" applyFill="1" applyBorder="1"/>
    <xf numFmtId="0" fontId="0" fillId="2" borderId="4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A1F-9449-4A91-8C37-2E569624DE33}">
  <dimension ref="A1:K25"/>
  <sheetViews>
    <sheetView workbookViewId="0">
      <selection activeCell="A14" sqref="A14:K17"/>
    </sheetView>
  </sheetViews>
  <sheetFormatPr defaultRowHeight="14.4" x14ac:dyDescent="0.3"/>
  <cols>
    <col min="1" max="1" width="8.88671875" bestFit="1" customWidth="1"/>
    <col min="2" max="2" width="9.5546875" bestFit="1" customWidth="1"/>
    <col min="3" max="3" width="14.44140625" bestFit="1" customWidth="1"/>
    <col min="4" max="6" width="12" bestFit="1" customWidth="1"/>
    <col min="7" max="7" width="12" customWidth="1"/>
    <col min="8" max="11" width="12" bestFit="1" customWidth="1"/>
  </cols>
  <sheetData>
    <row r="1" spans="1:11" x14ac:dyDescent="0.3">
      <c r="A1" s="2" t="s">
        <v>9</v>
      </c>
      <c r="B1" s="2" t="s">
        <v>10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x14ac:dyDescent="0.3">
      <c r="A2" s="2" t="s">
        <v>16</v>
      </c>
      <c r="B2" s="2" t="s">
        <v>15</v>
      </c>
      <c r="C2" t="s">
        <v>12</v>
      </c>
      <c r="D2">
        <v>0.72452431289640495</v>
      </c>
      <c r="E2">
        <v>0.12634112205655601</v>
      </c>
      <c r="F2">
        <v>0.70793418467836999</v>
      </c>
      <c r="G2">
        <v>0.14239179692925599</v>
      </c>
      <c r="H2">
        <v>0.65808416389811697</v>
      </c>
      <c r="I2">
        <v>0.17755312426902001</v>
      </c>
      <c r="J2">
        <v>0.819961240310077</v>
      </c>
      <c r="K2">
        <v>0.17530527934034201</v>
      </c>
    </row>
    <row r="3" spans="1:11" x14ac:dyDescent="0.3">
      <c r="A3" s="2" t="s">
        <v>16</v>
      </c>
      <c r="B3" s="2" t="s">
        <v>15</v>
      </c>
      <c r="C3" t="s">
        <v>13</v>
      </c>
      <c r="D3">
        <v>0.61860465116278995</v>
      </c>
      <c r="E3">
        <v>0.147057152906341</v>
      </c>
      <c r="F3">
        <v>0.48659854357528698</v>
      </c>
      <c r="G3">
        <v>0.23057853355097499</v>
      </c>
      <c r="H3">
        <v>0.57314507198228104</v>
      </c>
      <c r="I3">
        <v>0.28022744816873202</v>
      </c>
      <c r="J3">
        <v>0.49025470653377601</v>
      </c>
      <c r="K3">
        <v>0.28321899195455902</v>
      </c>
    </row>
    <row r="4" spans="1:11" x14ac:dyDescent="0.3">
      <c r="A4" s="2" t="s">
        <v>16</v>
      </c>
      <c r="B4" s="2" t="s">
        <v>15</v>
      </c>
      <c r="C4" t="s">
        <v>11</v>
      </c>
      <c r="D4">
        <v>0.54186046511627906</v>
      </c>
      <c r="E4">
        <v>0.13878941103190401</v>
      </c>
      <c r="F4">
        <v>0.40919700454584101</v>
      </c>
      <c r="G4">
        <v>0.19444552422140901</v>
      </c>
      <c r="H4">
        <v>0.45802879291251303</v>
      </c>
      <c r="I4">
        <v>0.236613898616195</v>
      </c>
      <c r="J4">
        <v>0.41694352159468401</v>
      </c>
      <c r="K4">
        <v>0.22895421142504299</v>
      </c>
    </row>
    <row r="5" spans="1:11" x14ac:dyDescent="0.3">
      <c r="A5" s="2" t="s">
        <v>16</v>
      </c>
      <c r="B5" s="2" t="s">
        <v>15</v>
      </c>
      <c r="C5" t="s">
        <v>14</v>
      </c>
      <c r="D5">
        <v>0.52748414376321295</v>
      </c>
      <c r="E5">
        <v>0.14176732936727399</v>
      </c>
      <c r="F5">
        <v>0.376273080924243</v>
      </c>
      <c r="G5">
        <v>0.23752310296649501</v>
      </c>
      <c r="H5">
        <v>0.42054263565891398</v>
      </c>
      <c r="I5">
        <v>0.26718885416195898</v>
      </c>
      <c r="J5">
        <v>0.38410852713178201</v>
      </c>
      <c r="K5">
        <v>0.28085462990170401</v>
      </c>
    </row>
    <row r="6" spans="1:11" x14ac:dyDescent="0.3">
      <c r="A6" s="2" t="s">
        <v>16</v>
      </c>
      <c r="B6" s="2" t="s">
        <v>18</v>
      </c>
      <c r="C6" t="s">
        <v>12</v>
      </c>
      <c r="D6">
        <v>0.70993657505285401</v>
      </c>
      <c r="E6">
        <v>0.12249902749579</v>
      </c>
      <c r="F6">
        <v>0.69342853528899995</v>
      </c>
      <c r="G6">
        <v>0.13723894892184399</v>
      </c>
      <c r="H6">
        <v>0.650913621262458</v>
      </c>
      <c r="I6">
        <v>0.18556441073274901</v>
      </c>
      <c r="J6">
        <v>0.805841638981173</v>
      </c>
      <c r="K6">
        <v>0.18342370490437901</v>
      </c>
    </row>
    <row r="7" spans="1:11" x14ac:dyDescent="0.3">
      <c r="A7" s="2" t="s">
        <v>16</v>
      </c>
      <c r="B7" s="2" t="s">
        <v>18</v>
      </c>
      <c r="C7" t="s">
        <v>13</v>
      </c>
      <c r="D7">
        <v>0.56680761099365695</v>
      </c>
      <c r="E7">
        <v>0.13022672346282799</v>
      </c>
      <c r="F7">
        <v>0.39594346222253202</v>
      </c>
      <c r="G7">
        <v>0.238376007132796</v>
      </c>
      <c r="H7">
        <v>0.441786637135474</v>
      </c>
      <c r="I7">
        <v>0.30926351009386199</v>
      </c>
      <c r="J7">
        <v>0.42093023255813899</v>
      </c>
      <c r="K7">
        <v>0.28549020288911198</v>
      </c>
    </row>
    <row r="8" spans="1:11" x14ac:dyDescent="0.3">
      <c r="A8" s="2" t="s">
        <v>16</v>
      </c>
      <c r="B8" s="2" t="s">
        <v>18</v>
      </c>
      <c r="C8" t="s">
        <v>11</v>
      </c>
      <c r="D8">
        <v>0.51395348837209298</v>
      </c>
      <c r="E8">
        <v>0.130381082765363</v>
      </c>
      <c r="F8">
        <v>0.34942680058959102</v>
      </c>
      <c r="G8">
        <v>0.232072836102137</v>
      </c>
      <c r="H8">
        <v>0.38103543743078599</v>
      </c>
      <c r="I8">
        <v>0.276812031560489</v>
      </c>
      <c r="J8">
        <v>0.361240310077519</v>
      </c>
      <c r="K8">
        <v>0.24117735218907199</v>
      </c>
    </row>
    <row r="9" spans="1:11" x14ac:dyDescent="0.3">
      <c r="A9" s="2" t="s">
        <v>16</v>
      </c>
      <c r="B9" s="2" t="s">
        <v>18</v>
      </c>
      <c r="C9" t="s">
        <v>14</v>
      </c>
      <c r="D9">
        <v>0.49450317124735699</v>
      </c>
      <c r="E9">
        <v>0.10854584647769699</v>
      </c>
      <c r="F9">
        <v>0.33839493839493801</v>
      </c>
      <c r="G9">
        <v>0.17867296269323699</v>
      </c>
      <c r="H9">
        <v>0.37353266888150599</v>
      </c>
      <c r="I9">
        <v>0.20606682582033001</v>
      </c>
      <c r="J9">
        <v>0.35559246954595702</v>
      </c>
      <c r="K9">
        <v>0.22738182713701699</v>
      </c>
    </row>
    <row r="10" spans="1:11" x14ac:dyDescent="0.3">
      <c r="A10" s="2" t="s">
        <v>17</v>
      </c>
      <c r="B10" s="2" t="s">
        <v>18</v>
      </c>
      <c r="C10" t="s">
        <v>12</v>
      </c>
      <c r="D10">
        <v>0.85476754021099299</v>
      </c>
      <c r="E10">
        <v>0.164461385373316</v>
      </c>
      <c r="F10">
        <v>0.80936807219704598</v>
      </c>
      <c r="G10">
        <v>0.20241393067035701</v>
      </c>
      <c r="H10">
        <v>0.86613726602382302</v>
      </c>
      <c r="I10">
        <v>0.21913846302265</v>
      </c>
      <c r="J10">
        <v>0.78970169273031898</v>
      </c>
      <c r="K10">
        <v>0.228405686826789</v>
      </c>
    </row>
    <row r="11" spans="1:11" x14ac:dyDescent="0.3">
      <c r="A11" s="2" t="s">
        <v>17</v>
      </c>
      <c r="B11" s="2" t="s">
        <v>18</v>
      </c>
      <c r="C11" t="s">
        <v>13</v>
      </c>
      <c r="D11">
        <v>0.62151622960802899</v>
      </c>
      <c r="E11">
        <v>0.13468267500880399</v>
      </c>
      <c r="F11">
        <v>0.49043386633550401</v>
      </c>
      <c r="G11">
        <v>0.17615792337158401</v>
      </c>
      <c r="H11">
        <v>0.54753001969928705</v>
      </c>
      <c r="I11">
        <v>0.22074265292426901</v>
      </c>
      <c r="J11">
        <v>0.52735964681776903</v>
      </c>
      <c r="K11">
        <v>0.26838495731504902</v>
      </c>
    </row>
    <row r="12" spans="1:11" x14ac:dyDescent="0.3">
      <c r="A12" s="2" t="s">
        <v>17</v>
      </c>
      <c r="B12" s="2" t="s">
        <v>18</v>
      </c>
      <c r="C12" t="s">
        <v>14</v>
      </c>
      <c r="D12">
        <v>0.52850216899770497</v>
      </c>
      <c r="E12">
        <v>5.83606083461716E-2</v>
      </c>
      <c r="F12">
        <v>0.37508689676345702</v>
      </c>
      <c r="G12">
        <v>9.7075642011394098E-2</v>
      </c>
      <c r="H12">
        <v>0.39068566352082501</v>
      </c>
      <c r="I12">
        <v>0.13861770120566899</v>
      </c>
      <c r="J12">
        <v>0.37890487981315601</v>
      </c>
      <c r="K12">
        <v>9.1429190206160499E-2</v>
      </c>
    </row>
    <row r="13" spans="1:11" x14ac:dyDescent="0.3">
      <c r="A13" s="2" t="s">
        <v>17</v>
      </c>
      <c r="B13" s="2" t="s">
        <v>18</v>
      </c>
      <c r="C13" t="s">
        <v>11</v>
      </c>
      <c r="D13">
        <v>0.552125688741675</v>
      </c>
      <c r="E13">
        <v>6.2198395975696E-2</v>
      </c>
      <c r="F13">
        <v>0.36382661198595001</v>
      </c>
      <c r="G13">
        <v>0.12587649066721501</v>
      </c>
      <c r="H13">
        <v>0.40720793713228098</v>
      </c>
      <c r="I13">
        <v>0.152003546407599</v>
      </c>
      <c r="J13">
        <v>0.35757693928352402</v>
      </c>
      <c r="K13">
        <v>0.14620931982392399</v>
      </c>
    </row>
    <row r="14" spans="1:11" x14ac:dyDescent="0.3">
      <c r="A14" s="2" t="s">
        <v>17</v>
      </c>
      <c r="B14" s="2" t="s">
        <v>15</v>
      </c>
      <c r="C14" t="s">
        <v>12</v>
      </c>
      <c r="D14">
        <v>0.85466648466956296</v>
      </c>
      <c r="E14">
        <v>0.16487366896782099</v>
      </c>
      <c r="F14">
        <v>0.80958805516806598</v>
      </c>
      <c r="G14">
        <v>0.20293057296899999</v>
      </c>
      <c r="H14">
        <v>0.86613726602382302</v>
      </c>
      <c r="I14">
        <v>0.21913846302265</v>
      </c>
      <c r="J14">
        <v>0.79035162655523805</v>
      </c>
      <c r="K14">
        <v>0.22976229030078499</v>
      </c>
    </row>
    <row r="15" spans="1:11" x14ac:dyDescent="0.3">
      <c r="A15" s="2" t="s">
        <v>17</v>
      </c>
      <c r="B15" s="2" t="s">
        <v>15</v>
      </c>
      <c r="C15" t="s">
        <v>13</v>
      </c>
      <c r="D15">
        <v>0.69280270966151003</v>
      </c>
      <c r="E15">
        <v>0.13607993269257701</v>
      </c>
      <c r="F15">
        <v>0.55715799098594199</v>
      </c>
      <c r="G15">
        <v>0.181761527468916</v>
      </c>
      <c r="H15">
        <v>0.68388457543514802</v>
      </c>
      <c r="I15">
        <v>0.215989929342635</v>
      </c>
      <c r="J15">
        <v>0.54964965655092601</v>
      </c>
      <c r="K15">
        <v>0.25568645803733803</v>
      </c>
    </row>
    <row r="16" spans="1:11" x14ac:dyDescent="0.3">
      <c r="A16" s="2" t="s">
        <v>17</v>
      </c>
      <c r="B16" s="2" t="s">
        <v>15</v>
      </c>
      <c r="C16" t="s">
        <v>14</v>
      </c>
      <c r="D16">
        <v>0.54057531270774395</v>
      </c>
      <c r="E16">
        <v>6.8665641139284403E-2</v>
      </c>
      <c r="F16">
        <v>0.38999787452335999</v>
      </c>
      <c r="G16">
        <v>8.1644846940611401E-2</v>
      </c>
      <c r="H16">
        <v>0.41060419345028798</v>
      </c>
      <c r="I16">
        <v>0.115620904909361</v>
      </c>
      <c r="J16">
        <v>0.39959706971678299</v>
      </c>
      <c r="K16">
        <v>0.113499062440691</v>
      </c>
    </row>
    <row r="17" spans="1:11" x14ac:dyDescent="0.3">
      <c r="A17" s="2" t="s">
        <v>17</v>
      </c>
      <c r="B17" s="2" t="s">
        <v>15</v>
      </c>
      <c r="C17" t="s">
        <v>11</v>
      </c>
      <c r="D17">
        <v>0.56187310934489598</v>
      </c>
      <c r="E17">
        <v>8.7628909256180804E-2</v>
      </c>
      <c r="F17">
        <v>0.37351172403448701</v>
      </c>
      <c r="G17">
        <v>0.116578047420766</v>
      </c>
      <c r="H17">
        <v>0.43540828318757502</v>
      </c>
      <c r="I17">
        <v>0.13178666285401999</v>
      </c>
      <c r="J17">
        <v>0.37157055520718901</v>
      </c>
      <c r="K17">
        <v>0.162108189596366</v>
      </c>
    </row>
    <row r="18" spans="1:11" x14ac:dyDescent="0.3">
      <c r="A18" s="2" t="s">
        <v>16</v>
      </c>
      <c r="B18" s="2" t="s">
        <v>19</v>
      </c>
      <c r="C18" t="s">
        <v>12</v>
      </c>
      <c r="D18">
        <v>0.67737843551796995</v>
      </c>
      <c r="E18">
        <v>0.123927218089982</v>
      </c>
      <c r="F18">
        <v>0.64116464930418404</v>
      </c>
      <c r="G18">
        <v>0.19654630331856099</v>
      </c>
      <c r="H18">
        <v>0.60043373938722699</v>
      </c>
      <c r="I18">
        <v>0.227092016908643</v>
      </c>
      <c r="J18">
        <v>0.74022702104097404</v>
      </c>
      <c r="K18">
        <v>0.23850014824455101</v>
      </c>
    </row>
    <row r="19" spans="1:11" x14ac:dyDescent="0.3">
      <c r="A19" s="2" t="s">
        <v>16</v>
      </c>
      <c r="B19" s="2" t="s">
        <v>19</v>
      </c>
      <c r="C19" t="s">
        <v>13</v>
      </c>
      <c r="D19">
        <v>0.60317124735729299</v>
      </c>
      <c r="E19">
        <v>0.13984813323298101</v>
      </c>
      <c r="F19">
        <v>0.47561171158982302</v>
      </c>
      <c r="G19">
        <v>0.236715114231451</v>
      </c>
      <c r="H19">
        <v>0.53482834994462902</v>
      </c>
      <c r="I19">
        <v>0.30542434893259901</v>
      </c>
      <c r="J19">
        <v>0.49332779623477202</v>
      </c>
      <c r="K19">
        <v>0.27619657880936899</v>
      </c>
    </row>
    <row r="20" spans="1:11" x14ac:dyDescent="0.3">
      <c r="A20" s="2" t="s">
        <v>16</v>
      </c>
      <c r="B20" s="2" t="s">
        <v>19</v>
      </c>
      <c r="C20" t="s">
        <v>11</v>
      </c>
      <c r="D20">
        <v>0.56279069767441803</v>
      </c>
      <c r="E20">
        <v>0.15223132444594001</v>
      </c>
      <c r="F20">
        <v>0.42257548652897398</v>
      </c>
      <c r="G20">
        <v>0.20859505622604399</v>
      </c>
      <c r="H20">
        <v>0.50868401624215498</v>
      </c>
      <c r="I20">
        <v>0.28600729675702602</v>
      </c>
      <c r="J20">
        <v>0.41459025470653299</v>
      </c>
      <c r="K20">
        <v>0.22813541219289599</v>
      </c>
    </row>
    <row r="21" spans="1:11" x14ac:dyDescent="0.3">
      <c r="A21" s="2" t="s">
        <v>16</v>
      </c>
      <c r="B21" s="2" t="s">
        <v>19</v>
      </c>
      <c r="C21" t="s">
        <v>14</v>
      </c>
      <c r="D21">
        <v>0.53382663847780099</v>
      </c>
      <c r="E21">
        <v>0.16552034541087901</v>
      </c>
      <c r="F21">
        <v>0.393405818987214</v>
      </c>
      <c r="G21">
        <v>0.240990212737349</v>
      </c>
      <c r="H21">
        <v>0.43564045773348098</v>
      </c>
      <c r="I21">
        <v>0.30267313484868802</v>
      </c>
      <c r="J21">
        <v>0.41029900332225899</v>
      </c>
      <c r="K21">
        <v>0.27033776703829598</v>
      </c>
    </row>
    <row r="22" spans="1:11" x14ac:dyDescent="0.3">
      <c r="A22" s="2" t="s">
        <v>17</v>
      </c>
      <c r="B22" s="2" t="s">
        <v>19</v>
      </c>
      <c r="C22" t="s">
        <v>12</v>
      </c>
      <c r="D22">
        <v>0.85363003512300595</v>
      </c>
      <c r="E22">
        <v>0.165645588770511</v>
      </c>
      <c r="F22">
        <v>0.80856124120930695</v>
      </c>
      <c r="G22">
        <v>0.203572333578589</v>
      </c>
      <c r="H22">
        <v>0.86249131589477002</v>
      </c>
      <c r="I22">
        <v>0.22049079030863999</v>
      </c>
      <c r="J22">
        <v>0.791390310607336</v>
      </c>
      <c r="K22">
        <v>0.22985131087163699</v>
      </c>
    </row>
    <row r="23" spans="1:11" x14ac:dyDescent="0.3">
      <c r="A23" s="2" t="s">
        <v>17</v>
      </c>
      <c r="B23" s="2" t="s">
        <v>19</v>
      </c>
      <c r="C23" t="s">
        <v>13</v>
      </c>
      <c r="D23">
        <v>0.67037104551878701</v>
      </c>
      <c r="E23">
        <v>0.13010802104640801</v>
      </c>
      <c r="F23">
        <v>0.54118599852220595</v>
      </c>
      <c r="G23">
        <v>0.18321508465967601</v>
      </c>
      <c r="H23">
        <v>0.59955249429564605</v>
      </c>
      <c r="I23">
        <v>0.21882464125429801</v>
      </c>
      <c r="J23">
        <v>0.54451903006762004</v>
      </c>
      <c r="K23">
        <v>0.231472985958177</v>
      </c>
    </row>
    <row r="24" spans="1:11" x14ac:dyDescent="0.3">
      <c r="A24" s="2" t="s">
        <v>17</v>
      </c>
      <c r="B24" s="2" t="s">
        <v>19</v>
      </c>
      <c r="C24" t="s">
        <v>14</v>
      </c>
      <c r="D24">
        <v>0.56743694091200003</v>
      </c>
      <c r="E24">
        <v>5.5625078076333101E-2</v>
      </c>
      <c r="F24">
        <v>0.40220735989049999</v>
      </c>
      <c r="G24">
        <v>9.9590743367545101E-2</v>
      </c>
      <c r="H24">
        <v>0.431881222720497</v>
      </c>
      <c r="I24">
        <v>0.14164866479048299</v>
      </c>
      <c r="J24">
        <v>0.39280146573922697</v>
      </c>
      <c r="K24">
        <v>9.4829181261848694E-2</v>
      </c>
    </row>
    <row r="25" spans="1:11" x14ac:dyDescent="0.3">
      <c r="A25" s="2" t="s">
        <v>17</v>
      </c>
      <c r="B25" s="2" t="s">
        <v>19</v>
      </c>
      <c r="C25" t="s">
        <v>11</v>
      </c>
      <c r="D25">
        <v>0.58694372241257298</v>
      </c>
      <c r="E25">
        <v>8.0022526758134205E-2</v>
      </c>
      <c r="F25">
        <v>0.39193897370108099</v>
      </c>
      <c r="G25">
        <v>0.124492251254636</v>
      </c>
      <c r="H25">
        <v>0.46471816213351302</v>
      </c>
      <c r="I25">
        <v>0.170386333931385</v>
      </c>
      <c r="J25">
        <v>0.36870245614632502</v>
      </c>
      <c r="K25">
        <v>0.145357955707487</v>
      </c>
    </row>
  </sheetData>
  <autoFilter ref="A1:K25" xr:uid="{20B60A1F-9449-4A91-8C37-2E569624DE3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F4F26-DE01-4BB2-9AB3-84FA32AC1323}">
  <dimension ref="A1:O14"/>
  <sheetViews>
    <sheetView tabSelected="1" workbookViewId="0">
      <selection activeCell="O13" sqref="O13"/>
    </sheetView>
  </sheetViews>
  <sheetFormatPr defaultRowHeight="14.4" x14ac:dyDescent="0.3"/>
  <cols>
    <col min="1" max="1" width="6.88671875" customWidth="1"/>
    <col min="2" max="2" width="16.5546875" customWidth="1"/>
    <col min="3" max="3" width="14.44140625" bestFit="1" customWidth="1"/>
    <col min="4" max="7" width="15.6640625" style="1" customWidth="1"/>
    <col min="8" max="15" width="15.6640625" customWidth="1"/>
  </cols>
  <sheetData>
    <row r="1" spans="1:15" ht="15" thickBot="1" x14ac:dyDescent="0.35">
      <c r="D1" s="1" t="s">
        <v>15</v>
      </c>
      <c r="E1" s="1" t="s">
        <v>15</v>
      </c>
      <c r="F1" s="1" t="s">
        <v>15</v>
      </c>
      <c r="G1" s="1" t="s">
        <v>15</v>
      </c>
      <c r="H1" t="s">
        <v>19</v>
      </c>
      <c r="I1" t="s">
        <v>19</v>
      </c>
      <c r="J1" t="s">
        <v>19</v>
      </c>
      <c r="K1" t="s">
        <v>19</v>
      </c>
      <c r="L1" t="s">
        <v>18</v>
      </c>
      <c r="M1" t="s">
        <v>18</v>
      </c>
      <c r="N1" t="s">
        <v>18</v>
      </c>
      <c r="O1" t="s">
        <v>18</v>
      </c>
    </row>
    <row r="2" spans="1:15" x14ac:dyDescent="0.3">
      <c r="B2" s="24" t="s">
        <v>29</v>
      </c>
      <c r="C2" s="4" t="s">
        <v>25</v>
      </c>
      <c r="D2" s="24" t="s">
        <v>26</v>
      </c>
      <c r="E2" s="25"/>
      <c r="F2" s="25"/>
      <c r="G2" s="26"/>
      <c r="H2" s="27" t="s">
        <v>27</v>
      </c>
      <c r="I2" s="28"/>
      <c r="J2" s="28"/>
      <c r="K2" s="29"/>
      <c r="L2" s="27" t="s">
        <v>28</v>
      </c>
      <c r="M2" s="28"/>
      <c r="N2" s="28"/>
      <c r="O2" s="29"/>
    </row>
    <row r="3" spans="1:15" x14ac:dyDescent="0.3">
      <c r="B3" s="32"/>
      <c r="C3" s="10" t="s">
        <v>20</v>
      </c>
      <c r="D3" s="9" t="s">
        <v>21</v>
      </c>
      <c r="E3" s="5" t="s">
        <v>22</v>
      </c>
      <c r="F3" s="5" t="s">
        <v>23</v>
      </c>
      <c r="G3" s="10" t="s">
        <v>24</v>
      </c>
      <c r="H3" s="9" t="s">
        <v>21</v>
      </c>
      <c r="I3" s="5" t="s">
        <v>22</v>
      </c>
      <c r="J3" s="5" t="s">
        <v>23</v>
      </c>
      <c r="K3" s="10" t="s">
        <v>24</v>
      </c>
      <c r="L3" s="9" t="s">
        <v>21</v>
      </c>
      <c r="M3" s="5" t="s">
        <v>22</v>
      </c>
      <c r="N3" s="5" t="s">
        <v>23</v>
      </c>
      <c r="O3" s="10" t="s">
        <v>24</v>
      </c>
    </row>
    <row r="4" spans="1:15" x14ac:dyDescent="0.3">
      <c r="A4" t="s">
        <v>17</v>
      </c>
      <c r="B4" s="30" t="s">
        <v>30</v>
      </c>
      <c r="C4" s="3" t="s">
        <v>11</v>
      </c>
      <c r="D4" s="13" t="str">
        <f>TEXT(ROUND(SUMIFS(Sheet1!$D:$D,Sheet1!$C:$C,$C4,Sheet1!$B:$B,D$1,Sheet1!$A:$A,$A4)*100,4),"0.0000") &amp; " ± " &amp; TEXT(ROUND(SUMIFS(Sheet1!$E:$E,Sheet1!$C:$C,$C4,Sheet1!$B:$B,D$1,Sheet1!$A:$A,$A4)*100,2),"0.00")</f>
        <v>56.1873 ± 8.76</v>
      </c>
      <c r="E4" s="7" t="str">
        <f>TEXT(ROUND(SUMIFS(Sheet1!$F:$F,Sheet1!$C:$C,$C4,Sheet1!$B:$B,E$1,Sheet1!$A:$A,$A4)*100,4),"0.0000") &amp; " ± " &amp; TEXT(ROUND(SUMIFS(Sheet1!$G:$G,Sheet1!$C:$C,$C4,Sheet1!$B:$B,E$1,Sheet1!$A:$A,$A4)*100,2),"0.00")</f>
        <v>37.3512 ± 11.66</v>
      </c>
      <c r="F4" s="7" t="str">
        <f>TEXT(ROUND(SUMIFS(Sheet1!$H:$H,Sheet1!$C:$C,$C4,Sheet1!$B:$B,F$1,Sheet1!$A:$A,$A4)*100,4),"0.0000") &amp; " ± " &amp; TEXT(ROUND(SUMIFS(Sheet1!$I:$I,Sheet1!$C:$C,$C4,Sheet1!$B:$B,F$1,Sheet1!$A:$A,$A4)*100,2),"0.00")</f>
        <v>43.5408 ± 13.18</v>
      </c>
      <c r="G4" s="14" t="str">
        <f>TEXT(ROUND(SUMIFS(Sheet1!$J:$J,Sheet1!$C:$C,$C4,Sheet1!$B:$B,G$1,Sheet1!$A:$A,$A4)*100,4),"0.0000") &amp; " ± " &amp; TEXT(ROUND(SUMIFS(Sheet1!$K:$K,Sheet1!$C:$C,$C4,Sheet1!$B:$B,G$1,Sheet1!$A:$A,$A4)*100,2),"0.00")</f>
        <v>37.1571 ± 16.21</v>
      </c>
      <c r="H4" s="13" t="str">
        <f>TEXT(ROUND(SUMIFS(Sheet1!$D:$D,Sheet1!$C:$C,$C4,Sheet1!$B:$B,H$1,Sheet1!$A:$A,$A4)*100,4),"0.0000") &amp; " ± " &amp; TEXT(ROUND(SUMIFS(Sheet1!$E:$E,Sheet1!$C:$C,$C4,Sheet1!$B:$B,H$1,Sheet1!$A:$A,$A4)*100,2),"0.00")</f>
        <v>58.6944 ± 8.00</v>
      </c>
      <c r="I4" s="7" t="str">
        <f>TEXT(ROUND(SUMIFS(Sheet1!$F:$F,Sheet1!$C:$C,$C4,Sheet1!$B:$B,I$1,Sheet1!$A:$A,$A4)*100,4),"0.0000") &amp; " ± " &amp; TEXT(ROUND(SUMIFS(Sheet1!$G:$G,Sheet1!$C:$C,$C4,Sheet1!$B:$B,I$1,Sheet1!$A:$A,$A4)*100,2),"0.00")</f>
        <v>39.1939 ± 12.45</v>
      </c>
      <c r="J4" s="7" t="str">
        <f>TEXT(ROUND(SUMIFS(Sheet1!$H:$H,Sheet1!$C:$C,$C4,Sheet1!$B:$B,J$1,Sheet1!$A:$A,$A4)*100,4),"0.0000") &amp; " ± " &amp; TEXT(ROUND(SUMIFS(Sheet1!$I:$I,Sheet1!$C:$C,$C4,Sheet1!$B:$B,J$1,Sheet1!$A:$A,$A4)*100,2),"0.00")</f>
        <v>46.4718 ± 17.04</v>
      </c>
      <c r="K4" s="14" t="str">
        <f>TEXT(ROUND(SUMIFS(Sheet1!$J:$J,Sheet1!$C:$C,$C4,Sheet1!$B:$B,K$1,Sheet1!$A:$A,$A4)*100,4),"0.0000") &amp; " ± " &amp; TEXT(ROUND(SUMIFS(Sheet1!$K:$K,Sheet1!$C:$C,$C4,Sheet1!$B:$B,K$1,Sheet1!$A:$A,$A4)*100,2),"0.00")</f>
        <v>36.8702 ± 14.54</v>
      </c>
      <c r="L4" s="13" t="str">
        <f>TEXT(ROUND(SUMIFS(Sheet1!$D:$D,Sheet1!$C:$C,$C4,Sheet1!$B:$B,L$1,Sheet1!$A:$A,$A4)*100,4),"0.0000") &amp; " ± " &amp; TEXT(ROUND(SUMIFS(Sheet1!$E:$E,Sheet1!$C:$C,$C4,Sheet1!$B:$B,L$1,Sheet1!$A:$A,$A4)*100,2),"0.00")</f>
        <v>55.2126 ± 6.22</v>
      </c>
      <c r="M4" s="7" t="str">
        <f>TEXT(ROUND(SUMIFS(Sheet1!$F:$F,Sheet1!$C:$C,$C4,Sheet1!$B:$B,M$1,Sheet1!$A:$A,$A4)*100,4),"0.0000") &amp; " ± " &amp; TEXT(ROUND(SUMIFS(Sheet1!$G:$G,Sheet1!$C:$C,$C4,Sheet1!$B:$B,M$1,Sheet1!$A:$A,$A4)*100,2),"0.00")</f>
        <v>36.3827 ± 12.59</v>
      </c>
      <c r="N4" s="7" t="str">
        <f>TEXT(ROUND(SUMIFS(Sheet1!$H:$H,Sheet1!$C:$C,$C4,Sheet1!$B:$B,N$1,Sheet1!$A:$A,$A4)*100,4),"0.0000") &amp; " ± " &amp; TEXT(ROUND(SUMIFS(Sheet1!$I:$I,Sheet1!$C:$C,$C4,Sheet1!$B:$B,N$1,Sheet1!$A:$A,$A4)*100,2),"0.00")</f>
        <v>40.7208 ± 15.20</v>
      </c>
      <c r="O4" s="14" t="str">
        <f>TEXT(ROUND(SUMIFS(Sheet1!$J:$J,Sheet1!$C:$C,$C4,Sheet1!$B:$B,O$1,Sheet1!$A:$A,$A4)*100,4),"0.0000") &amp; " ± " &amp; TEXT(ROUND(SUMIFS(Sheet1!$K:$K,Sheet1!$C:$C,$C4,Sheet1!$B:$B,O$1,Sheet1!$A:$A,$A4)*100,2),"0.00")</f>
        <v>35.7577 ± 14.62</v>
      </c>
    </row>
    <row r="5" spans="1:15" x14ac:dyDescent="0.3">
      <c r="A5" t="s">
        <v>17</v>
      </c>
      <c r="B5" s="30"/>
      <c r="C5" s="20" t="s">
        <v>13</v>
      </c>
      <c r="D5" s="11" t="str">
        <f>TEXT(ROUND(SUMIFS(Sheet1!$D:$D,Sheet1!$C:$C,$C5,Sheet1!$B:$B,D$1,Sheet1!$A:$A,$A5)*100,4),"0.0000") &amp; " ± " &amp; TEXT(ROUND(SUMIFS(Sheet1!$E:$E,Sheet1!$C:$C,$C5,Sheet1!$B:$B,D$1,Sheet1!$A:$A,$A5)*100,2),"0.00")</f>
        <v>69.2803 ± 13.61</v>
      </c>
      <c r="E5" s="8" t="str">
        <f>TEXT(ROUND(SUMIFS(Sheet1!$F:$F,Sheet1!$C:$C,$C5,Sheet1!$B:$B,E$1,Sheet1!$A:$A,$A5)*100,4),"0.0000") &amp; " ± " &amp; TEXT(ROUND(SUMIFS(Sheet1!$G:$G,Sheet1!$C:$C,$C5,Sheet1!$B:$B,E$1,Sheet1!$A:$A,$A5)*100,2),"0.00")</f>
        <v>55.7158 ± 18.18</v>
      </c>
      <c r="F5" s="8" t="str">
        <f>TEXT(ROUND(SUMIFS(Sheet1!$H:$H,Sheet1!$C:$C,$C5,Sheet1!$B:$B,F$1,Sheet1!$A:$A,$A5)*100,4),"0.0000") &amp; " ± " &amp; TEXT(ROUND(SUMIFS(Sheet1!$I:$I,Sheet1!$C:$C,$C5,Sheet1!$B:$B,F$1,Sheet1!$A:$A,$A5)*100,2),"0.00")</f>
        <v>68.3885 ± 21.60</v>
      </c>
      <c r="G5" s="12" t="str">
        <f>TEXT(ROUND(SUMIFS(Sheet1!$J:$J,Sheet1!$C:$C,$C5,Sheet1!$B:$B,G$1,Sheet1!$A:$A,$A5)*100,4),"0.0000") &amp; " ± " &amp; TEXT(ROUND(SUMIFS(Sheet1!$K:$K,Sheet1!$C:$C,$C5,Sheet1!$B:$B,G$1,Sheet1!$A:$A,$A5)*100,2),"0.00")</f>
        <v>54.9650 ± 25.57</v>
      </c>
      <c r="H5" s="11" t="str">
        <f>TEXT(ROUND(SUMIFS(Sheet1!$D:$D,Sheet1!$C:$C,$C5,Sheet1!$B:$B,H$1,Sheet1!$A:$A,$A5)*100,4),"0.0000") &amp; " ± " &amp; TEXT(ROUND(SUMIFS(Sheet1!$E:$E,Sheet1!$C:$C,$C5,Sheet1!$B:$B,H$1,Sheet1!$A:$A,$A5)*100,2),"0.00")</f>
        <v>67.0371 ± 13.01</v>
      </c>
      <c r="I5" s="8" t="str">
        <f>TEXT(ROUND(SUMIFS(Sheet1!$F:$F,Sheet1!$C:$C,$C5,Sheet1!$B:$B,I$1,Sheet1!$A:$A,$A5)*100,4),"0.0000") &amp; " ± " &amp; TEXT(ROUND(SUMIFS(Sheet1!$G:$G,Sheet1!$C:$C,$C5,Sheet1!$B:$B,I$1,Sheet1!$A:$A,$A5)*100,2),"0.00")</f>
        <v>54.1186 ± 18.32</v>
      </c>
      <c r="J5" s="8" t="str">
        <f>TEXT(ROUND(SUMIFS(Sheet1!$H:$H,Sheet1!$C:$C,$C5,Sheet1!$B:$B,J$1,Sheet1!$A:$A,$A5)*100,4),"0.0000") &amp; " ± " &amp; TEXT(ROUND(SUMIFS(Sheet1!$I:$I,Sheet1!$C:$C,$C5,Sheet1!$B:$B,J$1,Sheet1!$A:$A,$A5)*100,2),"0.00")</f>
        <v>59.9552 ± 21.88</v>
      </c>
      <c r="K5" s="12" t="str">
        <f>TEXT(ROUND(SUMIFS(Sheet1!$J:$J,Sheet1!$C:$C,$C5,Sheet1!$B:$B,K$1,Sheet1!$A:$A,$A5)*100,4),"0.0000") &amp; " ± " &amp; TEXT(ROUND(SUMIFS(Sheet1!$K:$K,Sheet1!$C:$C,$C5,Sheet1!$B:$B,K$1,Sheet1!$A:$A,$A5)*100,2),"0.00")</f>
        <v>54.4519 ± 23.15</v>
      </c>
      <c r="L5" s="11" t="str">
        <f>TEXT(ROUND(SUMIFS(Sheet1!$D:$D,Sheet1!$C:$C,$C5,Sheet1!$B:$B,L$1,Sheet1!$A:$A,$A5)*100,4),"0.0000") &amp; " ± " &amp; TEXT(ROUND(SUMIFS(Sheet1!$E:$E,Sheet1!$C:$C,$C5,Sheet1!$B:$B,L$1,Sheet1!$A:$A,$A5)*100,2),"0.00")</f>
        <v>62.1516 ± 13.47</v>
      </c>
      <c r="M5" s="8" t="str">
        <f>TEXT(ROUND(SUMIFS(Sheet1!$F:$F,Sheet1!$C:$C,$C5,Sheet1!$B:$B,M$1,Sheet1!$A:$A,$A5)*100,4),"0.0000") &amp; " ± " &amp; TEXT(ROUND(SUMIFS(Sheet1!$G:$G,Sheet1!$C:$C,$C5,Sheet1!$B:$B,M$1,Sheet1!$A:$A,$A5)*100,2),"0.00")</f>
        <v>49.0434 ± 17.62</v>
      </c>
      <c r="N5" s="8" t="str">
        <f>TEXT(ROUND(SUMIFS(Sheet1!$H:$H,Sheet1!$C:$C,$C5,Sheet1!$B:$B,N$1,Sheet1!$A:$A,$A5)*100,4),"0.0000") &amp; " ± " &amp; TEXT(ROUND(SUMIFS(Sheet1!$I:$I,Sheet1!$C:$C,$C5,Sheet1!$B:$B,N$1,Sheet1!$A:$A,$A5)*100,2),"0.00")</f>
        <v>54.7530 ± 22.07</v>
      </c>
      <c r="O5" s="12" t="str">
        <f>TEXT(ROUND(SUMIFS(Sheet1!$J:$J,Sheet1!$C:$C,$C5,Sheet1!$B:$B,O$1,Sheet1!$A:$A,$A5)*100,4),"0.0000") &amp; " ± " &amp; TEXT(ROUND(SUMIFS(Sheet1!$K:$K,Sheet1!$C:$C,$C5,Sheet1!$B:$B,O$1,Sheet1!$A:$A,$A5)*100,2),"0.00")</f>
        <v>52.7360 ± 26.84</v>
      </c>
    </row>
    <row r="6" spans="1:15" x14ac:dyDescent="0.3">
      <c r="A6" t="s">
        <v>17</v>
      </c>
      <c r="B6" s="30"/>
      <c r="C6" s="3" t="s">
        <v>12</v>
      </c>
      <c r="D6" s="18" t="str">
        <f>TEXT(ROUND(SUMIFS(Sheet1!$D:$D,Sheet1!$C:$C,$C6,Sheet1!$B:$B,D$1,Sheet1!$A:$A,$A6)*100,4),"0.0000") &amp; " ± " &amp; TEXT(ROUND(SUMIFS(Sheet1!$E:$E,Sheet1!$C:$C,$C6,Sheet1!$B:$B,D$1,Sheet1!$A:$A,$A6)*100,2),"0.00")</f>
        <v>85.4666 ± 16.49</v>
      </c>
      <c r="E6" s="6" t="str">
        <f>TEXT(ROUND(SUMIFS(Sheet1!$F:$F,Sheet1!$C:$C,$C6,Sheet1!$B:$B,E$1,Sheet1!$A:$A,$A6)*100,4),"0.0000") &amp; " ± " &amp; TEXT(ROUND(SUMIFS(Sheet1!$G:$G,Sheet1!$C:$C,$C6,Sheet1!$B:$B,E$1,Sheet1!$A:$A,$A6)*100,2),"0.00")</f>
        <v>80.9588 ± 20.29</v>
      </c>
      <c r="F6" s="6" t="str">
        <f>TEXT(ROUND(SUMIFS(Sheet1!$H:$H,Sheet1!$C:$C,$C6,Sheet1!$B:$B,F$1,Sheet1!$A:$A,$A6)*100,4),"0.0000") &amp; " ± " &amp; TEXT(ROUND(SUMIFS(Sheet1!$I:$I,Sheet1!$C:$C,$C6,Sheet1!$B:$B,F$1,Sheet1!$A:$A,$A6)*100,2),"0.00")</f>
        <v>86.6137 ± 21.91</v>
      </c>
      <c r="G6" s="19" t="str">
        <f>TEXT(ROUND(SUMIFS(Sheet1!$J:$J,Sheet1!$C:$C,$C6,Sheet1!$B:$B,G$1,Sheet1!$A:$A,$A6)*100,4),"0.0000") &amp; " ± " &amp; TEXT(ROUND(SUMIFS(Sheet1!$K:$K,Sheet1!$C:$C,$C6,Sheet1!$B:$B,G$1,Sheet1!$A:$A,$A6)*100,2),"0.00")</f>
        <v>79.0352 ± 22.98</v>
      </c>
      <c r="H6" s="18" t="str">
        <f>TEXT(ROUND(SUMIFS(Sheet1!$D:$D,Sheet1!$C:$C,$C6,Sheet1!$B:$B,H$1,Sheet1!$A:$A,$A6)*100,4),"0.0000") &amp; " ± " &amp; TEXT(ROUND(SUMIFS(Sheet1!$E:$E,Sheet1!$C:$C,$C6,Sheet1!$B:$B,H$1,Sheet1!$A:$A,$A6)*100,2),"0.00")</f>
        <v>85.3630 ± 16.56</v>
      </c>
      <c r="I6" s="6" t="str">
        <f>TEXT(ROUND(SUMIFS(Sheet1!$F:$F,Sheet1!$C:$C,$C6,Sheet1!$B:$B,I$1,Sheet1!$A:$A,$A6)*100,4),"0.0000") &amp; " ± " &amp; TEXT(ROUND(SUMIFS(Sheet1!$G:$G,Sheet1!$C:$C,$C6,Sheet1!$B:$B,I$1,Sheet1!$A:$A,$A6)*100,2),"0.00")</f>
        <v>80.8561 ± 20.36</v>
      </c>
      <c r="J6" s="6" t="str">
        <f>TEXT(ROUND(SUMIFS(Sheet1!$H:$H,Sheet1!$C:$C,$C6,Sheet1!$B:$B,J$1,Sheet1!$A:$A,$A6)*100,4),"0.0000") &amp; " ± " &amp; TEXT(ROUND(SUMIFS(Sheet1!$I:$I,Sheet1!$C:$C,$C6,Sheet1!$B:$B,J$1,Sheet1!$A:$A,$A6)*100,2),"0.00")</f>
        <v>86.2491 ± 22.05</v>
      </c>
      <c r="K6" s="19" t="str">
        <f>TEXT(ROUND(SUMIFS(Sheet1!$J:$J,Sheet1!$C:$C,$C6,Sheet1!$B:$B,K$1,Sheet1!$A:$A,$A6)*100,4),"0.0000") &amp; " ± " &amp; TEXT(ROUND(SUMIFS(Sheet1!$K:$K,Sheet1!$C:$C,$C6,Sheet1!$B:$B,K$1,Sheet1!$A:$A,$A6)*100,2),"0.00")</f>
        <v>79.1390 ± 22.99</v>
      </c>
      <c r="L6" s="18" t="str">
        <f>TEXT(ROUND(SUMIFS(Sheet1!$D:$D,Sheet1!$C:$C,$C6,Sheet1!$B:$B,L$1,Sheet1!$A:$A,$A6)*100,4),"0.0000") &amp; " ± " &amp; TEXT(ROUND(SUMIFS(Sheet1!$E:$E,Sheet1!$C:$C,$C6,Sheet1!$B:$B,L$1,Sheet1!$A:$A,$A6)*100,2),"0.00")</f>
        <v>85.4768 ± 16.45</v>
      </c>
      <c r="M6" s="6" t="str">
        <f>TEXT(ROUND(SUMIFS(Sheet1!$F:$F,Sheet1!$C:$C,$C6,Sheet1!$B:$B,M$1,Sheet1!$A:$A,$A6)*100,4),"0.0000") &amp; " ± " &amp; TEXT(ROUND(SUMIFS(Sheet1!$G:$G,Sheet1!$C:$C,$C6,Sheet1!$B:$B,M$1,Sheet1!$A:$A,$A6)*100,2),"0.00")</f>
        <v>80.9368 ± 20.24</v>
      </c>
      <c r="N6" s="6" t="str">
        <f>TEXT(ROUND(SUMIFS(Sheet1!$H:$H,Sheet1!$C:$C,$C6,Sheet1!$B:$B,N$1,Sheet1!$A:$A,$A6)*100,4),"0.0000") &amp; " ± " &amp; TEXT(ROUND(SUMIFS(Sheet1!$I:$I,Sheet1!$C:$C,$C6,Sheet1!$B:$B,N$1,Sheet1!$A:$A,$A6)*100,2),"0.00")</f>
        <v>86.6137 ± 21.91</v>
      </c>
      <c r="O6" s="19" t="str">
        <f>TEXT(ROUND(SUMIFS(Sheet1!$J:$J,Sheet1!$C:$C,$C6,Sheet1!$B:$B,O$1,Sheet1!$A:$A,$A6)*100,4),"0.0000") &amp; " ± " &amp; TEXT(ROUND(SUMIFS(Sheet1!$K:$K,Sheet1!$C:$C,$C6,Sheet1!$B:$B,O$1,Sheet1!$A:$A,$A6)*100,2),"0.00")</f>
        <v>78.9702 ± 22.84</v>
      </c>
    </row>
    <row r="7" spans="1:15" ht="15" thickBot="1" x14ac:dyDescent="0.35">
      <c r="A7" t="s">
        <v>17</v>
      </c>
      <c r="B7" s="31"/>
      <c r="C7" s="21" t="s">
        <v>14</v>
      </c>
      <c r="D7" s="15" t="str">
        <f>TEXT(ROUND(SUMIFS(Sheet1!$D:$D,Sheet1!$C:$C,$C7,Sheet1!$B:$B,D$1,Sheet1!$A:$A,$A7)*100,4),"0.0000") &amp; " ± " &amp; TEXT(ROUND(SUMIFS(Sheet1!$E:$E,Sheet1!$C:$C,$C7,Sheet1!$B:$B,D$1,Sheet1!$A:$A,$A7)*100,2),"0.00")</f>
        <v>54.0575 ± 6.87</v>
      </c>
      <c r="E7" s="16" t="str">
        <f>TEXT(ROUND(SUMIFS(Sheet1!$F:$F,Sheet1!$C:$C,$C7,Sheet1!$B:$B,E$1,Sheet1!$A:$A,$A7)*100,4),"0.0000") &amp; " ± " &amp; TEXT(ROUND(SUMIFS(Sheet1!$G:$G,Sheet1!$C:$C,$C7,Sheet1!$B:$B,E$1,Sheet1!$A:$A,$A7)*100,2),"0.00")</f>
        <v>38.9998 ± 8.16</v>
      </c>
      <c r="F7" s="16" t="str">
        <f>TEXT(ROUND(SUMIFS(Sheet1!$H:$H,Sheet1!$C:$C,$C7,Sheet1!$B:$B,F$1,Sheet1!$A:$A,$A7)*100,4),"0.0000") &amp; " ± " &amp; TEXT(ROUND(SUMIFS(Sheet1!$I:$I,Sheet1!$C:$C,$C7,Sheet1!$B:$B,F$1,Sheet1!$A:$A,$A7)*100,2),"0.00")</f>
        <v>41.0604 ± 11.56</v>
      </c>
      <c r="G7" s="17" t="str">
        <f>TEXT(ROUND(SUMIFS(Sheet1!$J:$J,Sheet1!$C:$C,$C7,Sheet1!$B:$B,G$1,Sheet1!$A:$A,$A7)*100,4),"0.0000") &amp; " ± " &amp; TEXT(ROUND(SUMIFS(Sheet1!$K:$K,Sheet1!$C:$C,$C7,Sheet1!$B:$B,G$1,Sheet1!$A:$A,$A7)*100,2),"0.00")</f>
        <v>39.9597 ± 11.35</v>
      </c>
      <c r="H7" s="15" t="str">
        <f>TEXT(ROUND(SUMIFS(Sheet1!$D:$D,Sheet1!$C:$C,$C7,Sheet1!$B:$B,H$1,Sheet1!$A:$A,$A7)*100,4),"0.0000") &amp; " ± " &amp; TEXT(ROUND(SUMIFS(Sheet1!$E:$E,Sheet1!$C:$C,$C7,Sheet1!$B:$B,H$1,Sheet1!$A:$A,$A7)*100,2),"0.00")</f>
        <v>56.7437 ± 5.56</v>
      </c>
      <c r="I7" s="16" t="str">
        <f>TEXT(ROUND(SUMIFS(Sheet1!$F:$F,Sheet1!$C:$C,$C7,Sheet1!$B:$B,I$1,Sheet1!$A:$A,$A7)*100,4),"0.0000") &amp; " ± " &amp; TEXT(ROUND(SUMIFS(Sheet1!$G:$G,Sheet1!$C:$C,$C7,Sheet1!$B:$B,I$1,Sheet1!$A:$A,$A7)*100,2),"0.00")</f>
        <v>40.2207 ± 9.96</v>
      </c>
      <c r="J7" s="16" t="str">
        <f>TEXT(ROUND(SUMIFS(Sheet1!$H:$H,Sheet1!$C:$C,$C7,Sheet1!$B:$B,J$1,Sheet1!$A:$A,$A7)*100,4),"0.0000") &amp; " ± " &amp; TEXT(ROUND(SUMIFS(Sheet1!$I:$I,Sheet1!$C:$C,$C7,Sheet1!$B:$B,J$1,Sheet1!$A:$A,$A7)*100,2),"0.00")</f>
        <v>43.1881 ± 14.16</v>
      </c>
      <c r="K7" s="17" t="str">
        <f>TEXT(ROUND(SUMIFS(Sheet1!$J:$J,Sheet1!$C:$C,$C7,Sheet1!$B:$B,K$1,Sheet1!$A:$A,$A7)*100,4),"0.0000") &amp; " ± " &amp; TEXT(ROUND(SUMIFS(Sheet1!$K:$K,Sheet1!$C:$C,$C7,Sheet1!$B:$B,K$1,Sheet1!$A:$A,$A7)*100,2),"0.00")</f>
        <v>39.2801 ± 9.48</v>
      </c>
      <c r="L7" s="15" t="str">
        <f>TEXT(ROUND(SUMIFS(Sheet1!$D:$D,Sheet1!$C:$C,$C7,Sheet1!$B:$B,L$1,Sheet1!$A:$A,$A7)*100,4),"0.0000") &amp; " ± " &amp; TEXT(ROUND(SUMIFS(Sheet1!$E:$E,Sheet1!$C:$C,$C7,Sheet1!$B:$B,L$1,Sheet1!$A:$A,$A7)*100,2),"0.00")</f>
        <v>52.8502 ± 5.84</v>
      </c>
      <c r="M7" s="16" t="str">
        <f>TEXT(ROUND(SUMIFS(Sheet1!$F:$F,Sheet1!$C:$C,$C7,Sheet1!$B:$B,M$1,Sheet1!$A:$A,$A7)*100,4),"0.0000") &amp; " ± " &amp; TEXT(ROUND(SUMIFS(Sheet1!$G:$G,Sheet1!$C:$C,$C7,Sheet1!$B:$B,M$1,Sheet1!$A:$A,$A7)*100,2),"0.00")</f>
        <v>37.5087 ± 9.71</v>
      </c>
      <c r="N7" s="16" t="str">
        <f>TEXT(ROUND(SUMIFS(Sheet1!$H:$H,Sheet1!$C:$C,$C7,Sheet1!$B:$B,N$1,Sheet1!$A:$A,$A7)*100,4),"0.0000") &amp; " ± " &amp; TEXT(ROUND(SUMIFS(Sheet1!$I:$I,Sheet1!$C:$C,$C7,Sheet1!$B:$B,N$1,Sheet1!$A:$A,$A7)*100,2),"0.00")</f>
        <v>39.0686 ± 13.86</v>
      </c>
      <c r="O7" s="17" t="str">
        <f>TEXT(ROUND(SUMIFS(Sheet1!$J:$J,Sheet1!$C:$C,$C7,Sheet1!$B:$B,O$1,Sheet1!$A:$A,$A7)*100,4),"0.0000") &amp; " ± " &amp; TEXT(ROUND(SUMIFS(Sheet1!$K:$K,Sheet1!$C:$C,$C7,Sheet1!$B:$B,O$1,Sheet1!$A:$A,$A7)*100,2),"0.00")</f>
        <v>37.8905 ± 9.14</v>
      </c>
    </row>
    <row r="8" spans="1:15" ht="15" thickBot="1" x14ac:dyDescent="0.35">
      <c r="B8" s="1"/>
    </row>
    <row r="9" spans="1:15" x14ac:dyDescent="0.3">
      <c r="B9" s="24" t="s">
        <v>29</v>
      </c>
      <c r="C9" s="22" t="s">
        <v>25</v>
      </c>
      <c r="D9" s="24" t="s">
        <v>26</v>
      </c>
      <c r="E9" s="25"/>
      <c r="F9" s="25"/>
      <c r="G9" s="26"/>
      <c r="H9" s="27" t="s">
        <v>27</v>
      </c>
      <c r="I9" s="28"/>
      <c r="J9" s="28"/>
      <c r="K9" s="29"/>
      <c r="L9" s="27" t="s">
        <v>28</v>
      </c>
      <c r="M9" s="28"/>
      <c r="N9" s="28"/>
      <c r="O9" s="29"/>
    </row>
    <row r="10" spans="1:15" x14ac:dyDescent="0.3">
      <c r="B10" s="32"/>
      <c r="C10" s="23" t="s">
        <v>20</v>
      </c>
      <c r="D10" s="9" t="s">
        <v>21</v>
      </c>
      <c r="E10" s="5" t="s">
        <v>22</v>
      </c>
      <c r="F10" s="5" t="s">
        <v>23</v>
      </c>
      <c r="G10" s="10" t="s">
        <v>24</v>
      </c>
      <c r="H10" s="9" t="s">
        <v>21</v>
      </c>
      <c r="I10" s="5" t="s">
        <v>22</v>
      </c>
      <c r="J10" s="5" t="s">
        <v>23</v>
      </c>
      <c r="K10" s="10" t="s">
        <v>24</v>
      </c>
      <c r="L10" s="9" t="s">
        <v>21</v>
      </c>
      <c r="M10" s="5" t="s">
        <v>22</v>
      </c>
      <c r="N10" s="5" t="s">
        <v>23</v>
      </c>
      <c r="O10" s="10" t="s">
        <v>24</v>
      </c>
    </row>
    <row r="11" spans="1:15" x14ac:dyDescent="0.3">
      <c r="A11" t="s">
        <v>16</v>
      </c>
      <c r="B11" s="30" t="s">
        <v>31</v>
      </c>
      <c r="C11" s="3" t="s">
        <v>11</v>
      </c>
      <c r="D11" s="13" t="str">
        <f>TEXT(ROUND(SUMIFS(Sheet1!$D:$D,Sheet1!$C:$C,$C11,Sheet1!$B:$B,D$1,Sheet1!$A:$A,$A11)*100,4),"0.0000") &amp; " ± " &amp; TEXT(ROUND(SUMIFS(Sheet1!$E:$E,Sheet1!$C:$C,$C11,Sheet1!$B:$B,D$1,Sheet1!$A:$A,$A11)*100,2),"0.00")</f>
        <v>54.1860 ± 13.88</v>
      </c>
      <c r="E11" s="7" t="str">
        <f>TEXT(ROUND(SUMIFS(Sheet1!$F:$F,Sheet1!$C:$C,$C11,Sheet1!$B:$B,E$1,Sheet1!$A:$A,$A11)*100,4),"0.0000") &amp; " ± " &amp; TEXT(ROUND(SUMIFS(Sheet1!$G:$G,Sheet1!$C:$C,$C11,Sheet1!$B:$B,E$1,Sheet1!$A:$A,$A11)*100,2),"0.00")</f>
        <v>40.9197 ± 19.44</v>
      </c>
      <c r="F11" s="7" t="str">
        <f>TEXT(ROUND(SUMIFS(Sheet1!$H:$H,Sheet1!$C:$C,$C11,Sheet1!$B:$B,F$1,Sheet1!$A:$A,$A11)*100,4),"0.0000") &amp; " ± " &amp; TEXT(ROUND(SUMIFS(Sheet1!$I:$I,Sheet1!$C:$C,$C11,Sheet1!$B:$B,F$1,Sheet1!$A:$A,$A11)*100,2),"0.00")</f>
        <v>45.8029 ± 23.66</v>
      </c>
      <c r="G11" s="14" t="str">
        <f>TEXT(ROUND(SUMIFS(Sheet1!$J:$J,Sheet1!$C:$C,$C11,Sheet1!$B:$B,G$1,Sheet1!$A:$A,$A11)*100,4),"0.0000") &amp; " ± " &amp; TEXT(ROUND(SUMIFS(Sheet1!$K:$K,Sheet1!$C:$C,$C11,Sheet1!$B:$B,G$1,Sheet1!$A:$A,$A11)*100,2),"0.00")</f>
        <v>41.6944 ± 22.90</v>
      </c>
      <c r="H11" s="13" t="str">
        <f>TEXT(ROUND(SUMIFS(Sheet1!$D:$D,Sheet1!$C:$C,$C11,Sheet1!$B:$B,H$1,Sheet1!$A:$A,$A11)*100,4),"0.0000") &amp; " ± " &amp; TEXT(ROUND(SUMIFS(Sheet1!$E:$E,Sheet1!$C:$C,$C11,Sheet1!$B:$B,H$1,Sheet1!$A:$A,$A11)*100,2),"0.00")</f>
        <v>56.2791 ± 15.22</v>
      </c>
      <c r="I11" s="7" t="str">
        <f>TEXT(ROUND(SUMIFS(Sheet1!$F:$F,Sheet1!$C:$C,$C11,Sheet1!$B:$B,I$1,Sheet1!$A:$A,$A11)*100,4),"0.0000") &amp; " ± " &amp; TEXT(ROUND(SUMIFS(Sheet1!$G:$G,Sheet1!$C:$C,$C11,Sheet1!$B:$B,I$1,Sheet1!$A:$A,$A11)*100,2),"0.00")</f>
        <v>42.2575 ± 20.86</v>
      </c>
      <c r="J11" s="7" t="str">
        <f>TEXT(ROUND(SUMIFS(Sheet1!$H:$H,Sheet1!$C:$C,$C11,Sheet1!$B:$B,J$1,Sheet1!$A:$A,$A11)*100,4),"0.0000") &amp; " ± " &amp; TEXT(ROUND(SUMIFS(Sheet1!$I:$I,Sheet1!$C:$C,$C11,Sheet1!$B:$B,J$1,Sheet1!$A:$A,$A11)*100,2),"0.00")</f>
        <v>50.8684 ± 28.60</v>
      </c>
      <c r="K11" s="14" t="str">
        <f>TEXT(ROUND(SUMIFS(Sheet1!$J:$J,Sheet1!$C:$C,$C11,Sheet1!$B:$B,K$1,Sheet1!$A:$A,$A11)*100,4),"0.0000") &amp; " ± " &amp; TEXT(ROUND(SUMIFS(Sheet1!$K:$K,Sheet1!$C:$C,$C11,Sheet1!$B:$B,K$1,Sheet1!$A:$A,$A11)*100,2),"0.00")</f>
        <v>41.4590 ± 22.81</v>
      </c>
      <c r="L11" s="13" t="str">
        <f>TEXT(ROUND(SUMIFS(Sheet1!$D:$D,Sheet1!$C:$C,$C11,Sheet1!$B:$B,L$1,Sheet1!$A:$A,$A11)*100,4),"0.0000") &amp; " ± " &amp; TEXT(ROUND(SUMIFS(Sheet1!$E:$E,Sheet1!$C:$C,$C11,Sheet1!$B:$B,L$1,Sheet1!$A:$A,$A11)*100,2),"0.00")</f>
        <v>51.3953 ± 13.04</v>
      </c>
      <c r="M11" s="7" t="str">
        <f>TEXT(ROUND(SUMIFS(Sheet1!$F:$F,Sheet1!$C:$C,$C11,Sheet1!$B:$B,M$1,Sheet1!$A:$A,$A11)*100,4),"0.0000") &amp; " ± " &amp; TEXT(ROUND(SUMIFS(Sheet1!$G:$G,Sheet1!$C:$C,$C11,Sheet1!$B:$B,M$1,Sheet1!$A:$A,$A11)*100,2),"0.00")</f>
        <v>34.9427 ± 23.21</v>
      </c>
      <c r="N11" s="7" t="str">
        <f>TEXT(ROUND(SUMIFS(Sheet1!$H:$H,Sheet1!$C:$C,$C11,Sheet1!$B:$B,N$1,Sheet1!$A:$A,$A11)*100,4),"0.0000") &amp; " ± " &amp; TEXT(ROUND(SUMIFS(Sheet1!$I:$I,Sheet1!$C:$C,$C11,Sheet1!$B:$B,N$1,Sheet1!$A:$A,$A11)*100,2),"0.00")</f>
        <v>38.1035 ± 27.68</v>
      </c>
      <c r="O11" s="14" t="str">
        <f>TEXT(ROUND(SUMIFS(Sheet1!$J:$J,Sheet1!$C:$C,$C11,Sheet1!$B:$B,O$1,Sheet1!$A:$A,$A11)*100,4),"0.0000") &amp; " ± " &amp; TEXT(ROUND(SUMIFS(Sheet1!$K:$K,Sheet1!$C:$C,$C11,Sheet1!$B:$B,O$1,Sheet1!$A:$A,$A11)*100,2),"0.00")</f>
        <v>36.1240 ± 24.12</v>
      </c>
    </row>
    <row r="12" spans="1:15" x14ac:dyDescent="0.3">
      <c r="A12" t="s">
        <v>16</v>
      </c>
      <c r="B12" s="30"/>
      <c r="C12" s="20" t="s">
        <v>13</v>
      </c>
      <c r="D12" s="11" t="str">
        <f>TEXT(ROUND(SUMIFS(Sheet1!$D:$D,Sheet1!$C:$C,$C12,Sheet1!$B:$B,D$1,Sheet1!$A:$A,$A12)*100,4),"0.0000") &amp; " ± " &amp; TEXT(ROUND(SUMIFS(Sheet1!$E:$E,Sheet1!$C:$C,$C12,Sheet1!$B:$B,D$1,Sheet1!$A:$A,$A12)*100,2),"0.00")</f>
        <v>61.8605 ± 14.71</v>
      </c>
      <c r="E12" s="8" t="str">
        <f>TEXT(ROUND(SUMIFS(Sheet1!$F:$F,Sheet1!$C:$C,$C12,Sheet1!$B:$B,E$1,Sheet1!$A:$A,$A12)*100,4),"0.0000") &amp; " ± " &amp; TEXT(ROUND(SUMIFS(Sheet1!$G:$G,Sheet1!$C:$C,$C12,Sheet1!$B:$B,E$1,Sheet1!$A:$A,$A12)*100,2),"0.00")</f>
        <v>48.6599 ± 23.06</v>
      </c>
      <c r="F12" s="8" t="str">
        <f>TEXT(ROUND(SUMIFS(Sheet1!$H:$H,Sheet1!$C:$C,$C12,Sheet1!$B:$B,F$1,Sheet1!$A:$A,$A12)*100,4),"0.0000") &amp; " ± " &amp; TEXT(ROUND(SUMIFS(Sheet1!$I:$I,Sheet1!$C:$C,$C12,Sheet1!$B:$B,F$1,Sheet1!$A:$A,$A12)*100,2),"0.00")</f>
        <v>57.3145 ± 28.02</v>
      </c>
      <c r="G12" s="12" t="str">
        <f>TEXT(ROUND(SUMIFS(Sheet1!$J:$J,Sheet1!$C:$C,$C12,Sheet1!$B:$B,G$1,Sheet1!$A:$A,$A12)*100,4),"0.0000") &amp; " ± " &amp; TEXT(ROUND(SUMIFS(Sheet1!$K:$K,Sheet1!$C:$C,$C12,Sheet1!$B:$B,G$1,Sheet1!$A:$A,$A12)*100,2),"0.00")</f>
        <v>49.0255 ± 28.32</v>
      </c>
      <c r="H12" s="11" t="str">
        <f>TEXT(ROUND(SUMIFS(Sheet1!$D:$D,Sheet1!$C:$C,$C12,Sheet1!$B:$B,H$1,Sheet1!$A:$A,$A12)*100,4),"0.0000") &amp; " ± " &amp; TEXT(ROUND(SUMIFS(Sheet1!$E:$E,Sheet1!$C:$C,$C12,Sheet1!$B:$B,H$1,Sheet1!$A:$A,$A12)*100,2),"0.00")</f>
        <v>60.3171 ± 13.98</v>
      </c>
      <c r="I12" s="8" t="str">
        <f>TEXT(ROUND(SUMIFS(Sheet1!$F:$F,Sheet1!$C:$C,$C12,Sheet1!$B:$B,I$1,Sheet1!$A:$A,$A12)*100,4),"0.0000") &amp; " ± " &amp; TEXT(ROUND(SUMIFS(Sheet1!$G:$G,Sheet1!$C:$C,$C12,Sheet1!$B:$B,I$1,Sheet1!$A:$A,$A12)*100,2),"0.00")</f>
        <v>47.5612 ± 23.67</v>
      </c>
      <c r="J12" s="8" t="str">
        <f>TEXT(ROUND(SUMIFS(Sheet1!$H:$H,Sheet1!$C:$C,$C12,Sheet1!$B:$B,J$1,Sheet1!$A:$A,$A12)*100,4),"0.0000") &amp; " ± " &amp; TEXT(ROUND(SUMIFS(Sheet1!$I:$I,Sheet1!$C:$C,$C12,Sheet1!$B:$B,J$1,Sheet1!$A:$A,$A12)*100,2),"0.00")</f>
        <v>53.4828 ± 30.54</v>
      </c>
      <c r="K12" s="12" t="str">
        <f>TEXT(ROUND(SUMIFS(Sheet1!$J:$J,Sheet1!$C:$C,$C12,Sheet1!$B:$B,K$1,Sheet1!$A:$A,$A12)*100,4),"0.0000") &amp; " ± " &amp; TEXT(ROUND(SUMIFS(Sheet1!$K:$K,Sheet1!$C:$C,$C12,Sheet1!$B:$B,K$1,Sheet1!$A:$A,$A12)*100,2),"0.00")</f>
        <v>49.3328 ± 27.62</v>
      </c>
      <c r="L12" s="11" t="str">
        <f>TEXT(ROUND(SUMIFS(Sheet1!$D:$D,Sheet1!$C:$C,$C12,Sheet1!$B:$B,L$1,Sheet1!$A:$A,$A12)*100,4),"0.0000") &amp; " ± " &amp; TEXT(ROUND(SUMIFS(Sheet1!$E:$E,Sheet1!$C:$C,$C12,Sheet1!$B:$B,L$1,Sheet1!$A:$A,$A12)*100,2),"0.00")</f>
        <v>56.6808 ± 13.02</v>
      </c>
      <c r="M12" s="8" t="str">
        <f>TEXT(ROUND(SUMIFS(Sheet1!$F:$F,Sheet1!$C:$C,$C12,Sheet1!$B:$B,M$1,Sheet1!$A:$A,$A12)*100,4),"0.0000") &amp; " ± " &amp; TEXT(ROUND(SUMIFS(Sheet1!$G:$G,Sheet1!$C:$C,$C12,Sheet1!$B:$B,M$1,Sheet1!$A:$A,$A12)*100,2),"0.00")</f>
        <v>39.5943 ± 23.84</v>
      </c>
      <c r="N12" s="8" t="str">
        <f>TEXT(ROUND(SUMIFS(Sheet1!$H:$H,Sheet1!$C:$C,$C12,Sheet1!$B:$B,N$1,Sheet1!$A:$A,$A12)*100,4),"0.0000") &amp; " ± " &amp; TEXT(ROUND(SUMIFS(Sheet1!$I:$I,Sheet1!$C:$C,$C12,Sheet1!$B:$B,N$1,Sheet1!$A:$A,$A12)*100,2),"0.00")</f>
        <v>44.1787 ± 30.93</v>
      </c>
      <c r="O12" s="12" t="str">
        <f>TEXT(ROUND(SUMIFS(Sheet1!$J:$J,Sheet1!$C:$C,$C12,Sheet1!$B:$B,O$1,Sheet1!$A:$A,$A12)*100,4),"0.0000") &amp; " ± " &amp; TEXT(ROUND(SUMIFS(Sheet1!$K:$K,Sheet1!$C:$C,$C12,Sheet1!$B:$B,O$1,Sheet1!$A:$A,$A12)*100,2),"0.00")</f>
        <v>42.0930 ± 28.55</v>
      </c>
    </row>
    <row r="13" spans="1:15" x14ac:dyDescent="0.3">
      <c r="A13" t="s">
        <v>16</v>
      </c>
      <c r="B13" s="30"/>
      <c r="C13" s="3" t="s">
        <v>12</v>
      </c>
      <c r="D13" s="18" t="str">
        <f>TEXT(ROUND(SUMIFS(Sheet1!$D:$D,Sheet1!$C:$C,$C13,Sheet1!$B:$B,D$1,Sheet1!$A:$A,$A13)*100,4),"0.0000") &amp; " ± " &amp; TEXT(ROUND(SUMIFS(Sheet1!$E:$E,Sheet1!$C:$C,$C13,Sheet1!$B:$B,D$1,Sheet1!$A:$A,$A13)*100,2),"0.00")</f>
        <v>72.4524 ± 12.63</v>
      </c>
      <c r="E13" s="6" t="str">
        <f>TEXT(ROUND(SUMIFS(Sheet1!$F:$F,Sheet1!$C:$C,$C13,Sheet1!$B:$B,E$1,Sheet1!$A:$A,$A13)*100,4),"0.0000") &amp; " ± " &amp; TEXT(ROUND(SUMIFS(Sheet1!$G:$G,Sheet1!$C:$C,$C13,Sheet1!$B:$B,E$1,Sheet1!$A:$A,$A13)*100,2),"0.00")</f>
        <v>70.7934 ± 14.24</v>
      </c>
      <c r="F13" s="6" t="str">
        <f>TEXT(ROUND(SUMIFS(Sheet1!$H:$H,Sheet1!$C:$C,$C13,Sheet1!$B:$B,F$1,Sheet1!$A:$A,$A13)*100,4),"0.0000") &amp; " ± " &amp; TEXT(ROUND(SUMIFS(Sheet1!$I:$I,Sheet1!$C:$C,$C13,Sheet1!$B:$B,F$1,Sheet1!$A:$A,$A13)*100,2),"0.00")</f>
        <v>65.8084 ± 17.76</v>
      </c>
      <c r="G13" s="19" t="str">
        <f>TEXT(ROUND(SUMIFS(Sheet1!$J:$J,Sheet1!$C:$C,$C13,Sheet1!$B:$B,G$1,Sheet1!$A:$A,$A13)*100,4),"0.0000") &amp; " ± " &amp; TEXT(ROUND(SUMIFS(Sheet1!$K:$K,Sheet1!$C:$C,$C13,Sheet1!$B:$B,G$1,Sheet1!$A:$A,$A13)*100,2),"0.00")</f>
        <v>81.9961 ± 17.53</v>
      </c>
      <c r="H13" s="18" t="str">
        <f>TEXT(ROUND(SUMIFS(Sheet1!$D:$D,Sheet1!$C:$C,$C13,Sheet1!$B:$B,H$1,Sheet1!$A:$A,$A13)*100,4),"0.0000") &amp; " ± " &amp; TEXT(ROUND(SUMIFS(Sheet1!$E:$E,Sheet1!$C:$C,$C13,Sheet1!$B:$B,H$1,Sheet1!$A:$A,$A13)*100,2),"0.00")</f>
        <v>67.7378 ± 12.39</v>
      </c>
      <c r="I13" s="6" t="str">
        <f>TEXT(ROUND(SUMIFS(Sheet1!$F:$F,Sheet1!$C:$C,$C13,Sheet1!$B:$B,I$1,Sheet1!$A:$A,$A13)*100,4),"0.0000") &amp; " ± " &amp; TEXT(ROUND(SUMIFS(Sheet1!$G:$G,Sheet1!$C:$C,$C13,Sheet1!$B:$B,I$1,Sheet1!$A:$A,$A13)*100,2),"0.00")</f>
        <v>64.1165 ± 19.65</v>
      </c>
      <c r="J13" s="6" t="str">
        <f>TEXT(ROUND(SUMIFS(Sheet1!$H:$H,Sheet1!$C:$C,$C13,Sheet1!$B:$B,J$1,Sheet1!$A:$A,$A13)*100,4),"0.0000") &amp; " ± " &amp; TEXT(ROUND(SUMIFS(Sheet1!$I:$I,Sheet1!$C:$C,$C13,Sheet1!$B:$B,J$1,Sheet1!$A:$A,$A13)*100,2),"0.00")</f>
        <v>60.0434 ± 22.71</v>
      </c>
      <c r="K13" s="19" t="str">
        <f>TEXT(ROUND(SUMIFS(Sheet1!$J:$J,Sheet1!$C:$C,$C13,Sheet1!$B:$B,K$1,Sheet1!$A:$A,$A13)*100,4),"0.0000") &amp; " ± " &amp; TEXT(ROUND(SUMIFS(Sheet1!$K:$K,Sheet1!$C:$C,$C13,Sheet1!$B:$B,K$1,Sheet1!$A:$A,$A13)*100,2),"0.00")</f>
        <v>74.0227 ± 23.85</v>
      </c>
      <c r="L13" s="18" t="str">
        <f>TEXT(ROUND(SUMIFS(Sheet1!$D:$D,Sheet1!$C:$C,$C13,Sheet1!$B:$B,L$1,Sheet1!$A:$A,$A13)*100,4),"0.0000") &amp; " ± " &amp; TEXT(ROUND(SUMIFS(Sheet1!$E:$E,Sheet1!$C:$C,$C13,Sheet1!$B:$B,L$1,Sheet1!$A:$A,$A13)*100,2),"0.00")</f>
        <v>70.9937 ± 12.25</v>
      </c>
      <c r="M13" s="6" t="str">
        <f>TEXT(ROUND(SUMIFS(Sheet1!$F:$F,Sheet1!$C:$C,$C13,Sheet1!$B:$B,M$1,Sheet1!$A:$A,$A13)*100,4),"0.0000") &amp; " ± " &amp; TEXT(ROUND(SUMIFS(Sheet1!$G:$G,Sheet1!$C:$C,$C13,Sheet1!$B:$B,M$1,Sheet1!$A:$A,$A13)*100,2),"0.00")</f>
        <v>69.3429 ± 13.72</v>
      </c>
      <c r="N13" s="6" t="str">
        <f>TEXT(ROUND(SUMIFS(Sheet1!$H:$H,Sheet1!$C:$C,$C13,Sheet1!$B:$B,N$1,Sheet1!$A:$A,$A13)*100,4),"0.0000") &amp; " ± " &amp; TEXT(ROUND(SUMIFS(Sheet1!$I:$I,Sheet1!$C:$C,$C13,Sheet1!$B:$B,N$1,Sheet1!$A:$A,$A13)*100,2),"0.00")</f>
        <v>65.0914 ± 18.56</v>
      </c>
      <c r="O13" s="19" t="str">
        <f>TEXT(ROUND(SUMIFS(Sheet1!$J:$J,Sheet1!$C:$C,$C13,Sheet1!$B:$B,O$1,Sheet1!$A:$A,$A13)*100,4),"0.0000") &amp; " ± " &amp; TEXT(ROUND(SUMIFS(Sheet1!$K:$K,Sheet1!$C:$C,$C13,Sheet1!$B:$B,O$1,Sheet1!$A:$A,$A13)*100,2),"0.00")</f>
        <v>80.5842 ± 18.34</v>
      </c>
    </row>
    <row r="14" spans="1:15" ht="15" thickBot="1" x14ac:dyDescent="0.35">
      <c r="A14" t="s">
        <v>16</v>
      </c>
      <c r="B14" s="31"/>
      <c r="C14" s="21" t="s">
        <v>14</v>
      </c>
      <c r="D14" s="15" t="str">
        <f>TEXT(ROUND(SUMIFS(Sheet1!$D:$D,Sheet1!$C:$C,$C14,Sheet1!$B:$B,D$1,Sheet1!$A:$A,$A14)*100,4),"0.0000") &amp; " ± " &amp; TEXT(ROUND(SUMIFS(Sheet1!$E:$E,Sheet1!$C:$C,$C14,Sheet1!$B:$B,D$1,Sheet1!$A:$A,$A14)*100,2),"0.00")</f>
        <v>52.7484 ± 14.18</v>
      </c>
      <c r="E14" s="16" t="str">
        <f>TEXT(ROUND(SUMIFS(Sheet1!$F:$F,Sheet1!$C:$C,$C14,Sheet1!$B:$B,E$1,Sheet1!$A:$A,$A14)*100,4),"0.0000") &amp; " ± " &amp; TEXT(ROUND(SUMIFS(Sheet1!$G:$G,Sheet1!$C:$C,$C14,Sheet1!$B:$B,E$1,Sheet1!$A:$A,$A14)*100,2),"0.00")</f>
        <v>37.6273 ± 23.75</v>
      </c>
      <c r="F14" s="16" t="str">
        <f>TEXT(ROUND(SUMIFS(Sheet1!$H:$H,Sheet1!$C:$C,$C14,Sheet1!$B:$B,F$1,Sheet1!$A:$A,$A14)*100,4),"0.0000") &amp; " ± " &amp; TEXT(ROUND(SUMIFS(Sheet1!$I:$I,Sheet1!$C:$C,$C14,Sheet1!$B:$B,F$1,Sheet1!$A:$A,$A14)*100,2),"0.00")</f>
        <v>42.0543 ± 26.72</v>
      </c>
      <c r="G14" s="17" t="str">
        <f>TEXT(ROUND(SUMIFS(Sheet1!$J:$J,Sheet1!$C:$C,$C14,Sheet1!$B:$B,G$1,Sheet1!$A:$A,$A14)*100,4),"0.0000") &amp; " ± " &amp; TEXT(ROUND(SUMIFS(Sheet1!$K:$K,Sheet1!$C:$C,$C14,Sheet1!$B:$B,G$1,Sheet1!$A:$A,$A14)*100,2),"0.00")</f>
        <v>38.4109 ± 28.09</v>
      </c>
      <c r="H14" s="15" t="str">
        <f>TEXT(ROUND(SUMIFS(Sheet1!$D:$D,Sheet1!$C:$C,$C14,Sheet1!$B:$B,H$1,Sheet1!$A:$A,$A14)*100,4),"0.0000") &amp; " ± " &amp; TEXT(ROUND(SUMIFS(Sheet1!$E:$E,Sheet1!$C:$C,$C14,Sheet1!$B:$B,H$1,Sheet1!$A:$A,$A14)*100,2),"0.00")</f>
        <v>53.3827 ± 16.55</v>
      </c>
      <c r="I14" s="16" t="str">
        <f>TEXT(ROUND(SUMIFS(Sheet1!$F:$F,Sheet1!$C:$C,$C14,Sheet1!$B:$B,I$1,Sheet1!$A:$A,$A14)*100,4),"0.0000") &amp; " ± " &amp; TEXT(ROUND(SUMIFS(Sheet1!$G:$G,Sheet1!$C:$C,$C14,Sheet1!$B:$B,I$1,Sheet1!$A:$A,$A14)*100,2),"0.00")</f>
        <v>39.3406 ± 24.10</v>
      </c>
      <c r="J14" s="16" t="str">
        <f>TEXT(ROUND(SUMIFS(Sheet1!$H:$H,Sheet1!$C:$C,$C14,Sheet1!$B:$B,J$1,Sheet1!$A:$A,$A14)*100,4),"0.0000") &amp; " ± " &amp; TEXT(ROUND(SUMIFS(Sheet1!$I:$I,Sheet1!$C:$C,$C14,Sheet1!$B:$B,J$1,Sheet1!$A:$A,$A14)*100,2),"0.00")</f>
        <v>43.5640 ± 30.27</v>
      </c>
      <c r="K14" s="17" t="str">
        <f>TEXT(ROUND(SUMIFS(Sheet1!$J:$J,Sheet1!$C:$C,$C14,Sheet1!$B:$B,K$1,Sheet1!$A:$A,$A14)*100,4),"0.0000") &amp; " ± " &amp; TEXT(ROUND(SUMIFS(Sheet1!$K:$K,Sheet1!$C:$C,$C14,Sheet1!$B:$B,K$1,Sheet1!$A:$A,$A14)*100,2),"0.00")</f>
        <v>41.0299 ± 27.03</v>
      </c>
      <c r="L14" s="15" t="str">
        <f>TEXT(ROUND(SUMIFS(Sheet1!$D:$D,Sheet1!$C:$C,$C14,Sheet1!$B:$B,L$1,Sheet1!$A:$A,$A14)*100,4),"0.0000") &amp; " ± " &amp; TEXT(ROUND(SUMIFS(Sheet1!$E:$E,Sheet1!$C:$C,$C14,Sheet1!$B:$B,L$1,Sheet1!$A:$A,$A14)*100,2),"0.00")</f>
        <v>49.4503 ± 10.85</v>
      </c>
      <c r="M14" s="16" t="str">
        <f>TEXT(ROUND(SUMIFS(Sheet1!$F:$F,Sheet1!$C:$C,$C14,Sheet1!$B:$B,M$1,Sheet1!$A:$A,$A14)*100,4),"0.0000") &amp; " ± " &amp; TEXT(ROUND(SUMIFS(Sheet1!$G:$G,Sheet1!$C:$C,$C14,Sheet1!$B:$B,M$1,Sheet1!$A:$A,$A14)*100,2),"0.00")</f>
        <v>33.8395 ± 17.87</v>
      </c>
      <c r="N14" s="16" t="str">
        <f>TEXT(ROUND(SUMIFS(Sheet1!$H:$H,Sheet1!$C:$C,$C14,Sheet1!$B:$B,N$1,Sheet1!$A:$A,$A14)*100,4),"0.0000") &amp; " ± " &amp; TEXT(ROUND(SUMIFS(Sheet1!$I:$I,Sheet1!$C:$C,$C14,Sheet1!$B:$B,N$1,Sheet1!$A:$A,$A14)*100,2),"0.00")</f>
        <v>37.3533 ± 20.61</v>
      </c>
      <c r="O14" s="17" t="str">
        <f>TEXT(ROUND(SUMIFS(Sheet1!$J:$J,Sheet1!$C:$C,$C14,Sheet1!$B:$B,O$1,Sheet1!$A:$A,$A14)*100,4),"0.0000") &amp; " ± " &amp; TEXT(ROUND(SUMIFS(Sheet1!$K:$K,Sheet1!$C:$C,$C14,Sheet1!$B:$B,O$1,Sheet1!$A:$A,$A14)*100,2),"0.00")</f>
        <v>35.5592 ± 22.74</v>
      </c>
    </row>
  </sheetData>
  <mergeCells count="10">
    <mergeCell ref="D2:G2"/>
    <mergeCell ref="H2:K2"/>
    <mergeCell ref="L2:O2"/>
    <mergeCell ref="B4:B7"/>
    <mergeCell ref="B11:B14"/>
    <mergeCell ref="B2:B3"/>
    <mergeCell ref="B9:B10"/>
    <mergeCell ref="D9:G9"/>
    <mergeCell ref="H9:K9"/>
    <mergeCell ref="L9:O9"/>
  </mergeCells>
  <conditionalFormatting sqref="D4:O7 D11:G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:K1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:O1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Hanifi</dc:creator>
  <cp:lastModifiedBy>Nikoo Amjadi</cp:lastModifiedBy>
  <dcterms:created xsi:type="dcterms:W3CDTF">2026-06-07T13:23:22Z</dcterms:created>
  <dcterms:modified xsi:type="dcterms:W3CDTF">2026-06-10T06:04:17Z</dcterms:modified>
</cp:coreProperties>
</file>