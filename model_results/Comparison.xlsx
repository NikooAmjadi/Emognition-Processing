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o\Desktop\Thesis\Source\model_results\"/>
    </mc:Choice>
  </mc:AlternateContent>
  <xr:revisionPtr revIDLastSave="0" documentId="13_ncr:1_{2538650F-288F-45A8-A4C3-4F2DAC0E3128}" xr6:coauthVersionLast="47" xr6:coauthVersionMax="47" xr10:uidLastSave="{00000000-0000-0000-0000-000000000000}"/>
  <bookViews>
    <workbookView xWindow="-108" yWindow="-108" windowWidth="23256" windowHeight="12456" activeTab="1" xr2:uid="{A5FF6E23-3576-4FDC-B007-30627E43C8F7}"/>
  </bookViews>
  <sheets>
    <sheet name="DATA" sheetId="1" r:id="rId1"/>
    <sheet name="Results" sheetId="2" r:id="rId2"/>
  </sheets>
  <definedNames>
    <definedName name="_xlnm._FilterDatabase" localSheetId="0" hidden="1">DATA!#REF!</definedName>
    <definedName name="Class">Results!$BZ$2:$CA$4</definedName>
    <definedName name="InputMode">Results!$BR$2:$BS$3</definedName>
    <definedName name="Target">Results!$BT$2:$BU$3</definedName>
    <definedName name="Win">Results!$BP$2:$BQ$10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5" i="2" l="1"/>
  <c r="AD15" i="2"/>
  <c r="V15" i="2"/>
  <c r="N15" i="2"/>
  <c r="F15" i="2"/>
  <c r="AP15" i="2"/>
  <c r="AN15" i="2"/>
  <c r="AJ15" i="2"/>
  <c r="AH15" i="2"/>
  <c r="AF15" i="2"/>
  <c r="AB15" i="2"/>
  <c r="Z15" i="2"/>
  <c r="X15" i="2"/>
  <c r="T15" i="2"/>
  <c r="R15" i="2"/>
  <c r="P15" i="2"/>
  <c r="L15" i="2"/>
  <c r="D15" i="2"/>
  <c r="J15" i="2"/>
  <c r="H15" i="2"/>
  <c r="D12" i="2"/>
  <c r="D6" i="2"/>
  <c r="D4" i="2"/>
  <c r="D2" i="2"/>
  <c r="C16" i="2" l="1"/>
  <c r="C17" i="2"/>
  <c r="C18" i="2"/>
  <c r="C21" i="2"/>
  <c r="C22" i="2"/>
  <c r="C20" i="2"/>
  <c r="C19" i="2"/>
  <c r="D16" i="2" l="1"/>
  <c r="F16" i="2"/>
  <c r="N19" i="2"/>
  <c r="AP19" i="2"/>
  <c r="N20" i="2"/>
  <c r="AP20" i="2"/>
  <c r="N22" i="2"/>
  <c r="AP22" i="2"/>
  <c r="N21" i="2"/>
  <c r="AP21" i="2"/>
  <c r="N18" i="2"/>
  <c r="AP18" i="2"/>
  <c r="N17" i="2"/>
  <c r="AP17" i="2"/>
  <c r="AP16" i="2"/>
  <c r="N16" i="2"/>
  <c r="H16" i="2"/>
  <c r="AJ16" i="2"/>
  <c r="AB16" i="2"/>
  <c r="AN16" i="2"/>
  <c r="J16" i="2"/>
  <c r="X16" i="2"/>
  <c r="P16" i="2"/>
  <c r="T16" i="2"/>
  <c r="Z16" i="2"/>
  <c r="L16" i="2"/>
  <c r="AF16" i="2"/>
  <c r="AH16" i="2"/>
  <c r="R16" i="2"/>
  <c r="AD16" i="2"/>
  <c r="V16" i="2"/>
  <c r="AL16" i="2"/>
  <c r="AL20" i="2"/>
  <c r="L20" i="2"/>
  <c r="AF20" i="2"/>
  <c r="X20" i="2"/>
  <c r="AN20" i="2"/>
  <c r="Z20" i="2"/>
  <c r="AB20" i="2"/>
  <c r="P20" i="2"/>
  <c r="R20" i="2"/>
  <c r="AD20" i="2"/>
  <c r="AJ20" i="2"/>
  <c r="T20" i="2"/>
  <c r="AH20" i="2"/>
  <c r="V20" i="2"/>
  <c r="AJ21" i="2"/>
  <c r="X21" i="2"/>
  <c r="AL21" i="2"/>
  <c r="L21" i="2"/>
  <c r="AD21" i="2"/>
  <c r="AN21" i="2"/>
  <c r="Z21" i="2"/>
  <c r="AB21" i="2"/>
  <c r="P21" i="2"/>
  <c r="AF21" i="2"/>
  <c r="R21" i="2"/>
  <c r="T21" i="2"/>
  <c r="AH21" i="2"/>
  <c r="V21" i="2"/>
  <c r="AB18" i="2"/>
  <c r="P18" i="2"/>
  <c r="V18" i="2"/>
  <c r="AD18" i="2"/>
  <c r="AF18" i="2"/>
  <c r="R18" i="2"/>
  <c r="T18" i="2"/>
  <c r="AH18" i="2"/>
  <c r="Z18" i="2"/>
  <c r="AJ18" i="2"/>
  <c r="X18" i="2"/>
  <c r="AL18" i="2"/>
  <c r="L18" i="2"/>
  <c r="AN18" i="2"/>
  <c r="AH22" i="2"/>
  <c r="V22" i="2"/>
  <c r="AB22" i="2"/>
  <c r="P22" i="2"/>
  <c r="AJ22" i="2"/>
  <c r="X22" i="2"/>
  <c r="AL22" i="2"/>
  <c r="L22" i="2"/>
  <c r="AN22" i="2"/>
  <c r="Z22" i="2"/>
  <c r="T22" i="2"/>
  <c r="AD22" i="2"/>
  <c r="AF22" i="2"/>
  <c r="R22" i="2"/>
  <c r="AD17" i="2"/>
  <c r="AJ17" i="2"/>
  <c r="AF17" i="2"/>
  <c r="R17" i="2"/>
  <c r="P17" i="2"/>
  <c r="T17" i="2"/>
  <c r="AH17" i="2"/>
  <c r="V17" i="2"/>
  <c r="X17" i="2"/>
  <c r="AL17" i="2"/>
  <c r="L17" i="2"/>
  <c r="AN17" i="2"/>
  <c r="Z17" i="2"/>
  <c r="AB17" i="2"/>
  <c r="AN19" i="2"/>
  <c r="Z19" i="2"/>
  <c r="AB19" i="2"/>
  <c r="P19" i="2"/>
  <c r="T19" i="2"/>
  <c r="AD19" i="2"/>
  <c r="AL19" i="2"/>
  <c r="AF19" i="2"/>
  <c r="R19" i="2"/>
  <c r="AH19" i="2"/>
  <c r="V19" i="2"/>
  <c r="AJ19" i="2"/>
  <c r="X19" i="2"/>
  <c r="L19" i="2"/>
  <c r="H22" i="2"/>
  <c r="J22" i="2"/>
  <c r="H21" i="2"/>
  <c r="J21" i="2"/>
  <c r="H19" i="2"/>
  <c r="J19" i="2"/>
  <c r="H20" i="2"/>
  <c r="J20" i="2"/>
  <c r="J18" i="2"/>
  <c r="H18" i="2"/>
  <c r="J17" i="2"/>
  <c r="H17" i="2"/>
  <c r="D22" i="2"/>
  <c r="F22" i="2"/>
  <c r="F21" i="2"/>
  <c r="D21" i="2"/>
  <c r="D18" i="2"/>
  <c r="F18" i="2"/>
  <c r="F17" i="2"/>
  <c r="D17" i="2"/>
  <c r="D19" i="2"/>
  <c r="F19" i="2"/>
  <c r="D20" i="2"/>
  <c r="F20" i="2"/>
  <c r="V24" i="2" l="1"/>
  <c r="AP24" i="2"/>
  <c r="AL24" i="2"/>
  <c r="T24" i="2"/>
  <c r="N24" i="2"/>
  <c r="P24" i="2"/>
  <c r="AD24" i="2"/>
  <c r="X24" i="2"/>
  <c r="R24" i="2"/>
  <c r="J24" i="2"/>
  <c r="AH24" i="2"/>
  <c r="AN24" i="2"/>
  <c r="AF24" i="2"/>
  <c r="AB24" i="2"/>
  <c r="L24" i="2"/>
  <c r="AJ24" i="2"/>
  <c r="F24" i="2"/>
  <c r="Z24" i="2"/>
  <c r="H24" i="2"/>
  <c r="D24" i="2"/>
  <c r="AM22" i="2"/>
  <c r="AE16" i="2"/>
  <c r="AM19" i="2"/>
  <c r="AM21" i="2"/>
  <c r="W16" i="2"/>
  <c r="W18" i="2"/>
  <c r="W21" i="2"/>
  <c r="AE17" i="2"/>
  <c r="AE19" i="2"/>
  <c r="AE22" i="2"/>
  <c r="O21" i="2"/>
  <c r="AM18" i="2"/>
  <c r="AM20" i="2"/>
  <c r="O19" i="2"/>
  <c r="AQ16" i="2"/>
  <c r="AQ22" i="2"/>
  <c r="AQ21" i="2"/>
  <c r="AQ17" i="2"/>
  <c r="AQ20" i="2"/>
  <c r="AQ19" i="2"/>
  <c r="AQ18" i="2"/>
  <c r="W22" i="2"/>
  <c r="O16" i="2"/>
  <c r="O18" i="2"/>
  <c r="W20" i="2"/>
  <c r="AM17" i="2"/>
  <c r="O17" i="2"/>
  <c r="O20" i="2"/>
  <c r="AM16" i="2"/>
  <c r="W17" i="2"/>
  <c r="W19" i="2"/>
  <c r="AE21" i="2"/>
  <c r="AC16" i="2"/>
  <c r="AK17" i="2"/>
  <c r="U22" i="2"/>
  <c r="M21" i="2"/>
  <c r="E19" i="2"/>
  <c r="AK16" i="2"/>
  <c r="U21" i="2"/>
  <c r="M20" i="2"/>
  <c r="E20" i="2"/>
  <c r="AC22" i="2"/>
  <c r="U20" i="2"/>
  <c r="M19" i="2"/>
  <c r="E21" i="2"/>
  <c r="E16" i="2"/>
  <c r="AK18" i="2"/>
  <c r="AC17" i="2"/>
  <c r="E18" i="2"/>
  <c r="AK22" i="2"/>
  <c r="AC21" i="2"/>
  <c r="U19" i="2"/>
  <c r="M18" i="2"/>
  <c r="E22" i="2"/>
  <c r="AK21" i="2"/>
  <c r="AC20" i="2"/>
  <c r="U18" i="2"/>
  <c r="M17" i="2"/>
  <c r="AK20" i="2"/>
  <c r="AC19" i="2"/>
  <c r="U17" i="2"/>
  <c r="M16" i="2"/>
  <c r="AK19" i="2"/>
  <c r="AC18" i="2"/>
  <c r="U16" i="2"/>
  <c r="E17" i="2"/>
  <c r="M22" i="2"/>
  <c r="O22" i="2"/>
  <c r="AE18" i="2"/>
  <c r="AE20" i="2"/>
  <c r="Q19" i="2"/>
  <c r="I16" i="2"/>
  <c r="Y16" i="2"/>
  <c r="I20" i="2"/>
  <c r="Q16" i="2"/>
  <c r="I19" i="2"/>
  <c r="Q20" i="2"/>
  <c r="AO17" i="2"/>
  <c r="AG20" i="2"/>
  <c r="I21" i="2"/>
  <c r="Q17" i="2"/>
  <c r="I22" i="2"/>
  <c r="AO21" i="2"/>
  <c r="Q21" i="2"/>
  <c r="I18" i="2"/>
  <c r="Y17" i="2"/>
  <c r="Y20" i="2"/>
  <c r="Y18" i="2"/>
  <c r="Q18" i="2"/>
  <c r="Y21" i="2"/>
  <c r="AG17" i="2"/>
  <c r="Y22" i="2"/>
  <c r="Q22" i="2"/>
  <c r="AG18" i="2"/>
  <c r="AG21" i="2"/>
  <c r="AG19" i="2"/>
  <c r="Y19" i="2"/>
  <c r="AO16" i="2"/>
  <c r="AG22" i="2"/>
  <c r="AO18" i="2"/>
  <c r="AG16" i="2"/>
  <c r="I17" i="2"/>
  <c r="AO19" i="2"/>
  <c r="AO22" i="2"/>
  <c r="AO20" i="2"/>
  <c r="G16" i="2"/>
  <c r="G21" i="2"/>
  <c r="G17" i="2"/>
  <c r="G19" i="2"/>
  <c r="G20" i="2"/>
  <c r="G18" i="2"/>
  <c r="G22" i="2"/>
  <c r="K17" i="2"/>
  <c r="AI17" i="2"/>
  <c r="AA17" i="2"/>
  <c r="S17" i="2"/>
  <c r="K18" i="2"/>
  <c r="AI18" i="2"/>
  <c r="AA18" i="2"/>
  <c r="S18" i="2"/>
  <c r="AI16" i="2"/>
  <c r="AA16" i="2"/>
  <c r="S16" i="2"/>
  <c r="K16" i="2"/>
  <c r="K19" i="2"/>
  <c r="AI19" i="2"/>
  <c r="AA19" i="2"/>
  <c r="S19" i="2"/>
  <c r="K20" i="2"/>
  <c r="S20" i="2"/>
  <c r="AI20" i="2"/>
  <c r="AA20" i="2"/>
  <c r="S21" i="2"/>
  <c r="AA21" i="2"/>
  <c r="K21" i="2"/>
  <c r="AI21" i="2"/>
  <c r="AA22" i="2"/>
  <c r="S22" i="2"/>
  <c r="K22" i="2"/>
  <c r="AI22" i="2"/>
  <c r="M24" i="2" l="1"/>
  <c r="AK24" i="2"/>
  <c r="AM24" i="2"/>
  <c r="W24" i="2"/>
  <c r="K24" i="2"/>
  <c r="S24" i="2"/>
  <c r="G24" i="2"/>
  <c r="AO24" i="2"/>
  <c r="AE24" i="2"/>
  <c r="E24" i="2"/>
  <c r="Q24" i="2"/>
  <c r="AI24" i="2"/>
  <c r="Y24" i="2"/>
  <c r="U24" i="2"/>
  <c r="AC24" i="2"/>
  <c r="AG24" i="2"/>
  <c r="I24" i="2"/>
  <c r="AA24" i="2"/>
  <c r="O24" i="2"/>
</calcChain>
</file>

<file path=xl/sharedStrings.xml><?xml version="1.0" encoding="utf-8"?>
<sst xmlns="http://schemas.openxmlformats.org/spreadsheetml/2006/main" count="6939" uniqueCount="1280">
  <si>
    <t>experiment_id</t>
  </si>
  <si>
    <t>input_id</t>
  </si>
  <si>
    <t>target</t>
  </si>
  <si>
    <t>input_mode</t>
  </si>
  <si>
    <t>representation</t>
  </si>
  <si>
    <t>model</t>
  </si>
  <si>
    <t>subjects_total</t>
  </si>
  <si>
    <t>outer_folds_run</t>
  </si>
  <si>
    <t>complete_loso</t>
  </si>
  <si>
    <t>quick_grid</t>
  </si>
  <si>
    <t>n_samples</t>
  </si>
  <si>
    <t>accuracy</t>
  </si>
  <si>
    <t>mcc</t>
  </si>
  <si>
    <t>tn</t>
  </si>
  <si>
    <t>fp</t>
  </si>
  <si>
    <t>fn</t>
  </si>
  <si>
    <t>tp</t>
  </si>
  <si>
    <t>roc_auc</t>
  </si>
  <si>
    <t>average_precision</t>
  </si>
  <si>
    <t>bootstrap_repeats</t>
  </si>
  <si>
    <t>accuracy_ci_low</t>
  </si>
  <si>
    <t>accuracy_ci_high</t>
  </si>
  <si>
    <t>mcc_ci_low</t>
  </si>
  <si>
    <t>mcc_ci_high</t>
  </si>
  <si>
    <t>emognition_features_w60_o30</t>
  </si>
  <si>
    <t>valence</t>
  </si>
  <si>
    <t>windowed</t>
  </si>
  <si>
    <t>hc</t>
  </si>
  <si>
    <t>svm</t>
  </si>
  <si>
    <t>rf</t>
  </si>
  <si>
    <t>knn</t>
  </si>
  <si>
    <t>xgboost</t>
  </si>
  <si>
    <t>nvg</t>
  </si>
  <si>
    <t>hvg</t>
  </si>
  <si>
    <t>hc+nvg</t>
  </si>
  <si>
    <t>hc+hvg</t>
  </si>
  <si>
    <t>aggregated</t>
  </si>
  <si>
    <t>arousal</t>
  </si>
  <si>
    <t>Window / Overlap</t>
  </si>
  <si>
    <t>Input Mode</t>
  </si>
  <si>
    <t>KNN</t>
  </si>
  <si>
    <t>SVM</t>
  </si>
  <si>
    <t>XGBoost</t>
  </si>
  <si>
    <t>MLP</t>
  </si>
  <si>
    <t>GCN</t>
  </si>
  <si>
    <t>GAT</t>
  </si>
  <si>
    <t>Win</t>
  </si>
  <si>
    <t>Mode</t>
  </si>
  <si>
    <t>HC</t>
  </si>
  <si>
    <t>NVG</t>
  </si>
  <si>
    <t>HVG</t>
  </si>
  <si>
    <t>RF</t>
  </si>
  <si>
    <t>#</t>
  </si>
  <si>
    <t>Target</t>
  </si>
  <si>
    <t>IsM</t>
  </si>
  <si>
    <t>HC+NVG</t>
  </si>
  <si>
    <t>HC+HVG</t>
  </si>
  <si>
    <t>Model</t>
  </si>
  <si>
    <t>Type</t>
  </si>
  <si>
    <t>input/model</t>
  </si>
  <si>
    <t>Best Comparison</t>
  </si>
  <si>
    <t>Color Scale</t>
  </si>
  <si>
    <t>Color scale</t>
  </si>
  <si>
    <t>no</t>
  </si>
  <si>
    <t>best overall</t>
  </si>
  <si>
    <t>Classification</t>
  </si>
  <si>
    <t>binary</t>
  </si>
  <si>
    <t>ternary</t>
  </si>
  <si>
    <t>regression</t>
  </si>
  <si>
    <t>dataset_id</t>
  </si>
  <si>
    <t>task_kind</t>
  </si>
  <si>
    <t>candidate_id</t>
  </si>
  <si>
    <t>candidate_order</t>
  </si>
  <si>
    <t>evaluation_unit</t>
  </si>
  <si>
    <t>total_candidate_count</t>
  </si>
  <si>
    <t>common_trial_count</t>
  </si>
  <si>
    <t>primary_metric</t>
  </si>
  <si>
    <t>primary_score</t>
  </si>
  <si>
    <t>primary_evaluable_subjects</t>
  </si>
  <si>
    <t>primary_excluded_subjects</t>
  </si>
  <si>
    <t>best_parameter_counts_json</t>
  </si>
  <si>
    <t>most_frequent_parameters_json</t>
  </si>
  <si>
    <t>parameter_stability_fraction</t>
  </si>
  <si>
    <t>inner_fit_seconds</t>
  </si>
  <si>
    <t>outer_fit_seconds</t>
  </si>
  <si>
    <t>target_run_seconds</t>
  </si>
  <si>
    <t>classes_observed</t>
  </si>
  <si>
    <t>balanced_accuracy</t>
  </si>
  <si>
    <t>macro_precision</t>
  </si>
  <si>
    <t>macro_recall</t>
  </si>
  <si>
    <t>macro_f1</t>
  </si>
  <si>
    <t>confusion_matrix_json</t>
  </si>
  <si>
    <t>support__low</t>
  </si>
  <si>
    <t>precision__low</t>
  </si>
  <si>
    <t>recall__low</t>
  </si>
  <si>
    <t>f1__low</t>
  </si>
  <si>
    <t>support__high</t>
  </si>
  <si>
    <t>precision__high</t>
  </si>
  <si>
    <t>recall__high</t>
  </si>
  <si>
    <t>f1__high</t>
  </si>
  <si>
    <t>balanced_accuracy_ci_low</t>
  </si>
  <si>
    <t>balanced_accuracy_ci_high</t>
  </si>
  <si>
    <t>macro_f1_ci_low</t>
  </si>
  <si>
    <t>macro_f1_ci_high</t>
  </si>
  <si>
    <t>primary_score_bootstrap_valid_repeats</t>
  </si>
  <si>
    <t>primary_score_ci_low</t>
  </si>
  <si>
    <t>primary_score_ci_high</t>
  </si>
  <si>
    <t>primary_rank_within_target</t>
  </si>
  <si>
    <t>nested__physiological_features__valence__binary__knn__windowed__hc__emognition_features_w60_o30</t>
  </si>
  <si>
    <t>physiological_features</t>
  </si>
  <si>
    <t>knn__windowed__hc__emognition_features_w60_o30</t>
  </si>
  <si>
    <t>trial</t>
  </si>
  <si>
    <t>subject_class_macro_recall</t>
  </si>
  <si>
    <t>{"{\"clf__n_neighbors\": 3, \"clf__p\": 2, \"clf__weights\": \"distance\"}": 15, "{\"clf__n_neighbors\": 5, \"clf__p\": 2, \"clf__weights\": \"distance\"}": 14, "{\"clf__n_neighbors\": 9, \"clf__p\": 2, \"clf__weights\": \"distance\"}": 11, "{\"clf__n_neighbors\": 9, \"clf__p\": 2, \"clf__weights\": \"uniform\"}": 2}</t>
  </si>
  <si>
    <t>{"clf__n_neighbors": 3, "clf__p": 2, "clf__weights": "distance"}</t>
  </si>
  <si>
    <t>[[67, 73], [88, 76]]</t>
  </si>
  <si>
    <t>nested__physiological_features__valence__binary__knn__windowed__nvg__emognition_features_w60_o30</t>
  </si>
  <si>
    <t>knn__windowed__nvg__emognition_features_w60_o30</t>
  </si>
  <si>
    <t>{"{\"clf__n_neighbors\": 3, \"clf__p\": 2, \"clf__weights\": \"distance\"}": 6, "{\"clf__n_neighbors\": 3, \"clf__p\": 2, \"clf__weights\": \"uniform\"}": 1, "{\"clf__n_neighbors\": 5, \"clf__p\": 2, \"clf__weights\": \"distance\"}": 8, "{\"clf__n_neighbors\": 5, \"clf__p\": 2, \"clf__weights\": \"uniform\"}": 2, "{\"clf__n_neighbors\": 9, \"clf__p\": 2, \"clf__weights\": \"distance\"}": 19, "{\"clf__n_neighbors\": 9, \"clf__p\": 2, \"clf__weights\": \"uniform\"}": 6}</t>
  </si>
  <si>
    <t>{"clf__n_neighbors": 9, "clf__p": 2, "clf__weights": "distance"}</t>
  </si>
  <si>
    <t>[[67, 73], [71, 93]]</t>
  </si>
  <si>
    <t>nested__physiological_features__valence__binary__knn__windowed__hvg__emognition_features_w60_o30</t>
  </si>
  <si>
    <t>knn__windowed__hvg__emognition_features_w60_o30</t>
  </si>
  <si>
    <t>{"{\"clf__n_neighbors\": 3, \"clf__p\": 2, \"clf__weights\": \"distance\"}": 18, "{\"clf__n_neighbors\": 3, \"clf__p\": 2, \"clf__weights\": \"uniform\"}": 3, "{\"clf__n_neighbors\": 5, \"clf__p\": 2, \"clf__weights\": \"distance\"}": 7, "{\"clf__n_neighbors\": 5, \"clf__p\": 2, \"clf__weights\": \"uniform\"}": 2, "{\"clf__n_neighbors\": 9, \"clf__p\": 2, \"clf__weights\": \"distance\"}": 10, "{\"clf__n_neighbors\": 9, \"clf__p\": 2, \"clf__weights\": \"uniform\"}": 2}</t>
  </si>
  <si>
    <t>[[52, 88], [66, 98]]</t>
  </si>
  <si>
    <t>nested__physiological_features__valence__binary__knn__windowed__hc+nvg__emognition_features_w60_o30</t>
  </si>
  <si>
    <t>knn__windowed__hc+nvg__emognition_features_w60_o30</t>
  </si>
  <si>
    <t>{"{\"clf__n_neighbors\": 3, \"clf__p\": 2, \"clf__weights\": \"distance\"}": 4, "{\"clf__n_neighbors\": 3, \"clf__p\": 2, \"clf__weights\": \"uniform\"}": 2, "{\"clf__n_neighbors\": 5, \"clf__p\": 2, \"clf__weights\": \"distance\"}": 8, "{\"clf__n_neighbors\": 9, \"clf__p\": 2, \"clf__weights\": \"distance\"}": 25, "{\"clf__n_neighbors\": 9, \"clf__p\": 2, \"clf__weights\": \"uniform\"}": 3}</t>
  </si>
  <si>
    <t>[[69, 71], [77, 87]]</t>
  </si>
  <si>
    <t>nested__physiological_features__valence__binary__knn__windowed__hc+hvg__emognition_features_w60_o30</t>
  </si>
  <si>
    <t>knn__windowed__hc+hvg__emognition_features_w60_o30</t>
  </si>
  <si>
    <t>{"{\"clf__n_neighbors\": 3, \"clf__p\": 2, \"clf__weights\": \"distance\"}": 20, "{\"clf__n_neighbors\": 5, \"clf__p\": 2, \"clf__weights\": \"distance\"}": 7, "{\"clf__n_neighbors\": 9, \"clf__p\": 2, \"clf__weights\": \"distance\"}": 11, "{\"clf__n_neighbors\": 9, \"clf__p\": 2, \"clf__weights\": \"uniform\"}": 4}</t>
  </si>
  <si>
    <t>[[53, 87], [80, 84]]</t>
  </si>
  <si>
    <t>nested__physiological_features__valence__binary__knn__aggregated__hc__emognition_features_w60_o30</t>
  </si>
  <si>
    <t>knn__aggregated__hc__emognition_features_w60_o30</t>
  </si>
  <si>
    <t>{"{\"clf__n_neighbors\": 3, \"clf__p\": 2, \"clf__weights\": \"uniform\"}": 16, "{\"clf__n_neighbors\": 5, \"clf__p\": 2, \"clf__weights\": \"distance\"}": 5, "{\"clf__n_neighbors\": 5, \"clf__p\": 2, \"clf__weights\": \"uniform\"}": 10, "{\"clf__n_neighbors\": 9, \"clf__p\": 2, \"clf__weights\": \"distance\"}": 2, "{\"clf__n_neighbors\": 9, \"clf__p\": 2, \"clf__weights\": \"uniform\"}": 9}</t>
  </si>
  <si>
    <t>{"clf__n_neighbors": 3, "clf__p": 2, "clf__weights": "uniform"}</t>
  </si>
  <si>
    <t>[[72, 68], [80, 84]]</t>
  </si>
  <si>
    <t>nested__physiological_features__valence__binary__knn__aggregated__nvg__emognition_features_w60_o30</t>
  </si>
  <si>
    <t>knn__aggregated__nvg__emognition_features_w60_o30</t>
  </si>
  <si>
    <t>{"{\"clf__n_neighbors\": 3, \"clf__p\": 2, \"clf__weights\": \"uniform\"}": 13, "{\"clf__n_neighbors\": 5, \"clf__p\": 2, \"clf__weights\": \"uniform\"}": 5, "{\"clf__n_neighbors\": 9, \"clf__p\": 2, \"clf__weights\": \"distance\"}": 5, "{\"clf__n_neighbors\": 9, \"clf__p\": 2, \"clf__weights\": \"uniform\"}": 19}</t>
  </si>
  <si>
    <t>{"clf__n_neighbors": 9, "clf__p": 2, "clf__weights": "uniform"}</t>
  </si>
  <si>
    <t>[[78, 62], [75, 89]]</t>
  </si>
  <si>
    <t>nested__physiological_features__valence__binary__knn__aggregated__hvg__emognition_features_w60_o30</t>
  </si>
  <si>
    <t>knn__aggregated__hvg__emognition_features_w60_o30</t>
  </si>
  <si>
    <t>{"{\"clf__n_neighbors\": 3, \"clf__p\": 2, \"clf__weights\": \"uniform\"}": 10, "{\"clf__n_neighbors\": 5, \"clf__p\": 2, \"clf__weights\": \"distance\"}": 1, "{\"clf__n_neighbors\": 5, \"clf__p\": 2, \"clf__weights\": \"uniform\"}": 15, "{\"clf__n_neighbors\": 9, \"clf__p\": 2, \"clf__weights\": \"distance\"}": 3, "{\"clf__n_neighbors\": 9, \"clf__p\": 2, \"clf__weights\": \"uniform\"}": 13}</t>
  </si>
  <si>
    <t>{"clf__n_neighbors": 5, "clf__p": 2, "clf__weights": "uniform"}</t>
  </si>
  <si>
    <t>[[62, 78], [66, 98]]</t>
  </si>
  <si>
    <t>nested__physiological_features__valence__binary__knn__aggregated__hc+nvg__emognition_features_w60_o30</t>
  </si>
  <si>
    <t>knn__aggregated__hc+nvg__emognition_features_w60_o30</t>
  </si>
  <si>
    <t>{"{\"clf__n_neighbors\": 3, \"clf__p\": 2, \"clf__weights\": \"uniform\"}": 17, "{\"clf__n_neighbors\": 5, \"clf__p\": 2, \"clf__weights\": \"distance\"}": 1, "{\"clf__n_neighbors\": 5, \"clf__p\": 2, \"clf__weights\": \"uniform\"}": 5, "{\"clf__n_neighbors\": 9, \"clf__p\": 2, \"clf__weights\": \"distance\"}": 4, "{\"clf__n_neighbors\": 9, \"clf__p\": 2, \"clf__weights\": \"uniform\"}": 15}</t>
  </si>
  <si>
    <t>[[66, 74], [69, 95]]</t>
  </si>
  <si>
    <t>nested__physiological_features__valence__binary__knn__aggregated__hc+hvg__emognition_features_w60_o30</t>
  </si>
  <si>
    <t>knn__aggregated__hc+hvg__emognition_features_w60_o30</t>
  </si>
  <si>
    <t>{"{\"clf__n_neighbors\": 3, \"clf__p\": 2, \"clf__weights\": \"uniform\"}": 12, "{\"clf__n_neighbors\": 5, \"clf__p\": 2, \"clf__weights\": \"uniform\"}": 7, "{\"clf__n_neighbors\": 9, \"clf__p\": 2, \"clf__weights\": \"distance\"}": 7, "{\"clf__n_neighbors\": 9, \"clf__p\": 2, \"clf__weights\": \"uniform\"}": 16}</t>
  </si>
  <si>
    <t>[[61, 79], [61, 103]]</t>
  </si>
  <si>
    <t>nested__physiological_features__arousal__binary__knn__windowed__hc__emognition_features_w60_o30</t>
  </si>
  <si>
    <t>{"{\"clf__n_neighbors\": 3, \"clf__p\": 2, \"clf__weights\": \"distance\"}": 5, "{\"clf__n_neighbors\": 3, \"clf__p\": 2, \"clf__weights\": \"uniform\"}": 6, "{\"clf__n_neighbors\": 5, \"clf__p\": 2, \"clf__weights\": \"distance\"}": 4, "{\"clf__n_neighbors\": 5, \"clf__p\": 2, \"clf__weights\": \"uniform\"}": 13, "{\"clf__n_neighbors\": 9, \"clf__p\": 2, \"clf__weights\": \"distance\"}": 5, "{\"clf__n_neighbors\": 9, \"clf__p\": 2, \"clf__weights\": \"uniform\"}": 9}</t>
  </si>
  <si>
    <t>[[77, 74], [92, 35]]</t>
  </si>
  <si>
    <t>nested__physiological_features__arousal__binary__knn__windowed__nvg__emognition_features_w60_o30</t>
  </si>
  <si>
    <t>{"{\"clf__n_neighbors\": 3, \"clf__p\": 2, \"clf__weights\": \"distance\"}": 1, "{\"clf__n_neighbors\": 3, \"clf__p\": 2, \"clf__weights\": \"uniform\"}": 12, "{\"clf__n_neighbors\": 5, \"clf__p\": 2, \"clf__weights\": \"uniform\"}": 8, "{\"clf__n_neighbors\": 9, \"clf__p\": 2, \"clf__weights\": \"distance\"}": 3, "{\"clf__n_neighbors\": 9, \"clf__p\": 2, \"clf__weights\": \"uniform\"}": 18}</t>
  </si>
  <si>
    <t>[[88, 63], [85, 42]]</t>
  </si>
  <si>
    <t>nested__physiological_features__arousal__binary__knn__windowed__hvg__emognition_features_w60_o30</t>
  </si>
  <si>
    <t>{"{\"clf__n_neighbors\": 3, \"clf__p\": 2, \"clf__weights\": \"distance\"}": 9, "{\"clf__n_neighbors\": 3, \"clf__p\": 2, \"clf__weights\": \"uniform\"}": 8, "{\"clf__n_neighbors\": 5, \"clf__p\": 2, \"clf__weights\": \"distance\"}": 2, "{\"clf__n_neighbors\": 5, \"clf__p\": 2, \"clf__weights\": \"uniform\"}": 7, "{\"clf__n_neighbors\": 9, \"clf__p\": 2, \"clf__weights\": \"distance\"}": 2, "{\"clf__n_neighbors\": 9, \"clf__p\": 2, \"clf__weights\": \"uniform\"}": 14}</t>
  </si>
  <si>
    <t>[[92, 59], [77, 50]]</t>
  </si>
  <si>
    <t>nested__physiological_features__arousal__binary__knn__windowed__hc+nvg__emognition_features_w60_o30</t>
  </si>
  <si>
    <t>{"{\"clf__n_neighbors\": 3, \"clf__p\": 2, \"clf__weights\": \"distance\"}": 3, "{\"clf__n_neighbors\": 3, \"clf__p\": 2, \"clf__weights\": \"uniform\"}": 12, "{\"clf__n_neighbors\": 5, \"clf__p\": 2, \"clf__weights\": \"distance\"}": 2, "{\"clf__n_neighbors\": 5, \"clf__p\": 2, \"clf__weights\": \"uniform\"}": 10, "{\"clf__n_neighbors\": 9, \"clf__p\": 2, \"clf__weights\": \"distance\"}": 3, "{\"clf__n_neighbors\": 9, \"clf__p\": 2, \"clf__weights\": \"uniform\"}": 12}</t>
  </si>
  <si>
    <t>[[98, 53], [87, 40]]</t>
  </si>
  <si>
    <t>nested__physiological_features__arousal__binary__knn__windowed__hc+hvg__emognition_features_w60_o30</t>
  </si>
  <si>
    <t>{"{\"clf__n_neighbors\": 3, \"clf__p\": 2, \"clf__weights\": \"distance\"}": 1, "{\"clf__n_neighbors\": 3, \"clf__p\": 2, \"clf__weights\": \"uniform\"}": 14, "{\"clf__n_neighbors\": 5, \"clf__p\": 2, \"clf__weights\": \"uniform\"}": 15, "{\"clf__n_neighbors\": 9, \"clf__p\": 2, \"clf__weights\": \"distance\"}": 3, "{\"clf__n_neighbors\": 9, \"clf__p\": 2, \"clf__weights\": \"uniform\"}": 9}</t>
  </si>
  <si>
    <t>[[91, 60], [89, 38]]</t>
  </si>
  <si>
    <t>nested__physiological_features__arousal__binary__knn__aggregated__hc__emognition_features_w60_o30</t>
  </si>
  <si>
    <t>{"{\"clf__n_neighbors\": 3, \"clf__p\": 2, \"clf__weights\": \"uniform\"}": 8, "{\"clf__n_neighbors\": 5, \"clf__p\": 2, \"clf__weights\": \"uniform\"}": 14, "{\"clf__n_neighbors\": 9, \"clf__p\": 2, \"clf__weights\": \"distance\"}": 3, "{\"clf__n_neighbors\": 9, \"clf__p\": 2, \"clf__weights\": \"uniform\"}": 17}</t>
  </si>
  <si>
    <t>[[78, 73], [82, 45]]</t>
  </si>
  <si>
    <t>nested__physiological_features__arousal__binary__knn__aggregated__nvg__emognition_features_w60_o30</t>
  </si>
  <si>
    <t>{"{\"clf__n_neighbors\": 3, \"clf__p\": 2, \"clf__weights\": \"uniform\"}": 8, "{\"clf__n_neighbors\": 5, \"clf__p\": 2, \"clf__weights\": \"uniform\"}": 14, "{\"clf__n_neighbors\": 9, \"clf__p\": 2, \"clf__weights\": \"distance\"}": 1, "{\"clf__n_neighbors\": 9, \"clf__p\": 2, \"clf__weights\": \"uniform\"}": 19}</t>
  </si>
  <si>
    <t>[[89, 62], [73, 54]]</t>
  </si>
  <si>
    <t>nested__physiological_features__arousal__binary__knn__aggregated__hvg__emognition_features_w60_o30</t>
  </si>
  <si>
    <t>{"{\"clf__n_neighbors\": 3, \"clf__p\": 2, \"clf__weights\": \"uniform\"}": 19, "{\"clf__n_neighbors\": 5, \"clf__p\": 2, \"clf__weights\": \"uniform\"}": 7, "{\"clf__n_neighbors\": 9, \"clf__p\": 2, \"clf__weights\": \"distance\"}": 3, "{\"clf__n_neighbors\": 9, \"clf__p\": 2, \"clf__weights\": \"uniform\"}": 13}</t>
  </si>
  <si>
    <t>[[73, 78], [73, 54]]</t>
  </si>
  <si>
    <t>nested__physiological_features__arousal__binary__knn__aggregated__hc+nvg__emognition_features_w60_o30</t>
  </si>
  <si>
    <t>{"{\"clf__n_neighbors\": 3, \"clf__p\": 2, \"clf__weights\": \"uniform\"}": 6, "{\"clf__n_neighbors\": 5, \"clf__p\": 2, \"clf__weights\": \"uniform\"}": 15, "{\"clf__n_neighbors\": 9, \"clf__p\": 2, \"clf__weights\": \"uniform\"}": 21}</t>
  </si>
  <si>
    <t>[[93, 58], [70, 57]]</t>
  </si>
  <si>
    <t>nested__physiological_features__arousal__binary__knn__aggregated__hc+hvg__emognition_features_w60_o30</t>
  </si>
  <si>
    <t>{"{\"clf__n_neighbors\": 3, \"clf__p\": 2, \"clf__weights\": \"uniform\"}": 8, "{\"clf__n_neighbors\": 5, \"clf__p\": 2, \"clf__weights\": \"uniform\"}": 10, "{\"clf__n_neighbors\": 9, \"clf__p\": 2, \"clf__weights\": \"uniform\"}": 24}</t>
  </si>
  <si>
    <t>[[78, 73], [83, 44]]</t>
  </si>
  <si>
    <t>nested__physiological_features__valence__ternary__knn__windowed__hc__emognition_features_w60_o30</t>
  </si>
  <si>
    <t>{"{\"clf__n_neighbors\": 3, \"clf__p\": 2, \"clf__weights\": \"distance\"}": 4, "{\"clf__n_neighbors\": 3, \"clf__p\": 2, \"clf__weights\": \"uniform\"}": 5, "{\"clf__n_neighbors\": 5, \"clf__p\": 2, \"clf__weights\": \"distance\"}": 4, "{\"clf__n_neighbors\": 5, \"clf__p\": 2, \"clf__weights\": \"uniform\"}": 7, "{\"clf__n_neighbors\": 9, \"clf__p\": 2, \"clf__weights\": \"distance\"}": 7, "{\"clf__n_neighbors\": 9, \"clf__p\": 2, \"clf__weights\": \"uniform\"}": 15}</t>
  </si>
  <si>
    <t>[[39, 30, 35], [37, 34, 38], [43, 37, 39]]</t>
  </si>
  <si>
    <t>nested__physiological_features__valence__ternary__knn__windowed__nvg__emognition_features_w60_o30</t>
  </si>
  <si>
    <t>{"{\"clf__n_neighbors\": 3, \"clf__p\": 2, \"clf__weights\": \"distance\"}": 2, "{\"clf__n_neighbors\": 3, \"clf__p\": 2, \"clf__weights\": \"uniform\"}": 7, "{\"clf__n_neighbors\": 5, \"clf__p\": 2, \"clf__weights\": \"distance\"}": 4, "{\"clf__n_neighbors\": 5, \"clf__p\": 2, \"clf__weights\": \"uniform\"}": 8, "{\"clf__n_neighbors\": 9, \"clf__p\": 2, \"clf__weights\": \"distance\"}": 9, "{\"clf__n_neighbors\": 9, \"clf__p\": 2, \"clf__weights\": \"uniform\"}": 12}</t>
  </si>
  <si>
    <t>[[46, 26, 32], [35, 28, 46], [38, 37, 44]]</t>
  </si>
  <si>
    <t>nested__physiological_features__valence__ternary__knn__windowed__hvg__emognition_features_w60_o30</t>
  </si>
  <si>
    <t>{"{\"clf__n_neighbors\": 3, \"clf__p\": 2, \"clf__weights\": \"distance\"}": 4, "{\"clf__n_neighbors\": 3, \"clf__p\": 2, \"clf__weights\": \"uniform\"}": 13, "{\"clf__n_neighbors\": 5, \"clf__p\": 2, \"clf__weights\": \"distance\"}": 10, "{\"clf__n_neighbors\": 5, \"clf__p\": 2, \"clf__weights\": \"uniform\"}": 5, "{\"clf__n_neighbors\": 9, \"clf__p\": 2, \"clf__weights\": \"distance\"}": 5, "{\"clf__n_neighbors\": 9, \"clf__p\": 2, \"clf__weights\": \"uniform\"}": 5}</t>
  </si>
  <si>
    <t>[[34, 32, 38], [40, 30, 39], [45, 27, 47]]</t>
  </si>
  <si>
    <t>nested__physiological_features__valence__ternary__knn__windowed__hc+nvg__emognition_features_w60_o30</t>
  </si>
  <si>
    <t>{"{\"clf__n_neighbors\": 3, \"clf__p\": 2, \"clf__weights\": \"distance\"}": 6, "{\"clf__n_neighbors\": 3, \"clf__p\": 2, \"clf__weights\": \"uniform\"}": 6, "{\"clf__n_neighbors\": 5, \"clf__p\": 2, \"clf__weights\": \"distance\"}": 5, "{\"clf__n_neighbors\": 5, \"clf__p\": 2, \"clf__weights\": \"uniform\"}": 9, "{\"clf__n_neighbors\": 9, \"clf__p\": 2, \"clf__weights\": \"distance\"}": 9, "{\"clf__n_neighbors\": 9, \"clf__p\": 2, \"clf__weights\": \"uniform\"}": 7}</t>
  </si>
  <si>
    <t>[[47, 25, 32], [41, 29, 39], [40, 39, 40]]</t>
  </si>
  <si>
    <t>nested__physiological_features__valence__ternary__knn__windowed__hc+hvg__emognition_features_w60_o30</t>
  </si>
  <si>
    <t>{"{\"clf__n_neighbors\": 3, \"clf__p\": 2, \"clf__weights\": \"distance\"}": 13, "{\"clf__n_neighbors\": 3, \"clf__p\": 2, \"clf__weights\": \"uniform\"}": 3, "{\"clf__n_neighbors\": 5, \"clf__p\": 2, \"clf__weights\": \"distance\"}": 6, "{\"clf__n_neighbors\": 5, \"clf__p\": 2, \"clf__weights\": \"uniform\"}": 7, "{\"clf__n_neighbors\": 9, \"clf__p\": 2, \"clf__weights\": \"distance\"}": 4, "{\"clf__n_neighbors\": 9, \"clf__p\": 2, \"clf__weights\": \"uniform\"}": 9}</t>
  </si>
  <si>
    <t>[[32, 28, 44], [41, 28, 40], [46, 26, 47]]</t>
  </si>
  <si>
    <t>nested__physiological_features__valence__ternary__knn__aggregated__hc__emognition_features_w60_o30</t>
  </si>
  <si>
    <t>{"{\"clf__n_neighbors\": 3, \"clf__p\": 2, \"clf__weights\": \"distance\"}": 6, "{\"clf__n_neighbors\": 3, \"clf__p\": 2, \"clf__weights\": \"uniform\"}": 14, "{\"clf__n_neighbors\": 5, \"clf__p\": 2, \"clf__weights\": \"distance\"}": 2, "{\"clf__n_neighbors\": 5, \"clf__p\": 2, \"clf__weights\": \"uniform\"}": 9, "{\"clf__n_neighbors\": 9, \"clf__p\": 2, \"clf__weights\": \"distance\"}": 5, "{\"clf__n_neighbors\": 9, \"clf__p\": 2, \"clf__weights\": \"uniform\"}": 6}</t>
  </si>
  <si>
    <t>[[47, 26, 31], [53, 23, 33], [41, 38, 40]]</t>
  </si>
  <si>
    <t>nested__physiological_features__valence__ternary__knn__aggregated__nvg__emognition_features_w60_o30</t>
  </si>
  <si>
    <t>{"{\"clf__n_neighbors\": 3, \"clf__p\": 2, \"clf__weights\": \"distance\"}": 10, "{\"clf__n_neighbors\": 3, \"clf__p\": 2, \"clf__weights\": \"uniform\"}": 6, "{\"clf__n_neighbors\": 5, \"clf__p\": 2, \"clf__weights\": \"distance\"}": 14, "{\"clf__n_neighbors\": 5, \"clf__p\": 2, \"clf__weights\": \"uniform\"}": 2, "{\"clf__n_neighbors\": 9, \"clf__p\": 2, \"clf__weights\": \"distance\"}": 6, "{\"clf__n_neighbors\": 9, \"clf__p\": 2, \"clf__weights\": \"uniform\"}": 4}</t>
  </si>
  <si>
    <t>{"clf__n_neighbors": 5, "clf__p": 2, "clf__weights": "distance"}</t>
  </si>
  <si>
    <t>[[48, 30, 26], [43, 38, 28], [38, 45, 36]]</t>
  </si>
  <si>
    <t>nested__physiological_features__valence__ternary__knn__aggregated__hvg__emognition_features_w60_o30</t>
  </si>
  <si>
    <t>{"{\"clf__n_neighbors\": 3, \"clf__p\": 2, \"clf__weights\": \"distance\"}": 1, "{\"clf__n_neighbors\": 3, \"clf__p\": 2, \"clf__weights\": \"uniform\"}": 3, "{\"clf__n_neighbors\": 5, \"clf__p\": 2, \"clf__weights\": \"distance\"}": 3, "{\"clf__n_neighbors\": 5, \"clf__p\": 2, \"clf__weights\": \"uniform\"}": 15, "{\"clf__n_neighbors\": 9, \"clf__p\": 2, \"clf__weights\": \"distance\"}": 4, "{\"clf__n_neighbors\": 9, \"clf__p\": 2, \"clf__weights\": \"uniform\"}": 16}</t>
  </si>
  <si>
    <t>[[47, 29, 28], [50, 22, 37], [40, 23, 56]]</t>
  </si>
  <si>
    <t>nested__physiological_features__valence__ternary__knn__aggregated__hc+nvg__emognition_features_w60_o30</t>
  </si>
  <si>
    <t>{"{\"clf__n_neighbors\": 3, \"clf__p\": 2, \"clf__weights\": \"distance\"}": 14, "{\"clf__n_neighbors\": 3, \"clf__p\": 2, \"clf__weights\": \"uniform\"}": 7, "{\"clf__n_neighbors\": 5, \"clf__p\": 2, \"clf__weights\": \"distance\"}": 3, "{\"clf__n_neighbors\": 5, \"clf__p\": 2, \"clf__weights\": \"uniform\"}": 6, "{\"clf__n_neighbors\": 9, \"clf__p\": 2, \"clf__weights\": \"distance\"}": 5, "{\"clf__n_neighbors\": 9, \"clf__p\": 2, \"clf__weights\": \"uniform\"}": 7}</t>
  </si>
  <si>
    <t>[[49, 19, 36], [49, 24, 36], [42, 33, 44]]</t>
  </si>
  <si>
    <t>nested__physiological_features__valence__ternary__knn__aggregated__hc+hvg__emognition_features_w60_o30</t>
  </si>
  <si>
    <t>{"{\"clf__n_neighbors\": 3, \"clf__p\": 2, \"clf__weights\": \"distance\"}": 12, "{\"clf__n_neighbors\": 3, \"clf__p\": 2, \"clf__weights\": \"uniform\"}": 3, "{\"clf__n_neighbors\": 5, \"clf__p\": 2, \"clf__weights\": \"distance\"}": 9, "{\"clf__n_neighbors\": 5, \"clf__p\": 2, \"clf__weights\": \"uniform\"}": 8, "{\"clf__n_neighbors\": 9, \"clf__p\": 2, \"clf__weights\": \"distance\"}": 8, "{\"clf__n_neighbors\": 9, \"clf__p\": 2, \"clf__weights\": \"uniform\"}": 2}</t>
  </si>
  <si>
    <t>[[44, 28, 32], [38, 26, 45], [41, 31, 47]]</t>
  </si>
  <si>
    <t>nested__physiological_features__arousal__ternary__knn__windowed__hc__emognition_features_w60_o30</t>
  </si>
  <si>
    <t>{"{\"clf__n_neighbors\": 3, \"clf__p\": 2, \"clf__weights\": \"distance\"}": 15, "{\"clf__n_neighbors\": 3, \"clf__p\": 2, \"clf__weights\": \"uniform\"}": 8, "{\"clf__n_neighbors\": 5, \"clf__p\": 2, \"clf__weights\": \"distance\"}": 3, "{\"clf__n_neighbors\": 5, \"clf__p\": 2, \"clf__weights\": \"uniform\"}": 3, "{\"clf__n_neighbors\": 9, \"clf__p\": 2, \"clf__weights\": \"distance\"}": 7, "{\"clf__n_neighbors\": 9, \"clf__p\": 2, \"clf__weights\": \"uniform\"}": 6}</t>
  </si>
  <si>
    <t>[[26, 57, 20], [54, 68, 26], [30, 45, 6]]</t>
  </si>
  <si>
    <t>nested__physiological_features__arousal__ternary__knn__windowed__nvg__emognition_features_w60_o30</t>
  </si>
  <si>
    <t>{"{\"clf__n_neighbors\": 3, \"clf__p\": 2, \"clf__weights\": \"distance\"}": 5, "{\"clf__n_neighbors\": 3, \"clf__p\": 2, \"clf__weights\": \"uniform\"}": 11, "{\"clf__n_neighbors\": 5, \"clf__p\": 2, \"clf__weights\": \"distance\"}": 8, "{\"clf__n_neighbors\": 5, \"clf__p\": 2, \"clf__weights\": \"uniform\"}": 10, "{\"clf__n_neighbors\": 9, \"clf__p\": 2, \"clf__weights\": \"distance\"}": 5, "{\"clf__n_neighbors\": 9, \"clf__p\": 2, \"clf__weights\": \"uniform\"}": 3}</t>
  </si>
  <si>
    <t>[[35, 56, 12], [40, 84, 24], [21, 51, 9]]</t>
  </si>
  <si>
    <t>nested__physiological_features__arousal__ternary__knn__windowed__hvg__emognition_features_w60_o30</t>
  </si>
  <si>
    <t>{"{\"clf__n_neighbors\": 3, \"clf__p\": 2, \"clf__weights\": \"distance\"}": 6, "{\"clf__n_neighbors\": 3, \"clf__p\": 2, \"clf__weights\": \"uniform\"}": 15, "{\"clf__n_neighbors\": 5, \"clf__p\": 2, \"clf__weights\": \"distance\"}": 2, "{\"clf__n_neighbors\": 5, \"clf__p\": 2, \"clf__weights\": \"uniform\"}": 9, "{\"clf__n_neighbors\": 9, \"clf__p\": 2, \"clf__weights\": \"distance\"}": 4, "{\"clf__n_neighbors\": 9, \"clf__p\": 2, \"clf__weights\": \"uniform\"}": 6}</t>
  </si>
  <si>
    <t>[[36, 58, 9], [40, 94, 14], [25, 47, 9]]</t>
  </si>
  <si>
    <t>nested__physiological_features__arousal__ternary__knn__windowed__hc+nvg__emognition_features_w60_o30</t>
  </si>
  <si>
    <t>{"{\"clf__n_neighbors\": 3, \"clf__p\": 2, \"clf__weights\": \"distance\"}": 5, "{\"clf__n_neighbors\": 3, \"clf__p\": 2, \"clf__weights\": \"uniform\"}": 8, "{\"clf__n_neighbors\": 5, \"clf__p\": 2, \"clf__weights\": \"distance\"}": 4, "{\"clf__n_neighbors\": 5, \"clf__p\": 2, \"clf__weights\": \"uniform\"}": 9, "{\"clf__n_neighbors\": 9, \"clf__p\": 2, \"clf__weights\": \"distance\"}": 6, "{\"clf__n_neighbors\": 9, \"clf__p\": 2, \"clf__weights\": \"uniform\"}": 10}</t>
  </si>
  <si>
    <t>[[32, 57, 14], [50, 80, 18], [28, 43, 10]]</t>
  </si>
  <si>
    <t>nested__physiological_features__arousal__ternary__knn__windowed__hc+hvg__emognition_features_w60_o30</t>
  </si>
  <si>
    <t>{"{\"clf__n_neighbors\": 3, \"clf__p\": 2, \"clf__weights\": \"distance\"}": 2, "{\"clf__n_neighbors\": 3, \"clf__p\": 2, \"clf__weights\": \"uniform\"}": 5, "{\"clf__n_neighbors\": 5, \"clf__p\": 2, \"clf__weights\": \"distance\"}": 5, "{\"clf__n_neighbors\": 5, \"clf__p\": 2, \"clf__weights\": \"uniform\"}": 4, "{\"clf__n_neighbors\": 9, \"clf__p\": 2, \"clf__weights\": \"distance\"}": 7, "{\"clf__n_neighbors\": 9, \"clf__p\": 2, \"clf__weights\": \"uniform\"}": 19}</t>
  </si>
  <si>
    <t>[[35, 55, 13], [33, 92, 23], [27, 52, 2]]</t>
  </si>
  <si>
    <t>nested__physiological_features__arousal__ternary__knn__aggregated__hc__emognition_features_w60_o30</t>
  </si>
  <si>
    <t>{"{\"clf__n_neighbors\": 3, \"clf__p\": 2, \"clf__weights\": \"distance\"}": 2, "{\"clf__n_neighbors\": 3, \"clf__p\": 2, \"clf__weights\": \"uniform\"}": 8, "{\"clf__n_neighbors\": 5, \"clf__p\": 2, \"clf__weights\": \"distance\"}": 9, "{\"clf__n_neighbors\": 5, \"clf__p\": 2, \"clf__weights\": \"uniform\"}": 3, "{\"clf__n_neighbors\": 9, \"clf__p\": 2, \"clf__weights\": \"distance\"}": 14, "{\"clf__n_neighbors\": 9, \"clf__p\": 2, \"clf__weights\": \"uniform\"}": 6}</t>
  </si>
  <si>
    <t>[[34, 45, 24], [46, 81, 21], [28, 37, 16]]</t>
  </si>
  <si>
    <t>nested__physiological_features__arousal__ternary__knn__aggregated__nvg__emognition_features_w60_o30</t>
  </si>
  <si>
    <t>{"{\"clf__n_neighbors\": 3, \"clf__p\": 2, \"clf__weights\": \"distance\"}": 2, "{\"clf__n_neighbors\": 3, \"clf__p\": 2, \"clf__weights\": \"uniform\"}": 8, "{\"clf__n_neighbors\": 5, \"clf__p\": 2, \"clf__weights\": \"distance\"}": 10, "{\"clf__n_neighbors\": 5, \"clf__p\": 2, \"clf__weights\": \"uniform\"}": 6, "{\"clf__n_neighbors\": 9, \"clf__p\": 2, \"clf__weights\": \"distance\"}": 8, "{\"clf__n_neighbors\": 9, \"clf__p\": 2, \"clf__weights\": \"uniform\"}": 8}</t>
  </si>
  <si>
    <t>[[28, 64, 11], [40, 85, 23], [18, 51, 12]]</t>
  </si>
  <si>
    <t>nested__physiological_features__arousal__ternary__knn__aggregated__hvg__emognition_features_w60_o30</t>
  </si>
  <si>
    <t>{"{\"clf__n_neighbors\": 3, \"clf__p\": 2, \"clf__weights\": \"distance\"}": 8, "{\"clf__n_neighbors\": 3, \"clf__p\": 2, \"clf__weights\": \"uniform\"}": 15, "{\"clf__n_neighbors\": 5, \"clf__p\": 2, \"clf__weights\": \"distance\"}": 7, "{\"clf__n_neighbors\": 5, \"clf__p\": 2, \"clf__weights\": \"uniform\"}": 2, "{\"clf__n_neighbors\": 9, \"clf__p\": 2, \"clf__weights\": \"distance\"}": 4, "{\"clf__n_neighbors\": 9, \"clf__p\": 2, \"clf__weights\": \"uniform\"}": 6}</t>
  </si>
  <si>
    <t>[[29, 59, 15], [40, 86, 22], [23, 44, 14]]</t>
  </si>
  <si>
    <t>nested__physiological_features__arousal__ternary__knn__aggregated__hc+nvg__emognition_features_w60_o30</t>
  </si>
  <si>
    <t>{"{\"clf__n_neighbors\": 3, \"clf__p\": 2, \"clf__weights\": \"distance\"}": 4, "{\"clf__n_neighbors\": 3, \"clf__p\": 2, \"clf__weights\": \"uniform\"}": 10, "{\"clf__n_neighbors\": 5, \"clf__p\": 2, \"clf__weights\": \"distance\"}": 7, "{\"clf__n_neighbors\": 5, \"clf__p\": 2, \"clf__weights\": \"uniform\"}": 12, "{\"clf__n_neighbors\": 9, \"clf__p\": 2, \"clf__weights\": \"distance\"}": 4, "{\"clf__n_neighbors\": 9, \"clf__p\": 2, \"clf__weights\": \"uniform\"}": 5}</t>
  </si>
  <si>
    <t>[[41, 50, 12], [51, 70, 27], [26, 46, 9]]</t>
  </si>
  <si>
    <t>nested__physiological_features__arousal__ternary__knn__aggregated__hc+hvg__emognition_features_w60_o30</t>
  </si>
  <si>
    <t>{"{\"clf__n_neighbors\": 3, \"clf__p\": 2, \"clf__weights\": \"distance\"}": 5, "{\"clf__n_neighbors\": 3, \"clf__p\": 2, \"clf__weights\": \"uniform\"}": 12, "{\"clf__n_neighbors\": 5, \"clf__p\": 2, \"clf__weights\": \"distance\"}": 7, "{\"clf__n_neighbors\": 5, \"clf__p\": 2, \"clf__weights\": \"uniform\"}": 11, "{\"clf__n_neighbors\": 9, \"clf__p\": 2, \"clf__weights\": \"distance\"}": 1, "{\"clf__n_neighbors\": 9, \"clf__p\": 2, \"clf__weights\": \"uniform\"}": 6}</t>
  </si>
  <si>
    <t>[[36, 47, 20], [41, 82, 25], [27, 41, 13]]</t>
  </si>
  <si>
    <t>nested__physiological_features__valence__regression__knn__windowed__hc__emognition_features_w60_o30</t>
  </si>
  <si>
    <t>subject_macro_mae</t>
  </si>
  <si>
    <t>{"{\"clf__n_neighbors\": 9, \"clf__p\": 2, \"clf__weights\": \"uniform\"}": 42}</t>
  </si>
  <si>
    <t>nested__physiological_features__valence__regression__knn__windowed__nvg__emognition_features_w60_o30</t>
  </si>
  <si>
    <t>nested__physiological_features__valence__regression__knn__windowed__hvg__emognition_features_w60_o30</t>
  </si>
  <si>
    <t>{"{\"clf__n_neighbors\": 5, \"clf__p\": 2, \"clf__weights\": \"uniform\"}": 2, "{\"clf__n_neighbors\": 9, \"clf__p\": 2, \"clf__weights\": \"distance\"}": 1, "{\"clf__n_neighbors\": 9, \"clf__p\": 2, \"clf__weights\": \"uniform\"}": 39}</t>
  </si>
  <si>
    <t>nested__physiological_features__valence__regression__knn__windowed__hc+nvg__emognition_features_w60_o30</t>
  </si>
  <si>
    <t>nested__physiological_features__valence__regression__knn__windowed__hc+hvg__emognition_features_w60_o30</t>
  </si>
  <si>
    <t>{"{\"clf__n_neighbors\": 9, \"clf__p\": 2, \"clf__weights\": \"distance\"}": 23, "{\"clf__n_neighbors\": 9, \"clf__p\": 2, \"clf__weights\": \"uniform\"}": 19}</t>
  </si>
  <si>
    <t>nested__physiological_features__valence__regression__knn__aggregated__hc__emognition_features_w60_o30</t>
  </si>
  <si>
    <t>{"{\"clf__n_neighbors\": 9, \"clf__p\": 2, \"clf__weights\": \"distance\"}": 31, "{\"clf__n_neighbors\": 9, \"clf__p\": 2, \"clf__weights\": \"uniform\"}": 11}</t>
  </si>
  <si>
    <t>nested__physiological_features__valence__regression__knn__aggregated__nvg__emognition_features_w60_o30</t>
  </si>
  <si>
    <t>nested__physiological_features__valence__regression__knn__aggregated__hvg__emognition_features_w60_o30</t>
  </si>
  <si>
    <t>{"{\"clf__n_neighbors\": 5, \"clf__p\": 2, \"clf__weights\": \"uniform\"}": 6, "{\"clf__n_neighbors\": 9, \"clf__p\": 2, \"clf__weights\": \"distance\"}": 7, "{\"clf__n_neighbors\": 9, \"clf__p\": 2, \"clf__weights\": \"uniform\"}": 29}</t>
  </si>
  <si>
    <t>nested__physiological_features__valence__regression__knn__aggregated__hc+nvg__emognition_features_w60_o30</t>
  </si>
  <si>
    <t>{"{\"clf__n_neighbors\": 9, \"clf__p\": 2, \"clf__weights\": \"distance\"}": 27, "{\"clf__n_neighbors\": 9, \"clf__p\": 2, \"clf__weights\": \"uniform\"}": 15}</t>
  </si>
  <si>
    <t>nested__physiological_features__valence__regression__knn__aggregated__hc+hvg__emognition_features_w60_o30</t>
  </si>
  <si>
    <t>{"{\"clf__n_neighbors\": 9, \"clf__p\": 2, \"clf__weights\": \"distance\"}": 39, "{\"clf__n_neighbors\": 9, \"clf__p\": 2, \"clf__weights\": \"uniform\"}": 3}</t>
  </si>
  <si>
    <t>nested__physiological_features__arousal__regression__knn__windowed__hc__emognition_features_w60_o30</t>
  </si>
  <si>
    <t>{"{\"clf__n_neighbors\": 9, \"clf__p\": 2, \"clf__weights\": \"distance\"}": 7, "{\"clf__n_neighbors\": 9, \"clf__p\": 2, \"clf__weights\": \"uniform\"}": 35}</t>
  </si>
  <si>
    <t>nested__physiological_features__arousal__regression__knn__windowed__nvg__emognition_features_w60_o30</t>
  </si>
  <si>
    <t>{"{\"clf__n_neighbors\": 9, \"clf__p\": 2, \"clf__weights\": \"distance\"}": 15, "{\"clf__n_neighbors\": 9, \"clf__p\": 2, \"clf__weights\": \"uniform\"}": 27}</t>
  </si>
  <si>
    <t>nested__physiological_features__arousal__regression__knn__windowed__hvg__emognition_features_w60_o30</t>
  </si>
  <si>
    <t>{"{\"clf__n_neighbors\": 3, \"clf__p\": 2, \"clf__weights\": \"distance\"}": 6, "{\"clf__n_neighbors\": 3, \"clf__p\": 2, \"clf__weights\": \"uniform\"}": 1, "{\"clf__n_neighbors\": 9, \"clf__p\": 2, \"clf__weights\": \"distance\"}": 35}</t>
  </si>
  <si>
    <t>nested__physiological_features__arousal__regression__knn__windowed__hc+nvg__emognition_features_w60_o30</t>
  </si>
  <si>
    <t>{"{\"clf__n_neighbors\": 5, \"clf__p\": 2, \"clf__weights\": \"uniform\"}": 1, "{\"clf__n_neighbors\": 9, \"clf__p\": 2, \"clf__weights\": \"distance\"}": 1, "{\"clf__n_neighbors\": 9, \"clf__p\": 2, \"clf__weights\": \"uniform\"}": 40}</t>
  </si>
  <si>
    <t>nested__physiological_features__arousal__regression__knn__windowed__hc+hvg__emognition_features_w60_o30</t>
  </si>
  <si>
    <t>{"{\"clf__n_neighbors\": 5, \"clf__p\": 2, \"clf__weights\": \"uniform\"}": 2, "{\"clf__n_neighbors\": 9, \"clf__p\": 2, \"clf__weights\": \"distance\"}": 3, "{\"clf__n_neighbors\": 9, \"clf__p\": 2, \"clf__weights\": \"uniform\"}": 37}</t>
  </si>
  <si>
    <t>nested__physiological_features__arousal__regression__knn__aggregated__hc__emognition_features_w60_o30</t>
  </si>
  <si>
    <t>nested__physiological_features__arousal__regression__knn__aggregated__nvg__emognition_features_w60_o30</t>
  </si>
  <si>
    <t>{"{\"clf__n_neighbors\": 5, \"clf__p\": 2, \"clf__weights\": \"uniform\"}": 1, "{\"clf__n_neighbors\": 9, \"clf__p\": 2, \"clf__weights\": \"distance\"}": 11, "{\"clf__n_neighbors\": 9, \"clf__p\": 2, \"clf__weights\": \"uniform\"}": 30}</t>
  </si>
  <si>
    <t>nested__physiological_features__arousal__regression__knn__aggregated__hvg__emognition_features_w60_o30</t>
  </si>
  <si>
    <t>{"{\"clf__n_neighbors\": 9, \"clf__p\": 2, \"clf__weights\": \"distance\"}": 1, "{\"clf__n_neighbors\": 9, \"clf__p\": 2, \"clf__weights\": \"uniform\"}": 41}</t>
  </si>
  <si>
    <t>nested__physiological_features__arousal__regression__knn__aggregated__hc+nvg__emognition_features_w60_o30</t>
  </si>
  <si>
    <t>nested__physiological_features__arousal__regression__knn__aggregated__hc+hvg__emognition_features_w60_o30</t>
  </si>
  <si>
    <t>mae</t>
  </si>
  <si>
    <t>rmse</t>
  </si>
  <si>
    <t>r2</t>
  </si>
  <si>
    <t>spearman_rho</t>
  </si>
  <si>
    <t>mae_ci_low</t>
  </si>
  <si>
    <t>mae_ci_high</t>
  </si>
  <si>
    <t>rmse_ci_low</t>
  </si>
  <si>
    <t>rmse_ci_high</t>
  </si>
  <si>
    <t>r2_ci_low</t>
  </si>
  <si>
    <t>r2_ci_high</t>
  </si>
  <si>
    <t>spearman_rho_ci_low</t>
  </si>
  <si>
    <t>spearman_rho_ci_high</t>
  </si>
  <si>
    <t>Code</t>
  </si>
  <si>
    <t>w60_o30</t>
  </si>
  <si>
    <t>w60_o15</t>
  </si>
  <si>
    <t>w60_o0</t>
  </si>
  <si>
    <t>w30_o15</t>
  </si>
  <si>
    <t>w30_o0</t>
  </si>
  <si>
    <t>w45_o0</t>
  </si>
  <si>
    <t>w30_o7p5</t>
  </si>
  <si>
    <t>w45_o22p5</t>
  </si>
  <si>
    <t>w45_o11p25</t>
  </si>
  <si>
    <t>nested__physiological_features__valence__binary__rf__windowed__hc__emognition_features_w60_o30</t>
  </si>
  <si>
    <t>accuracy/mae</t>
  </si>
  <si>
    <t>precision/r2</t>
  </si>
  <si>
    <t>f1/primary score</t>
  </si>
  <si>
    <t>nested__physiological_features__valence__binary__svm__windowed__hc__emognition_features_w60_o30</t>
  </si>
  <si>
    <t>svm__windowed__hc__emognition_features_w60_o30</t>
  </si>
  <si>
    <t>{"{\"clf__C\": 0.1, \"clf__gamma\": \"scale\"}": 17, "{\"clf__C\": 1.0, \"clf__gamma\": \"scale\"}": 9, "{\"clf__C\": 10.0, \"clf__gamma\": \"scale\"}": 16}</t>
  </si>
  <si>
    <t>{"clf__C": 0.1, "clf__gamma": "scale"}</t>
  </si>
  <si>
    <t>[[59, 81], [74, 90]]</t>
  </si>
  <si>
    <t>nested__physiological_features__valence__binary__svm__windowed__nvg__emognition_features_w60_o30</t>
  </si>
  <si>
    <t>svm__windowed__nvg__emognition_features_w60_o30</t>
  </si>
  <si>
    <t>{"{\"clf__C\": 0.1, \"clf__gamma\": \"scale\"}": 8, "{\"clf__C\": 1.0, \"clf__gamma\": \"scale\"}": 11, "{\"clf__C\": 10.0, \"clf__gamma\": \"scale\"}": 23}</t>
  </si>
  <si>
    <t>{"clf__C": 10.0, "clf__gamma": "scale"}</t>
  </si>
  <si>
    <t>[[62, 78], [64, 100]]</t>
  </si>
  <si>
    <t>nested__physiological_features__valence__binary__svm__windowed__hvg__emognition_features_w60_o30</t>
  </si>
  <si>
    <t>svm__windowed__hvg__emognition_features_w60_o30</t>
  </si>
  <si>
    <t>{"{\"clf__C\": 0.1, \"clf__gamma\": \"scale\"}": 30, "{\"clf__C\": 1.0, \"clf__gamma\": \"scale\"}": 7, "{\"clf__C\": 10.0, \"clf__gamma\": \"scale\"}": 5}</t>
  </si>
  <si>
    <t>[[43, 97], [55, 109]]</t>
  </si>
  <si>
    <t>nested__physiological_features__valence__binary__svm__windowed__hc+nvg__emognition_features_w60_o30</t>
  </si>
  <si>
    <t>svm__windowed__hc+nvg__emognition_features_w60_o30</t>
  </si>
  <si>
    <t>{"{\"clf__C\": 0.1, \"clf__gamma\": \"scale\"}": 1, "{\"clf__C\": 1.0, \"clf__gamma\": \"scale\"}": 25, "{\"clf__C\": 10.0, \"clf__gamma\": \"scale\"}": 16}</t>
  </si>
  <si>
    <t>{"clf__C": 1.0, "clf__gamma": "scale"}</t>
  </si>
  <si>
    <t>[[64, 76], [69, 95]]</t>
  </si>
  <si>
    <t>nested__physiological_features__valence__binary__svm__windowed__hc+hvg__emognition_features_w60_o30</t>
  </si>
  <si>
    <t>svm__windowed__hc+hvg__emognition_features_w60_o30</t>
  </si>
  <si>
    <t>{"{\"clf__C\": 0.1, \"clf__gamma\": \"scale\"}": 31, "{\"clf__C\": 1.0, \"clf__gamma\": \"scale\"}": 6, "{\"clf__C\": 10.0, \"clf__gamma\": \"scale\"}": 5}</t>
  </si>
  <si>
    <t>[[46, 94], [51, 113]]</t>
  </si>
  <si>
    <t>nested__physiological_features__valence__binary__svm__aggregated__hc__emognition_features_w60_o30</t>
  </si>
  <si>
    <t>svm__aggregated__hc__emognition_features_w60_o30</t>
  </si>
  <si>
    <t>{"{\"clf__C\": 0.1, \"clf__gamma\": \"scale\"}": 15, "{\"clf__C\": 1.0, \"clf__gamma\": \"scale\"}": 19, "{\"clf__C\": 10.0, \"clf__gamma\": \"scale\"}": 8}</t>
  </si>
  <si>
    <t>[[55, 85], [70, 94]]</t>
  </si>
  <si>
    <t>nested__physiological_features__valence__binary__svm__aggregated__nvg__emognition_features_w60_o30</t>
  </si>
  <si>
    <t>svm__aggregated__nvg__emognition_features_w60_o30</t>
  </si>
  <si>
    <t>{"{\"clf__C\": 1.0, \"clf__gamma\": \"scale\"}": 28, "{\"clf__C\": 10.0, \"clf__gamma\": \"scale\"}": 14}</t>
  </si>
  <si>
    <t>[[78, 62], [69, 95]]</t>
  </si>
  <si>
    <t>nested__physiological_features__valence__binary__svm__aggregated__hvg__emognition_features_w60_o30</t>
  </si>
  <si>
    <t>svm__aggregated__hvg__emognition_features_w60_o30</t>
  </si>
  <si>
    <t>{"{\"clf__C\": 0.1, \"clf__gamma\": \"scale\"}": 5, "{\"clf__C\": 1.0, \"clf__gamma\": \"scale\"}": 17, "{\"clf__C\": 10.0, \"clf__gamma\": \"scale\"}": 20}</t>
  </si>
  <si>
    <t>[[50, 90], [58, 106]]</t>
  </si>
  <si>
    <t>nested__physiological_features__valence__binary__svm__aggregated__hc+nvg__emognition_features_w60_o30</t>
  </si>
  <si>
    <t>svm__aggregated__hc+nvg__emognition_features_w60_o30</t>
  </si>
  <si>
    <t>[[78, 62], [57, 107]]</t>
  </si>
  <si>
    <t>nested__physiological_features__valence__binary__svm__aggregated__hc+hvg__emognition_features_w60_o30</t>
  </si>
  <si>
    <t>svm__aggregated__hc+hvg__emognition_features_w60_o30</t>
  </si>
  <si>
    <t>{"{\"clf__C\": 0.1, \"clf__gamma\": \"scale\"}": 7, "{\"clf__C\": 1.0, \"clf__gamma\": \"scale\"}": 22, "{\"clf__C\": 10.0, \"clf__gamma\": \"scale\"}": 13}</t>
  </si>
  <si>
    <t>[[51, 89], [65, 99]]</t>
  </si>
  <si>
    <t>nested__physiological_features__arousal__binary__svm__windowed__hc__emognition_features_w60_o30</t>
  </si>
  <si>
    <t>{"{\"clf__C\": 0.1, \"clf__gamma\": \"scale\"}": 13, "{\"clf__C\": 1.0, \"clf__gamma\": \"scale\"}": 13, "{\"clf__C\": 10.0, \"clf__gamma\": \"scale\"}": 16}</t>
  </si>
  <si>
    <t>[[75, 76], [73, 54]]</t>
  </si>
  <si>
    <t>nested__physiological_features__arousal__binary__svm__windowed__nvg__emognition_features_w60_o30</t>
  </si>
  <si>
    <t>{"{\"clf__C\": 1.0, \"clf__gamma\": \"scale\"}": 21, "{\"clf__C\": 10.0, \"clf__gamma\": \"scale\"}": 21}</t>
  </si>
  <si>
    <t>[[74, 77], [62, 65]]</t>
  </si>
  <si>
    <t>nested__physiological_features__arousal__binary__svm__windowed__hvg__emognition_features_w60_o30</t>
  </si>
  <si>
    <t>{"{\"clf__C\": 0.1, \"clf__gamma\": \"scale\"}": 40, "{\"clf__C\": 1.0, \"clf__gamma\": \"scale\"}": 1, "{\"clf__C\": 10.0, \"clf__gamma\": \"scale\"}": 1}</t>
  </si>
  <si>
    <t>[[57, 94], [31, 96]]</t>
  </si>
  <si>
    <t>nested__physiological_features__arousal__binary__svm__windowed__hc+nvg__emognition_features_w60_o30</t>
  </si>
  <si>
    <t>{"{\"clf__C\": 0.1, \"clf__gamma\": \"scale\"}": 8, "{\"clf__C\": 1.0, \"clf__gamma\": \"scale\"}": 12, "{\"clf__C\": 10.0, \"clf__gamma\": \"scale\"}": 22}</t>
  </si>
  <si>
    <t>[[76, 75], [80, 47]]</t>
  </si>
  <si>
    <t>nested__physiological_features__arousal__binary__svm__windowed__hc+hvg__emognition_features_w60_o30</t>
  </si>
  <si>
    <t>{"{\"clf__C\": 0.1, \"clf__gamma\": \"scale\"}": 39, "{\"clf__C\": 10.0, \"clf__gamma\": \"scale\"}": 3}</t>
  </si>
  <si>
    <t>[[48, 103], [28, 99]]</t>
  </si>
  <si>
    <t>nested__physiological_features__arousal__binary__svm__aggregated__hc__emognition_features_w60_o30</t>
  </si>
  <si>
    <t>{"{\"clf__C\": 0.1, \"clf__gamma\": \"scale\"}": 16, "{\"clf__C\": 1.0, \"clf__gamma\": \"scale\"}": 1, "{\"clf__C\": 10.0, \"clf__gamma\": \"scale\"}": 25}</t>
  </si>
  <si>
    <t>[[63, 88], [90, 37]]</t>
  </si>
  <si>
    <t>nested__physiological_features__arousal__binary__svm__aggregated__nvg__emognition_features_w60_o30</t>
  </si>
  <si>
    <t>{"{\"clf__C\": 0.1, \"clf__gamma\": \"scale\"}": 10, "{\"clf__C\": 1.0, \"clf__gamma\": \"scale\"}": 12, "{\"clf__C\": 10.0, \"clf__gamma\": \"scale\"}": 20}</t>
  </si>
  <si>
    <t>[[67, 84], [70, 57]]</t>
  </si>
  <si>
    <t>nested__physiological_features__arousal__binary__svm__aggregated__hvg__emognition_features_w60_o30</t>
  </si>
  <si>
    <t>{"{\"clf__C\": 0.1, \"clf__gamma\": \"scale\"}": 6, "{\"clf__C\": 1.0, \"clf__gamma\": \"scale\"}": 28, "{\"clf__C\": 10.0, \"clf__gamma\": \"scale\"}": 8}</t>
  </si>
  <si>
    <t>[[68, 83], [65, 62]]</t>
  </si>
  <si>
    <t>nested__physiological_features__arousal__binary__svm__aggregated__hc+nvg__emognition_features_w60_o30</t>
  </si>
  <si>
    <t>{"{\"clf__C\": 0.1, \"clf__gamma\": \"scale\"}": 11, "{\"clf__C\": 1.0, \"clf__gamma\": \"scale\"}": 9, "{\"clf__C\": 10.0, \"clf__gamma\": \"scale\"}": 22}</t>
  </si>
  <si>
    <t>[[66, 85], [81, 46]]</t>
  </si>
  <si>
    <t>nested__physiological_features__arousal__binary__svm__aggregated__hc+hvg__emognition_features_w60_o30</t>
  </si>
  <si>
    <t>{"{\"clf__C\": 0.1, \"clf__gamma\": \"scale\"}": 14, "{\"clf__C\": 1.0, \"clf__gamma\": \"scale\"}": 7, "{\"clf__C\": 10.0, \"clf__gamma\": \"scale\"}": 21}</t>
  </si>
  <si>
    <t>[[56, 95], [83, 44]]</t>
  </si>
  <si>
    <t>support__middle</t>
  </si>
  <si>
    <t>precision__middle</t>
  </si>
  <si>
    <t>recall__middle</t>
  </si>
  <si>
    <t>f1__middle</t>
  </si>
  <si>
    <t>nested__physiological_features__valence__ternary__svm__windowed__hc__emognition_features_w60_o30</t>
  </si>
  <si>
    <t>{"{\"clf__C\": 0.1, \"clf__gamma\": \"scale\"}": 17, "{\"clf__C\": 1.0, \"clf__gamma\": \"scale\"}": 16, "{\"clf__C\": 10.0, \"clf__gamma\": \"scale\"}": 9}</t>
  </si>
  <si>
    <t>[[22, 34, 48], [33, 26, 50], [36, 34, 49]]</t>
  </si>
  <si>
    <t>nested__physiological_features__valence__ternary__svm__windowed__nvg__emognition_features_w60_o30</t>
  </si>
  <si>
    <t>{"{\"clf__C\": 0.1, \"clf__gamma\": \"scale\"}": 1, "{\"clf__C\": 1.0, \"clf__gamma\": \"scale\"}": 18, "{\"clf__C\": 10.0, \"clf__gamma\": \"scale\"}": 23}</t>
  </si>
  <si>
    <t>[[38, 34, 32], [27, 41, 41], [37, 35, 47]]</t>
  </si>
  <si>
    <t>nested__physiological_features__valence__ternary__svm__windowed__hvg__emognition_features_w60_o30</t>
  </si>
  <si>
    <t>[[38, 33, 33], [38, 35, 36], [39, 32, 48]]</t>
  </si>
  <si>
    <t>nested__physiological_features__valence__ternary__svm__windowed__hc+nvg__emognition_features_w60_o30</t>
  </si>
  <si>
    <t>{"{\"clf__C\": 1.0, \"clf__gamma\": \"scale\"}": 24, "{\"clf__C\": 10.0, \"clf__gamma\": \"scale\"}": 18}</t>
  </si>
  <si>
    <t>[[35, 30, 39], [26, 37, 46], [36, 33, 50]]</t>
  </si>
  <si>
    <t>nested__physiological_features__valence__ternary__svm__windowed__hc+hvg__emognition_features_w60_o30</t>
  </si>
  <si>
    <t>{"{\"clf__C\": 0.1, \"clf__gamma\": \"scale\"}": 11, "{\"clf__C\": 1.0, \"clf__gamma\": \"scale\"}": 15, "{\"clf__C\": 10.0, \"clf__gamma\": \"scale\"}": 16}</t>
  </si>
  <si>
    <t>[[33, 25, 46], [28, 22, 59], [30, 35, 54]]</t>
  </si>
  <si>
    <t>nested__physiological_features__valence__ternary__svm__aggregated__hc__emognition_features_w60_o30</t>
  </si>
  <si>
    <t>{"{\"clf__C\": 0.1, \"clf__gamma\": \"scale\"}": 21, "{\"clf__C\": 1.0, \"clf__gamma\": \"scale\"}": 14, "{\"clf__C\": 10.0, \"clf__gamma\": \"scale\"}": 7}</t>
  </si>
  <si>
    <t>[[53, 19, 32], [51, 18, 40], [62, 24, 33]]</t>
  </si>
  <si>
    <t>nested__physiological_features__valence__ternary__svm__aggregated__nvg__emognition_features_w60_o30</t>
  </si>
  <si>
    <t>{"{\"clf__C\": 0.1, \"clf__gamma\": \"scale\"}": 4, "{\"clf__C\": 1.0, \"clf__gamma\": \"scale\"}": 12, "{\"clf__C\": 10.0, \"clf__gamma\": \"scale\"}": 26}</t>
  </si>
  <si>
    <t>[[36, 37, 31], [37, 40, 32], [37, 42, 40]]</t>
  </si>
  <si>
    <t>nested__physiological_features__valence__ternary__svm__aggregated__hvg__emognition_features_w60_o30</t>
  </si>
  <si>
    <t>{"{\"clf__C\": 1.0, \"clf__gamma\": \"scale\"}": 33, "{\"clf__C\": 10.0, \"clf__gamma\": \"scale\"}": 9}</t>
  </si>
  <si>
    <t>[[39, 34, 31], [32, 43, 34], [31, 34, 54]]</t>
  </si>
  <si>
    <t>nested__physiological_features__valence__ternary__svm__aggregated__hc+nvg__emognition_features_w60_o30</t>
  </si>
  <si>
    <t>{"{\"clf__C\": 0.1, \"clf__gamma\": \"scale\"}": 4, "{\"clf__C\": 1.0, \"clf__gamma\": \"scale\"}": 16, "{\"clf__C\": 10.0, \"clf__gamma\": \"scale\"}": 22}</t>
  </si>
  <si>
    <t>[[42, 30, 32], [47, 21, 41], [40, 35, 44]]</t>
  </si>
  <si>
    <t>nested__physiological_features__valence__ternary__svm__aggregated__hc+hvg__emognition_features_w60_o30</t>
  </si>
  <si>
    <t>{"{\"clf__C\": 0.1, \"clf__gamma\": \"scale\"}": 3, "{\"clf__C\": 1.0, \"clf__gamma\": \"scale\"}": 26, "{\"clf__C\": 10.0, \"clf__gamma\": \"scale\"}": 13}</t>
  </si>
  <si>
    <t>[[39, 30, 35], [41, 33, 35], [37, 34, 48]]</t>
  </si>
  <si>
    <t>nested__physiological_features__arousal__ternary__svm__windowed__hc__emognition_features_w60_o30</t>
  </si>
  <si>
    <t>{"{\"clf__C\": 0.1, \"clf__gamma\": \"scale\"}": 23, "{\"clf__C\": 1.0, \"clf__gamma\": \"scale\"}": 7, "{\"clf__C\": 10.0, \"clf__gamma\": \"scale\"}": 12}</t>
  </si>
  <si>
    <t>[[28, 40, 35], [45, 44, 59], [33, 29, 19]]</t>
  </si>
  <si>
    <t>nested__physiological_features__arousal__ternary__svm__windowed__nvg__emognition_features_w60_o30</t>
  </si>
  <si>
    <t>{"{\"clf__C\": 0.1, \"clf__gamma\": \"scale\"}": 10, "{\"clf__C\": 1.0, \"clf__gamma\": \"scale\"}": 15, "{\"clf__C\": 10.0, \"clf__gamma\": \"scale\"}": 17}</t>
  </si>
  <si>
    <t>[[40, 43, 20], [43, 72, 33], [18, 45, 18]]</t>
  </si>
  <si>
    <t>nested__physiological_features__arousal__ternary__svm__windowed__hvg__emognition_features_w60_o30</t>
  </si>
  <si>
    <t>{"{\"clf__C\": 0.1, \"clf__gamma\": \"scale\"}": 35, "{\"clf__C\": 1.0, \"clf__gamma\": \"scale\"}": 7}</t>
  </si>
  <si>
    <t>[[40, 32, 31], [39, 46, 63], [20, 28, 33]]</t>
  </si>
  <si>
    <t>nested__physiological_features__arousal__ternary__svm__windowed__hc+nvg__emognition_features_w60_o30</t>
  </si>
  <si>
    <t>{"{\"clf__C\": 0.1, \"clf__gamma\": \"scale\"}": 15, "{\"clf__C\": 1.0, \"clf__gamma\": \"scale\"}": 16, "{\"clf__C\": 10.0, \"clf__gamma\": \"scale\"}": 11}</t>
  </si>
  <si>
    <t>[[34, 42, 27], [46, 48, 54], [29, 36, 16]]</t>
  </si>
  <si>
    <t>nested__physiological_features__arousal__ternary__svm__windowed__hc+hvg__emognition_features_w60_o30</t>
  </si>
  <si>
    <t>{"{\"clf__C\": 0.1, \"clf__gamma\": \"scale\"}": 33, "{\"clf__C\": 1.0, \"clf__gamma\": \"scale\"}": 3, "{\"clf__C\": 10.0, \"clf__gamma\": \"scale\"}": 6}</t>
  </si>
  <si>
    <t>[[31, 24, 48], [29, 45, 74], [18, 32, 31]]</t>
  </si>
  <si>
    <t>nested__physiological_features__arousal__ternary__svm__aggregated__hc__emognition_features_w60_o30</t>
  </si>
  <si>
    <t>{"{\"clf__C\": 0.1, \"clf__gamma\": \"scale\"}": 15, "{\"clf__C\": 1.0, \"clf__gamma\": \"scale\"}": 15, "{\"clf__C\": 10.0, \"clf__gamma\": \"scale\"}": 12}</t>
  </si>
  <si>
    <t>[[26, 56, 21], [25, 76, 47], [18, 41, 22]]</t>
  </si>
  <si>
    <t>nested__physiological_features__arousal__ternary__svm__aggregated__nvg__emognition_features_w60_o30</t>
  </si>
  <si>
    <t>[[39, 46, 18], [57, 61, 30], [23, 35, 23]]</t>
  </si>
  <si>
    <t>nested__physiological_features__arousal__ternary__svm__aggregated__hvg__emognition_features_w60_o30</t>
  </si>
  <si>
    <t>{"{\"clf__C\": 0.1, \"clf__gamma\": \"scale\"}": 17, "{\"clf__C\": 1.0, \"clf__gamma\": \"scale\"}": 17, "{\"clf__C\": 10.0, \"clf__gamma\": \"scale\"}": 8}</t>
  </si>
  <si>
    <t>[[32, 53, 18], [32, 63, 53], [25, 37, 19]]</t>
  </si>
  <si>
    <t>nested__physiological_features__arousal__ternary__svm__aggregated__hc+nvg__emognition_features_w60_o30</t>
  </si>
  <si>
    <t>{"{\"clf__C\": 0.1, \"clf__gamma\": \"scale\"}": 34, "{\"clf__C\": 1.0, \"clf__gamma\": \"scale\"}": 3, "{\"clf__C\": 10.0, \"clf__gamma\": \"scale\"}": 5}</t>
  </si>
  <si>
    <t>[[27, 71, 5], [31, 82, 35], [24, 37, 20]]</t>
  </si>
  <si>
    <t>nested__physiological_features__arousal__ternary__svm__aggregated__hc+hvg__emognition_features_w60_o30</t>
  </si>
  <si>
    <t>{"{\"clf__C\": 0.1, \"clf__gamma\": \"scale\"}": 18, "{\"clf__C\": 1.0, \"clf__gamma\": \"scale\"}": 18, "{\"clf__C\": 10.0, \"clf__gamma\": \"scale\"}": 6}</t>
  </si>
  <si>
    <t>[[31, 60, 12], [47, 79, 22], [25, 40, 16]]</t>
  </si>
  <si>
    <t>nested__physiological_features__valence__regression__svm__windowed__hc__emognition_features_w60_o30</t>
  </si>
  <si>
    <t>{"{\"clf__C\": 0.1, \"clf__gamma\": \"scale\"}": 8, "{\"clf__C\": 1.0, \"clf__gamma\": \"scale\"}": 34}</t>
  </si>
  <si>
    <t>nested__physiological_features__valence__regression__svm__windowed__nvg__emognition_features_w60_o30</t>
  </si>
  <si>
    <t>{"{\"clf__C\": 0.1, \"clf__gamma\": \"scale\"}": 34, "{\"clf__C\": 1.0, \"clf__gamma\": \"scale\"}": 6, "{\"clf__C\": 10.0, \"clf__gamma\": \"scale\"}": 2}</t>
  </si>
  <si>
    <t>nested__physiological_features__valence__regression__svm__windowed__hvg__emognition_features_w60_o30</t>
  </si>
  <si>
    <t>{"{\"clf__C\": 0.1, \"clf__gamma\": \"scale\"}": 42}</t>
  </si>
  <si>
    <t>nested__physiological_features__valence__regression__svm__windowed__hc+nvg__emognition_features_w60_o30</t>
  </si>
  <si>
    <t>{"{\"clf__C\": 0.1, \"clf__gamma\": \"scale\"}": 1, "{\"clf__C\": 1.0, \"clf__gamma\": \"scale\"}": 41}</t>
  </si>
  <si>
    <t>nested__physiological_features__valence__regression__svm__windowed__hc+hvg__emognition_features_w60_o30</t>
  </si>
  <si>
    <t>nested__physiological_features__valence__regression__svm__aggregated__hc__emognition_features_w60_o30</t>
  </si>
  <si>
    <t>{"{\"clf__C\": 0.1, \"clf__gamma\": \"scale\"}": 29, "{\"clf__C\": 1.0, \"clf__gamma\": \"auto\"}": 2, "{\"clf__C\": 1.0, \"clf__gamma\": \"scale\"}": 11}</t>
  </si>
  <si>
    <t>nested__physiological_features__valence__regression__svm__aggregated__nvg__emognition_features_w60_o30</t>
  </si>
  <si>
    <t>{"{\"clf__C\": 0.1, \"clf__gamma\": \"scale\"}": 5, "{\"clf__C\": 1.0, \"clf__gamma\": \"scale\"}": 37}</t>
  </si>
  <si>
    <t>nested__physiological_features__valence__regression__svm__aggregated__hvg__emognition_features_w60_o30</t>
  </si>
  <si>
    <t>{"{\"clf__C\": 0.1, \"clf__gamma\": \"scale\"}": 19, "{\"clf__C\": 1.0, \"clf__gamma\": \"auto\"}": 1, "{\"clf__C\": 1.0, \"clf__gamma\": \"scale\"}": 22}</t>
  </si>
  <si>
    <t>nested__physiological_features__valence__regression__svm__aggregated__hc+nvg__emognition_features_w60_o30</t>
  </si>
  <si>
    <t>{"{\"clf__C\": 1.0, \"clf__gamma\": \"scale\"}": 42}</t>
  </si>
  <si>
    <t>nested__physiological_features__valence__regression__svm__aggregated__hc+hvg__emognition_features_w60_o30</t>
  </si>
  <si>
    <t>{"{\"clf__C\": 0.1, \"clf__gamma\": \"auto\"}": 1, "{\"clf__C\": 0.1, \"clf__gamma\": \"scale\"}": 9, "{\"clf__C\": 1.0, \"clf__gamma\": \"auto\"}": 2, "{\"clf__C\": 1.0, \"clf__gamma\": \"scale\"}": 30}</t>
  </si>
  <si>
    <t>nested__physiological_features__arousal__regression__svm__windowed__hc__emognition_features_w60_o30</t>
  </si>
  <si>
    <t>{"{\"clf__C\": 0.1, \"clf__gamma\": \"auto\"}": 4, "{\"clf__C\": 0.1, \"clf__gamma\": \"scale\"}": 37, "{\"clf__C\": 1.0, \"clf__gamma\": \"scale\"}": 1}</t>
  </si>
  <si>
    <t>nested__physiological_features__arousal__regression__svm__windowed__nvg__emognition_features_w60_o30</t>
  </si>
  <si>
    <t>nested__physiological_features__arousal__regression__svm__windowed__hvg__emognition_features_w60_o30</t>
  </si>
  <si>
    <t>{"{\"clf__C\": 0.1, \"clf__gamma\": \"scale\"}": 36, "{\"clf__C\": 10.0, \"clf__gamma\": \"scale\"}": 6}</t>
  </si>
  <si>
    <t>nested__physiological_features__arousal__regression__svm__windowed__hc+nvg__emognition_features_w60_o30</t>
  </si>
  <si>
    <t>{"{\"clf__C\": 0.1, \"clf__gamma\": \"scale\"}": 15, "{\"clf__C\": 1.0, \"clf__gamma\": \"scale\"}": 27}</t>
  </si>
  <si>
    <t>nested__physiological_features__arousal__regression__svm__windowed__hc+hvg__emognition_features_w60_o30</t>
  </si>
  <si>
    <t>{"{\"clf__C\": 0.1, \"clf__gamma\": \"scale\"}": 41, "{\"clf__C\": 1.0, \"clf__gamma\": \"scale\"}": 1}</t>
  </si>
  <si>
    <t>nested__physiological_features__arousal__regression__svm__aggregated__hc__emognition_features_w60_o30</t>
  </si>
  <si>
    <t>{"{\"clf__C\": 0.1, \"clf__gamma\": \"auto\"}": 1, "{\"clf__C\": 0.1, \"clf__gamma\": \"scale\"}": 27, "{\"clf__C\": 1.0, \"clf__gamma\": \"auto\"}": 1, "{\"clf__C\": 1.0, \"clf__gamma\": \"scale\"}": 9, "{\"clf__C\": 10.0, \"clf__gamma\": \"scale\"}": 4}</t>
  </si>
  <si>
    <t>nested__physiological_features__arousal__regression__svm__aggregated__nvg__emognition_features_w60_o30</t>
  </si>
  <si>
    <t>{"{\"clf__C\": 0.1, \"clf__gamma\": \"scale\"}": 14, "{\"clf__C\": 1.0, \"clf__gamma\": \"scale\"}": 11, "{\"clf__C\": 10.0, \"clf__gamma\": \"scale\"}": 17}</t>
  </si>
  <si>
    <t>nested__physiological_features__arousal__regression__svm__aggregated__hvg__emognition_features_w60_o30</t>
  </si>
  <si>
    <t>{"{\"clf__C\": 0.1, \"clf__gamma\": \"scale\"}": 27, "{\"clf__C\": 1.0, \"clf__gamma\": \"scale\"}": 15}</t>
  </si>
  <si>
    <t>nested__physiological_features__arousal__regression__svm__aggregated__hc+nvg__emognition_features_w60_o30</t>
  </si>
  <si>
    <t>{"{\"clf__C\": 0.1, \"clf__gamma\": \"scale\"}": 23, "{\"clf__C\": 1.0, \"clf__gamma\": \"scale\"}": 2, "{\"clf__C\": 10.0, \"clf__gamma\": \"scale\"}": 17}</t>
  </si>
  <si>
    <t>nested__physiological_features__arousal__regression__svm__aggregated__hc+hvg__emognition_features_w60_o30</t>
  </si>
  <si>
    <t>{"{\"clf__C\": 0.1, \"clf__gamma\": \"scale\"}": 25, "{\"clf__C\": 1.0, \"clf__gamma\": \"scale\"}": 17}</t>
  </si>
  <si>
    <t>rf__windowed__hc__emognition_features_w60_o30</t>
  </si>
  <si>
    <t>{"{\"clf__max_depth\": 12, \"clf__max_features\": \"sqrt\", \"clf__min_samples_leaf\": 1, \"clf__n_estimators\": 300}": 8, "{\"clf__max_depth\": 12, \"clf__max_features\": \"sqrt\", \"clf__min_samples_leaf\": 3, \"clf__n_estimators\": 300}": 9, "{\"clf__max_depth\": null, \"clf__max_features\": \"sqrt\", \"clf__min_samples_leaf\": 1, \"clf__n_estimators\": 300}": 9, "{\"clf__max_depth\": null, \"clf__max_features\": \"sqrt\", \"clf__min_samples_leaf\": 3, \"clf__n_estimators\": 300}": 16}</t>
  </si>
  <si>
    <t>{"clf__max_depth": null, "clf__max_features": "sqrt", "clf__min_samples_leaf": 3, "clf__n_estimators": 300}</t>
  </si>
  <si>
    <t>[[56, 84], [65, 99]]</t>
  </si>
  <si>
    <t>nested__physiological_features__valence__binary__rf__windowed__nvg__emognition_features_w60_o30</t>
  </si>
  <si>
    <t>rf__windowed__nvg__emognition_features_w60_o30</t>
  </si>
  <si>
    <t>{"{\"clf__max_depth\": 12, \"clf__max_features\": \"sqrt\", \"clf__min_samples_leaf\": 1, \"clf__n_estimators\": 300}": 8, "{\"clf__max_depth\": 12, \"clf__max_features\": \"sqrt\", \"clf__min_samples_leaf\": 3, \"clf__n_estimators\": 300}": 11, "{\"clf__max_depth\": null, \"clf__max_features\": \"sqrt\", \"clf__min_samples_leaf\": 1, \"clf__n_estimators\": 300}": 13, "{\"clf__max_depth\": null, \"clf__max_features\": \"sqrt\", \"clf__min_samples_leaf\": 3, \"clf__n_estimators\": 300}": 10}</t>
  </si>
  <si>
    <t>{"clf__max_depth": null, "clf__max_features": "sqrt", "clf__min_samples_leaf": 1, "clf__n_estimators": 300}</t>
  </si>
  <si>
    <t>[[60, 80], [57, 107]]</t>
  </si>
  <si>
    <t>nested__physiological_features__valence__binary__rf__windowed__hvg__emognition_features_w60_o30</t>
  </si>
  <si>
    <t>rf__windowed__hvg__emognition_features_w60_o30</t>
  </si>
  <si>
    <t>{"{\"clf__max_depth\": 12, \"clf__max_features\": \"sqrt\", \"clf__min_samples_leaf\": 1, \"clf__n_estimators\": 300}": 14, "{\"clf__max_depth\": 12, \"clf__max_features\": \"sqrt\", \"clf__min_samples_leaf\": 3, \"clf__n_estimators\": 300}": 3, "{\"clf__max_depth\": null, \"clf__max_features\": \"sqrt\", \"clf__min_samples_leaf\": 1, \"clf__n_estimators\": 300}": 13, "{\"clf__max_depth\": null, \"clf__max_features\": \"sqrt\", \"clf__min_samples_leaf\": 3, \"clf__n_estimators\": 300}": 12}</t>
  </si>
  <si>
    <t>{"clf__max_depth": 12, "clf__max_features": "sqrt", "clf__min_samples_leaf": 1, "clf__n_estimators": 300}</t>
  </si>
  <si>
    <t>[[44, 96], [59, 105]]</t>
  </si>
  <si>
    <t>nested__physiological_features__valence__binary__rf__windowed__hc+nvg__emognition_features_w60_o30</t>
  </si>
  <si>
    <t>rf__windowed__hc+nvg__emognition_features_w60_o30</t>
  </si>
  <si>
    <t>{"{\"clf__max_depth\": 12, \"clf__max_features\": \"sqrt\", \"clf__min_samples_leaf\": 1, \"clf__n_estimators\": 300}": 11, "{\"clf__max_depth\": 12, \"clf__max_features\": \"sqrt\", \"clf__min_samples_leaf\": 3, \"clf__n_estimators\": 300}": 8, "{\"clf__max_depth\": null, \"clf__max_features\": \"sqrt\", \"clf__min_samples_leaf\": 1, \"clf__n_estimators\": 300}": 13, "{\"clf__max_depth\": null, \"clf__max_features\": \"sqrt\", \"clf__min_samples_leaf\": 3, \"clf__n_estimators\": 300}": 10}</t>
  </si>
  <si>
    <t>nested__physiological_features__valence__binary__rf__windowed__hc+hvg__emognition_features_w60_o30</t>
  </si>
  <si>
    <t>rf__windowed__hc+hvg__emognition_features_w60_o30</t>
  </si>
  <si>
    <t>{"{\"clf__max_depth\": 12, \"clf__max_features\": \"sqrt\", \"clf__min_samples_leaf\": 1, \"clf__n_estimators\": 300}": 12, "{\"clf__max_depth\": 12, \"clf__max_features\": \"sqrt\", \"clf__min_samples_leaf\": 3, \"clf__n_estimators\": 300}": 10, "{\"clf__max_depth\": null, \"clf__max_features\": \"sqrt\", \"clf__min_samples_leaf\": 1, \"clf__n_estimators\": 300}": 15, "{\"clf__max_depth\": null, \"clf__max_features\": \"sqrt\", \"clf__min_samples_leaf\": 3, \"clf__n_estimators\": 300}": 5}</t>
  </si>
  <si>
    <t>[[51, 89], [63, 101]]</t>
  </si>
  <si>
    <t>nested__physiological_features__valence__binary__rf__aggregated__hc__emognition_features_w60_o30</t>
  </si>
  <si>
    <t>rf__aggregated__hc__emognition_features_w60_o30</t>
  </si>
  <si>
    <t>{"{\"clf__max_depth\": 12, \"clf__max_features\": \"sqrt\", \"clf__min_samples_leaf\": 1, \"clf__n_estimators\": 300}": 7, "{\"clf__max_depth\": 12, \"clf__max_features\": \"sqrt\", \"clf__min_samples_leaf\": 3, \"clf__n_estimators\": 300}": 6, "{\"clf__max_depth\": null, \"clf__max_features\": \"sqrt\", \"clf__min_samples_leaf\": 1, \"clf__n_estimators\": 300}": 11, "{\"clf__max_depth\": null, \"clf__max_features\": \"sqrt\", \"clf__min_samples_leaf\": 3, \"clf__n_estimators\": 300}": 18}</t>
  </si>
  <si>
    <t>[[59, 81], [62, 102]]</t>
  </si>
  <si>
    <t>nested__physiological_features__valence__binary__rf__aggregated__nvg__emognition_features_w60_o30</t>
  </si>
  <si>
    <t>rf__aggregated__nvg__emognition_features_w60_o30</t>
  </si>
  <si>
    <t>{"{\"clf__max_depth\": 12, \"clf__max_features\": \"sqrt\", \"clf__min_samples_leaf\": 1, \"clf__n_estimators\": 300}": 6, "{\"clf__max_depth\": 12, \"clf__max_features\": \"sqrt\", \"clf__min_samples_leaf\": 3, \"clf__n_estimators\": 300}": 15, "{\"clf__max_depth\": null, \"clf__max_features\": \"sqrt\", \"clf__min_samples_leaf\": 1, \"clf__n_estimators\": 300}": 12, "{\"clf__max_depth\": null, \"clf__max_features\": \"sqrt\", \"clf__min_samples_leaf\": 3, \"clf__n_estimators\": 300}": 9}</t>
  </si>
  <si>
    <t>{"clf__max_depth": 12, "clf__max_features": "sqrt", "clf__min_samples_leaf": 3, "clf__n_estimators": 300}</t>
  </si>
  <si>
    <t>[[79, 61], [46, 118]]</t>
  </si>
  <si>
    <t>nested__physiological_features__valence__binary__rf__aggregated__hvg__emognition_features_w60_o30</t>
  </si>
  <si>
    <t>rf__aggregated__hvg__emognition_features_w60_o30</t>
  </si>
  <si>
    <t>{"{\"clf__max_depth\": 12, \"clf__max_features\": \"sqrt\", \"clf__min_samples_leaf\": 1, \"clf__n_estimators\": 300}": 11, "{\"clf__max_depth\": 12, \"clf__max_features\": \"sqrt\", \"clf__min_samples_leaf\": 3, \"clf__n_estimators\": 300}": 11, "{\"clf__max_depth\": null, \"clf__max_features\": \"sqrt\", \"clf__min_samples_leaf\": 1, \"clf__n_estimators\": 300}": 11, "{\"clf__max_depth\": null, \"clf__max_features\": \"sqrt\", \"clf__min_samples_leaf\": 3, \"clf__n_estimators\": 300}": 9}</t>
  </si>
  <si>
    <t>[[53, 87], [46, 118]]</t>
  </si>
  <si>
    <t>nested__physiological_features__valence__binary__rf__aggregated__hc+nvg__emognition_features_w60_o30</t>
  </si>
  <si>
    <t>rf__aggregated__hc+nvg__emognition_features_w60_o30</t>
  </si>
  <si>
    <t>{"{\"clf__max_depth\": 12, \"clf__max_features\": \"sqrt\", \"clf__min_samples_leaf\": 1, \"clf__n_estimators\": 300}": 9, "{\"clf__max_depth\": 12, \"clf__max_features\": \"sqrt\", \"clf__min_samples_leaf\": 3, \"clf__n_estimators\": 300}": 14, "{\"clf__max_depth\": null, \"clf__max_features\": \"sqrt\", \"clf__min_samples_leaf\": 1, \"clf__n_estimators\": 300}": 8, "{\"clf__max_depth\": null, \"clf__max_features\": \"sqrt\", \"clf__min_samples_leaf\": 3, \"clf__n_estimators\": 300}": 11}</t>
  </si>
  <si>
    <t>[[69, 71], [49, 115]]</t>
  </si>
  <si>
    <t>nested__physiological_features__valence__binary__rf__aggregated__hc+hvg__emognition_features_w60_o30</t>
  </si>
  <si>
    <t>rf__aggregated__hc+hvg__emognition_features_w60_o30</t>
  </si>
  <si>
    <t>{"{\"clf__max_depth\": 12, \"clf__max_features\": \"sqrt\", \"clf__min_samples_leaf\": 1, \"clf__n_estimators\": 300}": 10, "{\"clf__max_depth\": 12, \"clf__max_features\": \"sqrt\", \"clf__min_samples_leaf\": 3, \"clf__n_estimators\": 300}": 5, "{\"clf__max_depth\": null, \"clf__max_features\": \"sqrt\", \"clf__min_samples_leaf\": 1, \"clf__n_estimators\": 300}": 16, "{\"clf__max_depth\": null, \"clf__max_features\": \"sqrt\", \"clf__min_samples_leaf\": 3, \"clf__n_estimators\": 300}": 11}</t>
  </si>
  <si>
    <t>[[50, 90], [43, 121]]</t>
  </si>
  <si>
    <t>nested__physiological_features__arousal__binary__rf__windowed__hc__emognition_features_w60_o30</t>
  </si>
  <si>
    <t>{"{\"clf__max_depth\": 12, \"clf__max_features\": \"sqrt\", \"clf__min_samples_leaf\": 1, \"clf__n_estimators\": 300}": 15, "{\"clf__max_depth\": 12, \"clf__max_features\": \"sqrt\", \"clf__min_samples_leaf\": 3, \"clf__n_estimators\": 300}": 14, "{\"clf__max_depth\": null, \"clf__max_features\": \"sqrt\", \"clf__min_samples_leaf\": 1, \"clf__n_estimators\": 300}": 10, "{\"clf__max_depth\": null, \"clf__max_features\": \"sqrt\", \"clf__min_samples_leaf\": 3, \"clf__n_estimators\": 300}": 3}</t>
  </si>
  <si>
    <t>[[88, 63], [90, 37]]</t>
  </si>
  <si>
    <t>nested__physiological_features__arousal__binary__rf__windowed__nvg__emognition_features_w60_o30</t>
  </si>
  <si>
    <t>{"{\"clf__max_depth\": 12, \"clf__max_features\": \"sqrt\", \"clf__min_samples_leaf\": 1, \"clf__n_estimators\": 300}": 14, "{\"clf__max_depth\": 12, \"clf__max_features\": \"sqrt\", \"clf__min_samples_leaf\": 3, \"clf__n_estimators\": 300}": 12, "{\"clf__max_depth\": null, \"clf__max_features\": \"sqrt\", \"clf__min_samples_leaf\": 1, \"clf__n_estimators\": 300}": 7, "{\"clf__max_depth\": null, \"clf__max_features\": \"sqrt\", \"clf__min_samples_leaf\": 3, \"clf__n_estimators\": 300}": 9}</t>
  </si>
  <si>
    <t>[[98, 53], [84, 43]]</t>
  </si>
  <si>
    <t>nested__physiological_features__arousal__binary__rf__windowed__hvg__emognition_features_w60_o30</t>
  </si>
  <si>
    <t>{"{\"clf__max_depth\": 12, \"clf__max_features\": \"sqrt\", \"clf__min_samples_leaf\": 1, \"clf__n_estimators\": 300}": 10, "{\"clf__max_depth\": 12, \"clf__max_features\": \"sqrt\", \"clf__min_samples_leaf\": 3, \"clf__n_estimators\": 300}": 10, "{\"clf__max_depth\": null, \"clf__max_features\": \"sqrt\", \"clf__min_samples_leaf\": 1, \"clf__n_estimators\": 300}": 9, "{\"clf__max_depth\": null, \"clf__max_features\": \"sqrt\", \"clf__min_samples_leaf\": 3, \"clf__n_estimators\": 300}": 13}</t>
  </si>
  <si>
    <t>[[81, 70], [74, 53]]</t>
  </si>
  <si>
    <t>nested__physiological_features__arousal__binary__rf__windowed__hc+nvg__emognition_features_w60_o30</t>
  </si>
  <si>
    <t>{"{\"clf__max_depth\": 12, \"clf__max_features\": \"sqrt\", \"clf__min_samples_leaf\": 1, \"clf__n_estimators\": 300}": 10, "{\"clf__max_depth\": 12, \"clf__max_features\": \"sqrt\", \"clf__min_samples_leaf\": 3, \"clf__n_estimators\": 300}": 9, "{\"clf__max_depth\": null, \"clf__max_features\": \"sqrt\", \"clf__min_samples_leaf\": 1, \"clf__n_estimators\": 300}": 14, "{\"clf__max_depth\": null, \"clf__max_features\": \"sqrt\", \"clf__min_samples_leaf\": 3, \"clf__n_estimators\": 300}": 9}</t>
  </si>
  <si>
    <t>[[100, 51], [81, 46]]</t>
  </si>
  <si>
    <t>nested__physiological_features__arousal__binary__rf__windowed__hc+hvg__emognition_features_w60_o30</t>
  </si>
  <si>
    <t>{"{\"clf__max_depth\": 12, \"clf__max_features\": \"sqrt\", \"clf__min_samples_leaf\": 1, \"clf__n_estimators\": 300}": 12, "{\"clf__max_depth\": 12, \"clf__max_features\": \"sqrt\", \"clf__min_samples_leaf\": 3, \"clf__n_estimators\": 300}": 9, "{\"clf__max_depth\": null, \"clf__max_features\": \"sqrt\", \"clf__min_samples_leaf\": 1, \"clf__n_estimators\": 300}": 11, "{\"clf__max_depth\": null, \"clf__max_features\": \"sqrt\", \"clf__min_samples_leaf\": 3, \"clf__n_estimators\": 300}": 10}</t>
  </si>
  <si>
    <t>[[94, 57], [83, 44]]</t>
  </si>
  <si>
    <t>nested__physiological_features__arousal__binary__rf__aggregated__hc__emognition_features_w60_o30</t>
  </si>
  <si>
    <t>{"{\"clf__max_depth\": 12, \"clf__max_features\": \"sqrt\", \"clf__min_samples_leaf\": 1, \"clf__n_estimators\": 300}": 11, "{\"clf__max_depth\": 12, \"clf__max_features\": \"sqrt\", \"clf__min_samples_leaf\": 3, \"clf__n_estimators\": 300}": 9, "{\"clf__max_depth\": null, \"clf__max_features\": \"sqrt\", \"clf__min_samples_leaf\": 1, \"clf__n_estimators\": 300}": 3, "{\"clf__max_depth\": null, \"clf__max_features\": \"sqrt\", \"clf__min_samples_leaf\": 3, \"clf__n_estimators\": 300}": 19}</t>
  </si>
  <si>
    <t>[[89, 62], [85, 42]]</t>
  </si>
  <si>
    <t>nested__physiological_features__arousal__binary__rf__aggregated__nvg__emognition_features_w60_o30</t>
  </si>
  <si>
    <t>{"{\"clf__max_depth\": 12, \"clf__max_features\": \"sqrt\", \"clf__min_samples_leaf\": 1, \"clf__n_estimators\": 300}": 11, "{\"clf__max_depth\": 12, \"clf__max_features\": \"sqrt\", \"clf__min_samples_leaf\": 3, \"clf__n_estimators\": 300}": 9, "{\"clf__max_depth\": null, \"clf__max_features\": \"sqrt\", \"clf__min_samples_leaf\": 1, \"clf__n_estimators\": 300}": 15, "{\"clf__max_depth\": null, \"clf__max_features\": \"sqrt\", \"clf__min_samples_leaf\": 3, \"clf__n_estimators\": 300}": 7}</t>
  </si>
  <si>
    <t>[[93, 58], [81, 46]]</t>
  </si>
  <si>
    <t>nested__physiological_features__arousal__binary__rf__aggregated__hvg__emognition_features_w60_o30</t>
  </si>
  <si>
    <t>{"{\"clf__max_depth\": 12, \"clf__max_features\": \"sqrt\", \"clf__min_samples_leaf\": 1, \"clf__n_estimators\": 300}": 6, "{\"clf__max_depth\": 12, \"clf__max_features\": \"sqrt\", \"clf__min_samples_leaf\": 3, \"clf__n_estimators\": 300}": 11, "{\"clf__max_depth\": null, \"clf__max_features\": \"sqrt\", \"clf__min_samples_leaf\": 1, \"clf__n_estimators\": 300}": 10, "{\"clf__max_depth\": null, \"clf__max_features\": \"sqrt\", \"clf__min_samples_leaf\": 3, \"clf__n_estimators\": 300}": 15}</t>
  </si>
  <si>
    <t>[[83, 68], [74, 53]]</t>
  </si>
  <si>
    <t>nested__physiological_features__arousal__binary__rf__aggregated__hc+nvg__emognition_features_w60_o30</t>
  </si>
  <si>
    <t>{"{\"clf__max_depth\": 12, \"clf__max_features\": \"sqrt\", \"clf__min_samples_leaf\": 1, \"clf__n_estimators\": 300}": 7, "{\"clf__max_depth\": 12, \"clf__max_features\": \"sqrt\", \"clf__min_samples_leaf\": 3, \"clf__n_estimators\": 300}": 16, "{\"clf__max_depth\": null, \"clf__max_features\": \"sqrt\", \"clf__min_samples_leaf\": 1, \"clf__n_estimators\": 300}": 11, "{\"clf__max_depth\": null, \"clf__max_features\": \"sqrt\", \"clf__min_samples_leaf\": 3, \"clf__n_estimators\": 300}": 8}</t>
  </si>
  <si>
    <t>[[97, 54], [78, 49]]</t>
  </si>
  <si>
    <t>nested__physiological_features__arousal__binary__rf__aggregated__hc+hvg__emognition_features_w60_o30</t>
  </si>
  <si>
    <t>{"{\"clf__max_depth\": 12, \"clf__max_features\": \"sqrt\", \"clf__min_samples_leaf\": 1, \"clf__n_estimators\": 300}": 10, "{\"clf__max_depth\": 12, \"clf__max_features\": \"sqrt\", \"clf__min_samples_leaf\": 3, \"clf__n_estimators\": 300}": 7, "{\"clf__max_depth\": null, \"clf__max_features\": \"sqrt\", \"clf__min_samples_leaf\": 1, \"clf__n_estimators\": 300}": 8, "{\"clf__max_depth\": null, \"clf__max_features\": \"sqrt\", \"clf__min_samples_leaf\": 3, \"clf__n_estimators\": 300}": 17}</t>
  </si>
  <si>
    <t>[[83, 68], [75, 52]]</t>
  </si>
  <si>
    <t>nested__physiological_features__valence__ternary__rf__windowed__hc__emognition_features_w60_o30</t>
  </si>
  <si>
    <t>{"{\"clf__max_depth\": 12, \"clf__max_features\": \"sqrt\", \"clf__min_samples_leaf\": 1, \"clf__n_estimators\": 300}": 10, "{\"clf__max_depth\": 12, \"clf__max_features\": \"sqrt\", \"clf__min_samples_leaf\": 3, \"clf__n_estimators\": 300}": 8, "{\"clf__max_depth\": null, \"clf__max_features\": \"sqrt\", \"clf__min_samples_leaf\": 1, \"clf__n_estimators\": 300}": 14, "{\"clf__max_depth\": null, \"clf__max_features\": \"sqrt\", \"clf__min_samples_leaf\": 3, \"clf__n_estimators\": 300}": 10}</t>
  </si>
  <si>
    <t>[[34, 34, 36], [22, 25, 62], [29, 35, 55]]</t>
  </si>
  <si>
    <t>nested__physiological_features__valence__ternary__rf__windowed__nvg__emognition_features_w60_o30</t>
  </si>
  <si>
    <t>{"{\"clf__max_depth\": 12, \"clf__max_features\": \"sqrt\", \"clf__min_samples_leaf\": 1, \"clf__n_estimators\": 300}": 12, "{\"clf__max_depth\": 12, \"clf__max_features\": \"sqrt\", \"clf__min_samples_leaf\": 3, \"clf__n_estimators\": 300}": 12, "{\"clf__max_depth\": null, \"clf__max_features\": \"sqrt\", \"clf__min_samples_leaf\": 1, \"clf__n_estimators\": 300}": 7, "{\"clf__max_depth\": null, \"clf__max_features\": \"sqrt\", \"clf__min_samples_leaf\": 3, \"clf__n_estimators\": 300}": 11}</t>
  </si>
  <si>
    <t>[[43, 23, 38], [27, 36, 46], [29, 40, 50]]</t>
  </si>
  <si>
    <t>nested__physiological_features__valence__ternary__rf__windowed__hvg__emognition_features_w60_o30</t>
  </si>
  <si>
    <t>{"{\"clf__max_depth\": 12, \"clf__max_features\": \"sqrt\", \"clf__min_samples_leaf\": 1, \"clf__n_estimators\": 300}": 12, "{\"clf__max_depth\": 12, \"clf__max_features\": \"sqrt\", \"clf__min_samples_leaf\": 3, \"clf__n_estimators\": 300}": 8, "{\"clf__max_depth\": null, \"clf__max_features\": \"sqrt\", \"clf__min_samples_leaf\": 1, \"clf__n_estimators\": 300}": 12, "{\"clf__max_depth\": null, \"clf__max_features\": \"sqrt\", \"clf__min_samples_leaf\": 3, \"clf__n_estimators\": 300}": 10}</t>
  </si>
  <si>
    <t>[[34, 24, 46], [29, 31, 49], [30, 38, 51]]</t>
  </si>
  <si>
    <t>nested__physiological_features__valence__ternary__rf__windowed__hc+nvg__emognition_features_w60_o30</t>
  </si>
  <si>
    <t>{"{\"clf__max_depth\": 12, \"clf__max_features\": \"sqrt\", \"clf__min_samples_leaf\": 1, \"clf__n_estimators\": 300}": 8, "{\"clf__max_depth\": 12, \"clf__max_features\": \"sqrt\", \"clf__min_samples_leaf\": 3, \"clf__n_estimators\": 300}": 9, "{\"clf__max_depth\": null, \"clf__max_features\": \"sqrt\", \"clf__min_samples_leaf\": 1, \"clf__n_estimators\": 300}": 16, "{\"clf__max_depth\": null, \"clf__max_features\": \"sqrt\", \"clf__min_samples_leaf\": 3, \"clf__n_estimators\": 300}": 9}</t>
  </si>
  <si>
    <t>[[36, 27, 41], [26, 30, 53], [31, 39, 49]]</t>
  </si>
  <si>
    <t>nested__physiological_features__valence__ternary__rf__windowed__hc+hvg__emognition_features_w60_o30</t>
  </si>
  <si>
    <t>{"{\"clf__max_depth\": 12, \"clf__max_features\": \"sqrt\", \"clf__min_samples_leaf\": 1, \"clf__n_estimators\": 300}": 6, "{\"clf__max_depth\": 12, \"clf__max_features\": \"sqrt\", \"clf__min_samples_leaf\": 3, \"clf__n_estimators\": 300}": 17, "{\"clf__max_depth\": null, \"clf__max_features\": \"sqrt\", \"clf__min_samples_leaf\": 1, \"clf__n_estimators\": 300}": 8, "{\"clf__max_depth\": null, \"clf__max_features\": \"sqrt\", \"clf__min_samples_leaf\": 3, \"clf__n_estimators\": 300}": 11}</t>
  </si>
  <si>
    <t>[[29, 24, 51], [25, 26, 58], [29, 40, 50]]</t>
  </si>
  <si>
    <t>nested__physiological_features__valence__ternary__rf__aggregated__hc__emognition_features_w60_o30</t>
  </si>
  <si>
    <t>{"{\"clf__max_depth\": 12, \"clf__max_features\": \"sqrt\", \"clf__min_samples_leaf\": 1, \"clf__n_estimators\": 300}": 14, "{\"clf__max_depth\": 12, \"clf__max_features\": \"sqrt\", \"clf__min_samples_leaf\": 3, \"clf__n_estimators\": 300}": 10, "{\"clf__max_depth\": null, \"clf__max_features\": \"sqrt\", \"clf__min_samples_leaf\": 1, \"clf__n_estimators\": 300}": 12, "{\"clf__max_depth\": null, \"clf__max_features\": \"sqrt\", \"clf__min_samples_leaf\": 3, \"clf__n_estimators\": 300}": 6}</t>
  </si>
  <si>
    <t>[[40, 28, 36], [30, 22, 57], [21, 32, 66]]</t>
  </si>
  <si>
    <t>nested__physiological_features__valence__ternary__rf__aggregated__nvg__emognition_features_w60_o30</t>
  </si>
  <si>
    <t>{"{\"clf__max_depth\": 12, \"clf__max_features\": \"sqrt\", \"clf__min_samples_leaf\": 1, \"clf__n_estimators\": 300}": 7, "{\"clf__max_depth\": 12, \"clf__max_features\": \"sqrt\", \"clf__min_samples_leaf\": 3, \"clf__n_estimators\": 300}": 11, "{\"clf__max_depth\": null, \"clf__max_features\": \"sqrt\", \"clf__min_samples_leaf\": 1, \"clf__n_estimators\": 300}": 7, "{\"clf__max_depth\": null, \"clf__max_features\": \"sqrt\", \"clf__min_samples_leaf\": 3, \"clf__n_estimators\": 300}": 17}</t>
  </si>
  <si>
    <t>[[47, 26, 31], [30, 28, 51], [24, 35, 60]]</t>
  </si>
  <si>
    <t>nested__physiological_features__valence__ternary__rf__aggregated__hvg__emognition_features_w60_o30</t>
  </si>
  <si>
    <t>{"{\"clf__max_depth\": 12, \"clf__max_features\": \"sqrt\", \"clf__min_samples_leaf\": 1, \"clf__n_estimators\": 300}": 12, "{\"clf__max_depth\": 12, \"clf__max_features\": \"sqrt\", \"clf__min_samples_leaf\": 3, \"clf__n_estimators\": 300}": 3, "{\"clf__max_depth\": null, \"clf__max_features\": \"sqrt\", \"clf__min_samples_leaf\": 1, \"clf__n_estimators\": 300}": 16, "{\"clf__max_depth\": null, \"clf__max_features\": \"sqrt\", \"clf__min_samples_leaf\": 3, \"clf__n_estimators\": 300}": 11}</t>
  </si>
  <si>
    <t>[[33, 27, 44], [28, 27, 54], [22, 36, 61]]</t>
  </si>
  <si>
    <t>nested__physiological_features__valence__ternary__rf__aggregated__hc+nvg__emognition_features_w60_o30</t>
  </si>
  <si>
    <t>{"{\"clf__max_depth\": 12, \"clf__max_features\": \"sqrt\", \"clf__min_samples_leaf\": 1, \"clf__n_estimators\": 300}": 10, "{\"clf__max_depth\": 12, \"clf__max_features\": \"sqrt\", \"clf__min_samples_leaf\": 3, \"clf__n_estimators\": 300}": 13, "{\"clf__max_depth\": null, \"clf__max_features\": \"sqrt\", \"clf__min_samples_leaf\": 1, \"clf__n_estimators\": 300}": 12, "{\"clf__max_depth\": null, \"clf__max_features\": \"sqrt\", \"clf__min_samples_leaf\": 3, \"clf__n_estimators\": 300}": 7}</t>
  </si>
  <si>
    <t>[[42, 27, 35], [30, 23, 56], [22, 31, 66]]</t>
  </si>
  <si>
    <t>nested__physiological_features__valence__ternary__rf__aggregated__hc+hvg__emognition_features_w60_o30</t>
  </si>
  <si>
    <t>[[30, 24, 50], [30, 20, 59], [18, 35, 66]]</t>
  </si>
  <si>
    <t>nested__physiological_features__arousal__ternary__rf__windowed__hc__emognition_features_w60_o30</t>
  </si>
  <si>
    <t>{"{\"clf__max_depth\": 12, \"clf__max_features\": \"sqrt\", \"clf__min_samples_leaf\": 1, \"clf__n_estimators\": 300}": 6, "{\"clf__max_depth\": 12, \"clf__max_features\": \"sqrt\", \"clf__min_samples_leaf\": 3, \"clf__n_estimators\": 300}": 9, "{\"clf__max_depth\": null, \"clf__max_features\": \"sqrt\", \"clf__min_samples_leaf\": 1, \"clf__n_estimators\": 300}": 19, "{\"clf__max_depth\": null, \"clf__max_features\": \"sqrt\", \"clf__min_samples_leaf\": 3, \"clf__n_estimators\": 300}": 8}</t>
  </si>
  <si>
    <t>[[23, 72, 8], [37, 99, 12], [16, 64, 1]]</t>
  </si>
  <si>
    <t>nested__physiological_features__arousal__ternary__rf__windowed__nvg__emognition_features_w60_o30</t>
  </si>
  <si>
    <t>{"{\"clf__max_depth\": 12, \"clf__max_features\": \"sqrt\", \"clf__min_samples_leaf\": 1, \"clf__n_estimators\": 300}": 7, "{\"clf__max_depth\": 12, \"clf__max_features\": \"sqrt\", \"clf__min_samples_leaf\": 3, \"clf__n_estimators\": 300}": 16, "{\"clf__max_depth\": null, \"clf__max_features\": \"sqrt\", \"clf__min_samples_leaf\": 1, \"clf__n_estimators\": 300}": 8, "{\"clf__max_depth\": null, \"clf__max_features\": \"sqrt\", \"clf__min_samples_leaf\": 3, \"clf__n_estimators\": 300}": 11}</t>
  </si>
  <si>
    <t>[[25, 70, 8], [34, 100, 14], [24, 50, 7]]</t>
  </si>
  <si>
    <t>nested__physiological_features__arousal__ternary__rf__windowed__hvg__emognition_features_w60_o30</t>
  </si>
  <si>
    <t>{"{\"clf__max_depth\": 12, \"clf__max_features\": \"sqrt\", \"clf__min_samples_leaf\": 1, \"clf__n_estimators\": 300}": 3, "{\"clf__max_depth\": 12, \"clf__max_features\": \"sqrt\", \"clf__min_samples_leaf\": 3, \"clf__n_estimators\": 300}": 17, "{\"clf__max_depth\": null, \"clf__max_features\": \"sqrt\", \"clf__min_samples_leaf\": 1, \"clf__n_estimators\": 300}": 6, "{\"clf__max_depth\": null, \"clf__max_features\": \"sqrt\", \"clf__min_samples_leaf\": 3, \"clf__n_estimators\": 300}": 16}</t>
  </si>
  <si>
    <t>[[33, 63, 7], [46, 85, 17], [18, 54, 9]]</t>
  </si>
  <si>
    <t>nested__physiological_features__arousal__ternary__rf__windowed__hc+nvg__emognition_features_w60_o30</t>
  </si>
  <si>
    <t>{"{\"clf__max_depth\": 12, \"clf__max_features\": \"sqrt\", \"clf__min_samples_leaf\": 1, \"clf__n_estimators\": 300}": 9, "{\"clf__max_depth\": 12, \"clf__max_features\": \"sqrt\", \"clf__min_samples_leaf\": 3, \"clf__n_estimators\": 300}": 8, "{\"clf__max_depth\": null, \"clf__max_features\": \"sqrt\", \"clf__min_samples_leaf\": 1, \"clf__n_estimators\": 300}": 13, "{\"clf__max_depth\": null, \"clf__max_features\": \"sqrt\", \"clf__min_samples_leaf\": 3, \"clf__n_estimators\": 300}": 12}</t>
  </si>
  <si>
    <t>[[18, 77, 8], [25, 111, 12], [16, 64, 1]]</t>
  </si>
  <si>
    <t>nested__physiological_features__arousal__ternary__rf__windowed__hc+hvg__emognition_features_w60_o30</t>
  </si>
  <si>
    <t>{"{\"clf__max_depth\": 12, \"clf__max_features\": \"sqrt\", \"clf__min_samples_leaf\": 1, \"clf__n_estimators\": 300}": 12, "{\"clf__max_depth\": 12, \"clf__max_features\": \"sqrt\", \"clf__min_samples_leaf\": 3, \"clf__n_estimators\": 300}": 11, "{\"clf__max_depth\": null, \"clf__max_features\": \"sqrt\", \"clf__min_samples_leaf\": 1, \"clf__n_estimators\": 300}": 10, "{\"clf__max_depth\": null, \"clf__max_features\": \"sqrt\", \"clf__min_samples_leaf\": 3, \"clf__n_estimators\": 300}": 9}</t>
  </si>
  <si>
    <t>[[30, 64, 9], [35, 92, 21], [14, 63, 4]]</t>
  </si>
  <si>
    <t>nested__physiological_features__arousal__ternary__rf__aggregated__hc__emognition_features_w60_o30</t>
  </si>
  <si>
    <t>{"{\"clf__max_depth\": 12, \"clf__max_features\": \"sqrt\", \"clf__min_samples_leaf\": 1, \"clf__n_estimators\": 300}": 13, "{\"clf__max_depth\": 12, \"clf__max_features\": \"sqrt\", \"clf__min_samples_leaf\": 3, \"clf__n_estimators\": 300}": 11, "{\"clf__max_depth\": null, \"clf__max_features\": \"sqrt\", \"clf__min_samples_leaf\": 1, \"clf__n_estimators\": 300}": 11, "{\"clf__max_depth\": null, \"clf__max_features\": \"sqrt\", \"clf__min_samples_leaf\": 3, \"clf__n_estimators\": 300}": 7}</t>
  </si>
  <si>
    <t>[[18, 75, 10], [30, 99, 19], [17, 61, 3]]</t>
  </si>
  <si>
    <t>nested__physiological_features__arousal__ternary__rf__aggregated__nvg__emognition_features_w60_o30</t>
  </si>
  <si>
    <t>{"{\"clf__max_depth\": 12, \"clf__max_features\": \"sqrt\", \"clf__min_samples_leaf\": 1, \"clf__n_estimators\": 300}": 10, "{\"clf__max_depth\": 12, \"clf__max_features\": \"sqrt\", \"clf__min_samples_leaf\": 3, \"clf__n_estimators\": 300}": 11, "{\"clf__max_depth\": null, \"clf__max_features\": \"sqrt\", \"clf__min_samples_leaf\": 1, \"clf__n_estimators\": 300}": 13, "{\"clf__max_depth\": null, \"clf__max_features\": \"sqrt\", \"clf__min_samples_leaf\": 3, \"clf__n_estimators\": 300}": 8}</t>
  </si>
  <si>
    <t>[[24, 73, 6], [29, 102, 17], [11, 66, 4]]</t>
  </si>
  <si>
    <t>nested__physiological_features__arousal__ternary__rf__aggregated__hvg__emognition_features_w60_o30</t>
  </si>
  <si>
    <t>{"{\"clf__max_depth\": 12, \"clf__max_features\": \"sqrt\", \"clf__min_samples_leaf\": 1, \"clf__n_estimators\": 300}": 13, "{\"clf__max_depth\": 12, \"clf__max_features\": \"sqrt\", \"clf__min_samples_leaf\": 3, \"clf__n_estimators\": 300}": 14, "{\"clf__max_depth\": null, \"clf__max_features\": \"sqrt\", \"clf__min_samples_leaf\": 1, \"clf__n_estimators\": 300}": 7, "{\"clf__max_depth\": null, \"clf__max_features\": \"sqrt\", \"clf__min_samples_leaf\": 3, \"clf__n_estimators\": 300}": 8}</t>
  </si>
  <si>
    <t>[[29, 64, 10], [36, 94, 18], [14, 64, 3]]</t>
  </si>
  <si>
    <t>nested__physiological_features__arousal__ternary__rf__aggregated__hc+nvg__emognition_features_w60_o30</t>
  </si>
  <si>
    <t>{"{\"clf__max_depth\": 12, \"clf__max_features\": \"sqrt\", \"clf__min_samples_leaf\": 1, \"clf__n_estimators\": 300}": 15, "{\"clf__max_depth\": 12, \"clf__max_features\": \"sqrt\", \"clf__min_samples_leaf\": 3, \"clf__n_estimators\": 300}": 5, "{\"clf__max_depth\": null, \"clf__max_features\": \"sqrt\", \"clf__min_samples_leaf\": 1, \"clf__n_estimators\": 300}": 16, "{\"clf__max_depth\": null, \"clf__max_features\": \"sqrt\", \"clf__min_samples_leaf\": 3, \"clf__n_estimators\": 300}": 6}</t>
  </si>
  <si>
    <t>[[20, 77, 6], [28, 109, 11], [12, 67, 2]]</t>
  </si>
  <si>
    <t>nested__physiological_features__arousal__ternary__rf__aggregated__hc+hvg__emognition_features_w60_o30</t>
  </si>
  <si>
    <t>[[19, 76, 8], [32, 100, 16], [18, 59, 4]]</t>
  </si>
  <si>
    <t>nested__physiological_features__valence__binary__xgboost__windowed__hc__emognition_features_w60_o30</t>
  </si>
  <si>
    <t>xgboost__windowed__hc__emognition_features_w60_o30</t>
  </si>
  <si>
    <t>{"{\"clf__estimator__colsample_bytree\": 0.85, \"clf__estimator__learning_rate\": 0.03, \"clf__estimator__max_depth\": 3, \"clf__estimator__n_estimators\": 250, \"clf__estimator__subsample\": 0.85}": 7, "{\"clf__estimator__colsample_bytree\": 0.85, \"clf__estimator__learning_rate\": 0.03, \"clf__estimator__max_depth\": 3, \"clf__estimator__n_estimators\": 450, \"clf__estimator__subsample\": 0.85}": 9, "{\"clf__estimator__colsample_bytree\": 0.85, \"clf__estimator__learning_rate\": 0.03, \"clf__estimator__max_depth\": 5, \"clf__estimator__n_estimators\": 250, \"clf__estimator__subsample\": 0.85}": 1, "{\"clf__estimator__colsample_bytree\": 0.85, \"clf__estimator__learning_rate\": 0.03, \"clf__estimator__max_depth\": 5, \"clf__estimator__n_estimators\": 450, \"clf__estimator__subsample\": 0.85}": 4, "{\"clf__estimator__colsample_bytree\": 0.85, \"clf__estimator__learning_rate\": 0.08, \"clf__estimator__max_depth\": 3, \"clf__estimator__n_estimators\": 250, \"clf__estimator__subsample\": 0.85}": 12, "{\"clf__estimator__colsample_bytree\": 0.85, \"clf__estimator__learning_rate\": 0.08, \"clf__estimator__max_depth\": 3, \"clf__estimator__n_estimators\": 450, \"clf__estimator__subsample\": 0.85}": 3, "{\"clf__estimator__colsample_bytree\": 0.85, \"clf__estimator__learning_rate\": 0.08, \"clf__estimator__max_depth\": 5, \"clf__estimator__n_estimators\": 250, \"clf__estimator__subsample\": 0.85}": 4, "{\"clf__estimator__colsample_bytree\": 0.85, \"clf__estimator__learning_rate\": 0.08, \"clf__estimator__max_depth\": 5, \"clf__estimator__n_estimators\": 450, \"clf__estimator__subsample\": 0.85}": 2}</t>
  </si>
  <si>
    <t>{"clf__estimator__colsample_bytree": 0.85, "clf__estimator__learning_rate": 0.08, "clf__estimator__max_depth": 3, "clf__estimator__n_estimators": 250, "clf__estimator__subsample": 0.85}</t>
  </si>
  <si>
    <t>[[56, 84], [84, 80]]</t>
  </si>
  <si>
    <t>nested__physiological_features__valence__binary__xgboost__windowed__nvg__emognition_features_w60_o30</t>
  </si>
  <si>
    <t>xgboost__windowed__nvg__emognition_features_w60_o30</t>
  </si>
  <si>
    <t>{"{\"clf__estimator__colsample_bytree\": 0.85, \"clf__estimator__learning_rate\": 0.03, \"clf__estimator__max_depth\": 3, \"clf__estimator__n_estimators\": 250, \"clf__estimator__subsample\": 0.85}": 9, "{\"clf__estimator__colsample_bytree\": 0.85, \"clf__estimator__learning_rate\": 0.03, \"clf__estimator__max_depth\": 3, \"clf__estimator__n_estimators\": 450, \"clf__estimator__subsample\": 0.85}": 1, "{\"clf__estimator__colsample_bytree\": 0.85, \"clf__estimator__learning_rate\": 0.03, \"clf__estimator__max_depth\": 5, \"clf__estimator__n_estimators\": 250, \"clf__estimator__subsample\": 0.85}": 5, "{\"clf__estimator__colsample_bytree\": 0.85, \"clf__estimator__learning_rate\": 0.03, \"clf__estimator__max_depth\": 5, \"clf__estimator__n_estimators\": 450, \"clf__estimator__subsample\": 0.85}": 4, "{\"clf__estimator__colsample_bytree\": 0.85, \"clf__estimator__learning_rate\": 0.08, \"clf__estimator__max_depth\": 3, \"clf__estimator__n_estimators\": 250, \"clf__estimator__subsample\": 0.85}": 3, "{\"clf__estimator__colsample_bytree\": 0.85, \"clf__estimator__learning_rate\": 0.08, \"clf__estimator__max_depth\": 3, \"clf__estimator__n_estimators\": 450, \"clf__estimator__subsample\": 0.85}": 2, "{\"clf__estimator__colsample_bytree\": 0.85, \"clf__estimator__learning_rate\": 0.08, \"clf__estimator__max_depth\": 5, \"clf__estimator__n_estimators\": 250, \"clf__estimator__subsample\": 0.85}": 8, "{\"clf__estimator__colsample_bytree\": 0.85, \"clf__estimator__learning_rate\": 0.08, \"clf__estimator__max_depth\": 5, \"clf__estimator__n_estimators\": 450, \"clf__estimator__subsample\": 0.85}": 10}</t>
  </si>
  <si>
    <t>{"clf__estimator__colsample_bytree": 0.85, "clf__estimator__learning_rate": 0.08, "clf__estimator__max_depth": 5, "clf__estimator__n_estimators": 450, "clf__estimator__subsample": 0.85}</t>
  </si>
  <si>
    <t>[[66, 74], [72, 92]]</t>
  </si>
  <si>
    <t>nested__physiological_features__valence__binary__xgboost__windowed__hvg__emognition_features_w60_o30</t>
  </si>
  <si>
    <t>xgboost__windowed__hvg__emognition_features_w60_o30</t>
  </si>
  <si>
    <t>{"{\"clf__estimator__colsample_bytree\": 0.85, \"clf__estimator__learning_rate\": 0.03, \"clf__estimator__max_depth\": 3, \"clf__estimator__n_estimators\": 250, \"clf__estimator__subsample\": 0.85}": 8, "{\"clf__estimator__colsample_bytree\": 0.85, \"clf__estimator__learning_rate\": 0.03, \"clf__estimator__max_depth\": 3, \"clf__estimator__n_estimators\": 450, \"clf__estimator__subsample\": 0.85}": 6, "{\"clf__estimator__colsample_bytree\": 0.85, \"clf__estimator__learning_rate\": 0.03, \"clf__estimator__max_depth\": 5, \"clf__estimator__n_estimators\": 250, \"clf__estimator__subsample\": 0.85}": 4, "{\"clf__estimator__colsample_bytree\": 0.85, \"clf__estimator__learning_rate\": 0.03, \"clf__estimator__max_depth\": 5, \"clf__estimator__n_estimators\": 450, \"clf__estimator__subsample\": 0.85}": 3, "{\"clf__estimator__colsample_bytree\": 0.85, \"clf__estimator__learning_rate\": 0.08, \"clf__estimator__max_depth\": 3, \"clf__estimator__n_estimators\": 250, \"clf__estimator__subsample\": 0.85}": 6, "{\"clf__estimator__colsample_bytree\": 0.85, \"clf__estimator__learning_rate\": 0.08, \"clf__estimator__max_depth\": 3, \"clf__estimator__n_estimators\": 450, \"clf__estimator__subsample\": 0.85}": 7, "{\"clf__estimator__colsample_bytree\": 0.85, \"clf__estimator__learning_rate\": 0.08, \"clf__estimator__max_depth\": 5, \"clf__estimator__n_estimators\": 250, \"clf__estimator__subsample\": 0.85}": 3, "{\"clf__estimator__colsample_bytree\": 0.85, \"clf__estimator__learning_rate\": 0.08, \"clf__estimator__max_depth\": 5, \"clf__estimator__n_estimators\": 450, \"clf__estimator__subsample\": 0.85}": 5}</t>
  </si>
  <si>
    <t>{"clf__estimator__colsample_bytree": 0.85, "clf__estimator__learning_rate": 0.03, "clf__estimator__max_depth": 3, "clf__estimator__n_estimators": 250, "clf__estimator__subsample": 0.85}</t>
  </si>
  <si>
    <t>[[60, 80], [68, 96]]</t>
  </si>
  <si>
    <t>nested__physiological_features__valence__binary__xgboost__windowed__hc+nvg__emognition_features_w60_o30</t>
  </si>
  <si>
    <t>xgboost__windowed__hc+nvg__emognition_features_w60_o30</t>
  </si>
  <si>
    <t>{"{\"clf__estimator__colsample_bytree\": 0.85, \"clf__estimator__learning_rate\": 0.03, \"clf__estimator__max_depth\": 3, \"clf__estimator__n_estimators\": 250, \"clf__estimator__subsample\": 0.85}": 8, "{\"clf__estimator__colsample_bytree\": 0.85, \"clf__estimator__learning_rate\": 0.03, \"clf__estimator__max_depth\": 3, \"clf__estimator__n_estimators\": 450, \"clf__estimator__subsample\": 0.85}": 2, "{\"clf__estimator__colsample_bytree\": 0.85, \"clf__estimator__learning_rate\": 0.03, \"clf__estimator__max_depth\": 5, \"clf__estimator__n_estimators\": 250, \"clf__estimator__subsample\": 0.85}": 4, "{\"clf__estimator__colsample_bytree\": 0.85, \"clf__estimator__learning_rate\": 0.03, \"clf__estimator__max_depth\": 5, \"clf__estimator__n_estimators\": 450, \"clf__estimator__subsample\": 0.85}": 9, "{\"clf__estimator__colsample_bytree\": 0.85, \"clf__estimator__learning_rate\": 0.08, \"clf__estimator__max_depth\": 3, \"clf__estimator__n_estimators\": 250, \"clf__estimator__subsample\": 0.85}": 6, "{\"clf__estimator__colsample_bytree\": 0.85, \"clf__estimator__learning_rate\": 0.08, \"clf__estimator__max_depth\": 3, \"clf__estimator__n_estimators\": 450, \"clf__estimator__subsample\": 0.85}": 3, "{\"clf__estimator__colsample_bytree\": 0.85, \"clf__estimator__learning_rate\": 0.08, \"clf__estimator__max_depth\": 5, \"clf__estimator__n_estimators\": 250, \"clf__estimator__subsample\": 0.85}": 7, "{\"clf__estimator__colsample_bytree\": 0.85, \"clf__estimator__learning_rate\": 0.08, \"clf__estimator__max_depth\": 5, \"clf__estimator__n_estimators\": 450, \"clf__estimator__subsample\": 0.85}": 3}</t>
  </si>
  <si>
    <t>{"clf__estimator__colsample_bytree": 0.85, "clf__estimator__learning_rate": 0.03, "clf__estimator__max_depth": 5, "clf__estimator__n_estimators": 450, "clf__estimator__subsample": 0.85}</t>
  </si>
  <si>
    <t>[[66, 74], [70, 94]]</t>
  </si>
  <si>
    <t>nested__physiological_features__valence__binary__xgboost__windowed__hc+hvg__emognition_features_w60_o30</t>
  </si>
  <si>
    <t>xgboost__windowed__hc+hvg__emognition_features_w60_o30</t>
  </si>
  <si>
    <t>{"{\"clf__estimator__colsample_bytree\": 0.85, \"clf__estimator__learning_rate\": 0.03, \"clf__estimator__max_depth\": 3, \"clf__estimator__n_estimators\": 250, \"clf__estimator__subsample\": 0.85}": 7, "{\"clf__estimator__colsample_bytree\": 0.85, \"clf__estimator__learning_rate\": 0.03, \"clf__estimator__max_depth\": 3, \"clf__estimator__n_estimators\": 450, \"clf__estimator__subsample\": 0.85}": 5, "{\"clf__estimator__colsample_bytree\": 0.85, \"clf__estimator__learning_rate\": 0.03, \"clf__estimator__max_depth\": 5, \"clf__estimator__n_estimators\": 250, \"clf__estimator__subsample\": 0.85}": 3, "{\"clf__estimator__colsample_bytree\": 0.85, \"clf__estimator__learning_rate\": 0.03, \"clf__estimator__max_depth\": 5, \"clf__estimator__n_estimators\": 450, \"clf__estimator__subsample\": 0.85}": 7, "{\"clf__estimator__colsample_bytree\": 0.85, \"clf__estimator__learning_rate\": 0.08, \"clf__estimator__max_depth\": 3, \"clf__estimator__n_estimators\": 250, \"clf__estimator__subsample\": 0.85}": 7, "{\"clf__estimator__colsample_bytree\": 0.85, \"clf__estimator__learning_rate\": 0.08, \"clf__estimator__max_depth\": 3, \"clf__estimator__n_estimators\": 450, \"clf__estimator__subsample\": 0.85}": 3, "{\"clf__estimator__colsample_bytree\": 0.85, \"clf__estimator__learning_rate\": 0.08, \"clf__estimator__max_depth\": 5, \"clf__estimator__n_estimators\": 250, \"clf__estimator__subsample\": 0.85}": 3, "{\"clf__estimator__colsample_bytree\": 0.85, \"clf__estimator__learning_rate\": 0.08, \"clf__estimator__max_depth\": 5, \"clf__estimator__n_estimators\": 450, \"clf__estimator__subsample\": 0.85}": 7}</t>
  </si>
  <si>
    <t>[[59, 81], [76, 88]]</t>
  </si>
  <si>
    <t>nested__physiological_features__valence__binary__xgboost__aggregated__hc__emognition_features_w60_o30</t>
  </si>
  <si>
    <t>xgboost__aggregated__hc__emognition_features_w60_o30</t>
  </si>
  <si>
    <t>{"{\"clf__estimator__colsample_bytree\": 0.85, \"clf__estimator__learning_rate\": 0.03, \"clf__estimator__max_depth\": 3, \"clf__estimator__n_estimators\": 250, \"clf__estimator__subsample\": 0.85}": 3, "{\"clf__estimator__colsample_bytree\": 0.85, \"clf__estimator__learning_rate\": 0.03, \"clf__estimator__max_depth\": 3, \"clf__estimator__n_estimators\": 450, \"clf__estimator__subsample\": 0.85}": 2, "{\"clf__estimator__colsample_bytree\": 0.85, \"clf__estimator__learning_rate\": 0.03, \"clf__estimator__max_depth\": 5, \"clf__estimator__n_estimators\": 250, \"clf__estimator__subsample\": 0.85}": 3, "{\"clf__estimator__colsample_bytree\": 0.85, \"clf__estimator__learning_rate\": 0.03, \"clf__estimator__max_depth\": 5, \"clf__estimator__n_estimators\": 450, \"clf__estimator__subsample\": 0.85}": 7, "{\"clf__estimator__colsample_bytree\": 0.85, \"clf__estimator__learning_rate\": 0.08, \"clf__estimator__max_depth\": 3, \"clf__estimator__n_estimators\": 250, \"clf__estimator__subsample\": 0.85}": 7, "{\"clf__estimator__colsample_bytree\": 0.85, \"clf__estimator__learning_rate\": 0.08, \"clf__estimator__max_depth\": 3, \"clf__estimator__n_estimators\": 450, \"clf__estimator__subsample\": 0.85}": 5, "{\"clf__estimator__colsample_bytree\": 0.85, \"clf__estimator__learning_rate\": 0.08, \"clf__estimator__max_depth\": 5, \"clf__estimator__n_estimators\": 250, \"clf__estimator__subsample\": 0.85}": 5, "{\"clf__estimator__colsample_bytree\": 0.85, \"clf__estimator__learning_rate\": 0.08, \"clf__estimator__max_depth\": 5, \"clf__estimator__n_estimators\": 450, \"clf__estimator__subsample\": 0.85}": 10}</t>
  </si>
  <si>
    <t>[[68, 72], [70, 94]]</t>
  </si>
  <si>
    <t>nested__physiological_features__valence__binary__xgboost__aggregated__nvg__emognition_features_w60_o30</t>
  </si>
  <si>
    <t>xgboost__aggregated__nvg__emognition_features_w60_o30</t>
  </si>
  <si>
    <t>{"{\"clf__estimator__colsample_bytree\": 0.85, \"clf__estimator__learning_rate\": 0.03, \"clf__estimator__max_depth\": 3, \"clf__estimator__n_estimators\": 250, \"clf__estimator__subsample\": 0.85}": 13, "{\"clf__estimator__colsample_bytree\": 0.85, \"clf__estimator__learning_rate\": 0.03, \"clf__estimator__max_depth\": 3, \"clf__estimator__n_estimators\": 450, \"clf__estimator__subsample\": 0.85}": 5, "{\"clf__estimator__colsample_bytree\": 0.85, \"clf__estimator__learning_rate\": 0.03, \"clf__estimator__max_depth\": 5, \"clf__estimator__n_estimators\": 250, \"clf__estimator__subsample\": 0.85}": 7, "{\"clf__estimator__colsample_bytree\": 0.85, \"clf__estimator__learning_rate\": 0.03, \"clf__estimator__max_depth\": 5, \"clf__estimator__n_estimators\": 450, \"clf__estimator__subsample\": 0.85}": 5, "{\"clf__estimator__colsample_bytree\": 0.85, \"clf__estimator__learning_rate\": 0.08, \"clf__estimator__max_depth\": 3, \"clf__estimator__n_estimators\": 250, \"clf__estimator__subsample\": 0.85}": 3, "{\"clf__estimator__colsample_bytree\": 0.85, \"clf__estimator__learning_rate\": 0.08, \"clf__estimator__max_depth\": 3, \"clf__estimator__n_estimators\": 450, \"clf__estimator__subsample\": 0.85}": 1, "{\"clf__estimator__colsample_bytree\": 0.85, \"clf__estimator__learning_rate\": 0.08, \"clf__estimator__max_depth\": 5, \"clf__estimator__n_estimators\": 250, \"clf__estimator__subsample\": 0.85}": 3, "{\"clf__estimator__colsample_bytree\": 0.85, \"clf__estimator__learning_rate\": 0.08, \"clf__estimator__max_depth\": 5, \"clf__estimator__n_estimators\": 450, \"clf__estimator__subsample\": 0.85}": 5}</t>
  </si>
  <si>
    <t>[[79, 61], [57, 107]]</t>
  </si>
  <si>
    <t>nested__physiological_features__valence__binary__xgboost__aggregated__hvg__emognition_features_w60_o30</t>
  </si>
  <si>
    <t>xgboost__aggregated__hvg__emognition_features_w60_o30</t>
  </si>
  <si>
    <t>{"{\"clf__estimator__colsample_bytree\": 0.85, \"clf__estimator__learning_rate\": 0.03, \"clf__estimator__max_depth\": 3, \"clf__estimator__n_estimators\": 250, \"clf__estimator__subsample\": 0.85}": 16, "{\"clf__estimator__colsample_bytree\": 0.85, \"clf__estimator__learning_rate\": 0.03, \"clf__estimator__max_depth\": 3, \"clf__estimator__n_estimators\": 450, \"clf__estimator__subsample\": 0.85}": 8, "{\"clf__estimator__colsample_bytree\": 0.85, \"clf__estimator__learning_rate\": 0.03, \"clf__estimator__max_depth\": 5, \"clf__estimator__n_estimators\": 250, \"clf__estimator__subsample\": 0.85}": 4, "{\"clf__estimator__colsample_bytree\": 0.85, \"clf__estimator__learning_rate\": 0.03, \"clf__estimator__max_depth\": 5, \"clf__estimator__n_estimators\": 450, \"clf__estimator__subsample\": 0.85}": 2, "{\"clf__estimator__colsample_bytree\": 0.85, \"clf__estimator__learning_rate\": 0.08, \"clf__estimator__max_depth\": 3, \"clf__estimator__n_estimators\": 250, \"clf__estimator__subsample\": 0.85}": 4, "{\"clf__estimator__colsample_bytree\": 0.85, \"clf__estimator__learning_rate\": 0.08, \"clf__estimator__max_depth\": 3, \"clf__estimator__n_estimators\": 450, \"clf__estimator__subsample\": 0.85}": 4, "{\"clf__estimator__colsample_bytree\": 0.85, \"clf__estimator__learning_rate\": 0.08, \"clf__estimator__max_depth\": 5, \"clf__estimator__n_estimators\": 250, \"clf__estimator__subsample\": 0.85}": 2, "{\"clf__estimator__colsample_bytree\": 0.85, \"clf__estimator__learning_rate\": 0.08, \"clf__estimator__max_depth\": 5, \"clf__estimator__n_estimators\": 450, \"clf__estimator__subsample\": 0.85}": 2}</t>
  </si>
  <si>
    <t>[[73, 67], [65, 99]]</t>
  </si>
  <si>
    <t>nested__physiological_features__valence__binary__xgboost__aggregated__hc+nvg__emognition_features_w60_o30</t>
  </si>
  <si>
    <t>xgboost__aggregated__hc+nvg__emognition_features_w60_o30</t>
  </si>
  <si>
    <t>{"{\"clf__estimator__colsample_bytree\": 0.85, \"clf__estimator__learning_rate\": 0.03, \"clf__estimator__max_depth\": 3, \"clf__estimator__n_estimators\": 250, \"clf__estimator__subsample\": 0.85}": 8, "{\"clf__estimator__colsample_bytree\": 0.85, \"clf__estimator__learning_rate\": 0.03, \"clf__estimator__max_depth\": 3, \"clf__estimator__n_estimators\": 450, \"clf__estimator__subsample\": 0.85}": 4, "{\"clf__estimator__colsample_bytree\": 0.85, \"clf__estimator__learning_rate\": 0.03, \"clf__estimator__max_depth\": 5, \"clf__estimator__n_estimators\": 250, \"clf__estimator__subsample\": 0.85}": 8, "{\"clf__estimator__colsample_bytree\": 0.85, \"clf__estimator__learning_rate\": 0.03, \"clf__estimator__max_depth\": 5, \"clf__estimator__n_estimators\": 450, \"clf__estimator__subsample\": 0.85}": 8, "{\"clf__estimator__colsample_bytree\": 0.85, \"clf__estimator__learning_rate\": 0.08, \"clf__estimator__max_depth\": 3, \"clf__estimator__n_estimators\": 250, \"clf__estimator__subsample\": 0.85}": 7, "{\"clf__estimator__colsample_bytree\": 0.85, \"clf__estimator__learning_rate\": 0.08, \"clf__estimator__max_depth\": 3, \"clf__estimator__n_estimators\": 450, \"clf__estimator__subsample\": 0.85}": 1, "{\"clf__estimator__colsample_bytree\": 0.85, \"clf__estimator__learning_rate\": 0.08, \"clf__estimator__max_depth\": 5, \"clf__estimator__n_estimators\": 250, \"clf__estimator__subsample\": 0.85}": 4, "{\"clf__estimator__colsample_bytree\": 0.85, \"clf__estimator__learning_rate\": 0.08, \"clf__estimator__max_depth\": 5, \"clf__estimator__n_estimators\": 450, \"clf__estimator__subsample\": 0.85}": 2}</t>
  </si>
  <si>
    <t>{"clf__estimator__colsample_bytree": 0.85, "clf__estimator__learning_rate": 0.03, "clf__estimator__max_depth": 5, "clf__estimator__n_estimators": 250, "clf__estimator__subsample": 0.85}</t>
  </si>
  <si>
    <t>[[81, 59], [51, 113]]</t>
  </si>
  <si>
    <t>nested__physiological_features__valence__binary__xgboost__aggregated__hc+hvg__emognition_features_w60_o30</t>
  </si>
  <si>
    <t>xgboost__aggregated__hc+hvg__emognition_features_w60_o30</t>
  </si>
  <si>
    <t>{"{\"clf__estimator__colsample_bytree\": 0.85, \"clf__estimator__learning_rate\": 0.03, \"clf__estimator__max_depth\": 3, \"clf__estimator__n_estimators\": 250, \"clf__estimator__subsample\": 0.85}": 6, "{\"clf__estimator__colsample_bytree\": 0.85, \"clf__estimator__learning_rate\": 0.03, \"clf__estimator__max_depth\": 3, \"clf__estimator__n_estimators\": 450, \"clf__estimator__subsample\": 0.85}": 3, "{\"clf__estimator__colsample_bytree\": 0.85, \"clf__estimator__learning_rate\": 0.03, \"clf__estimator__max_depth\": 5, \"clf__estimator__n_estimators\": 250, \"clf__estimator__subsample\": 0.85}": 8, "{\"clf__estimator__colsample_bytree\": 0.85, \"clf__estimator__learning_rate\": 0.03, \"clf__estimator__max_depth\": 5, \"clf__estimator__n_estimators\": 450, \"clf__estimator__subsample\": 0.85}": 4, "{\"clf__estimator__colsample_bytree\": 0.85, \"clf__estimator__learning_rate\": 0.08, \"clf__estimator__max_depth\": 3, \"clf__estimator__n_estimators\": 250, \"clf__estimator__subsample\": 0.85}": 7, "{\"clf__estimator__colsample_bytree\": 0.85, \"clf__estimator__learning_rate\": 0.08, \"clf__estimator__max_depth\": 3, \"clf__estimator__n_estimators\": 450, \"clf__estimator__subsample\": 0.85}": 2, "{\"clf__estimator__colsample_bytree\": 0.85, \"clf__estimator__learning_rate\": 0.08, \"clf__estimator__max_depth\": 5, \"clf__estimator__n_estimators\": 250, \"clf__estimator__subsample\": 0.85}": 5, "{\"clf__estimator__colsample_bytree\": 0.85, \"clf__estimator__learning_rate\": 0.08, \"clf__estimator__max_depth\": 5, \"clf__estimator__n_estimators\": 450, \"clf__estimator__subsample\": 0.85}": 7}</t>
  </si>
  <si>
    <t>[[69, 71], [66, 98]]</t>
  </si>
  <si>
    <t>nested__physiological_features__arousal__binary__xgboost__windowed__hc__emognition_features_w60_o30</t>
  </si>
  <si>
    <t>{"{\"clf__estimator__colsample_bytree\": 0.85, \"clf__estimator__learning_rate\": 0.03, \"clf__estimator__max_depth\": 3, \"clf__estimator__n_estimators\": 250, \"clf__estimator__subsample\": 0.85}": 10, "{\"clf__estimator__colsample_bytree\": 0.85, \"clf__estimator__learning_rate\": 0.03, \"clf__estimator__max_depth\": 3, \"clf__estimator__n_estimators\": 450, \"clf__estimator__subsample\": 0.85}": 6, "{\"clf__estimator__colsample_bytree\": 0.85, \"clf__estimator__learning_rate\": 0.03, \"clf__estimator__max_depth\": 5, \"clf__estimator__n_estimators\": 250, \"clf__estimator__subsample\": 0.85}": 2, "{\"clf__estimator__colsample_bytree\": 0.85, \"clf__estimator__learning_rate\": 0.03, \"clf__estimator__max_depth\": 5, \"clf__estimator__n_estimators\": 450, \"clf__estimator__subsample\": 0.85}": 6, "{\"clf__estimator__colsample_bytree\": 0.85, \"clf__estimator__learning_rate\": 0.08, \"clf__estimator__max_depth\": 3, \"clf__estimator__n_estimators\": 250, \"clf__estimator__subsample\": 0.85}": 2, "{\"clf__estimator__colsample_bytree\": 0.85, \"clf__estimator__learning_rate\": 0.08, \"clf__estimator__max_depth\": 3, \"clf__estimator__n_estimators\": 450, \"clf__estimator__subsample\": 0.85}": 6, "{\"clf__estimator__colsample_bytree\": 0.85, \"clf__estimator__learning_rate\": 0.08, \"clf__estimator__max_depth\": 5, \"clf__estimator__n_estimators\": 250, \"clf__estimator__subsample\": 0.85}": 5, "{\"clf__estimator__colsample_bytree\": 0.85, \"clf__estimator__learning_rate\": 0.08, \"clf__estimator__max_depth\": 5, \"clf__estimator__n_estimators\": 450, \"clf__estimator__subsample\": 0.85}": 5}</t>
  </si>
  <si>
    <t>[[89, 62], [78, 49]]</t>
  </si>
  <si>
    <t>nested__physiological_features__arousal__binary__xgboost__windowed__nvg__emognition_features_w60_o30</t>
  </si>
  <si>
    <t>{"{\"clf__estimator__colsample_bytree\": 0.85, \"clf__estimator__learning_rate\": 0.03, \"clf__estimator__max_depth\": 3, \"clf__estimator__n_estimators\": 250, \"clf__estimator__subsample\": 0.85}": 4, "{\"clf__estimator__colsample_bytree\": 0.85, \"clf__estimator__learning_rate\": 0.03, \"clf__estimator__max_depth\": 3, \"clf__estimator__n_estimators\": 450, \"clf__estimator__subsample\": 0.85}": 3, "{\"clf__estimator__colsample_bytree\": 0.85, \"clf__estimator__learning_rate\": 0.03, \"clf__estimator__max_depth\": 5, \"clf__estimator__n_estimators\": 250, \"clf__estimator__subsample\": 0.85}": 4, "{\"clf__estimator__colsample_bytree\": 0.85, \"clf__estimator__learning_rate\": 0.03, \"clf__estimator__max_depth\": 5, \"clf__estimator__n_estimators\": 450, \"clf__estimator__subsample\": 0.85}": 3, "{\"clf__estimator__colsample_bytree\": 0.85, \"clf__estimator__learning_rate\": 0.08, \"clf__estimator__max_depth\": 3, \"clf__estimator__n_estimators\": 250, \"clf__estimator__subsample\": 0.85}": 11, "{\"clf__estimator__colsample_bytree\": 0.85, \"clf__estimator__learning_rate\": 0.08, \"clf__estimator__max_depth\": 3, \"clf__estimator__n_estimators\": 450, \"clf__estimator__subsample\": 0.85}": 4, "{\"clf__estimator__colsample_bytree\": 0.85, \"clf__estimator__learning_rate\": 0.08, \"clf__estimator__max_depth\": 5, \"clf__estimator__n_estimators\": 250, \"clf__estimator__subsample\": 0.85}": 2, "{\"clf__estimator__colsample_bytree\": 0.85, \"clf__estimator__learning_rate\": 0.08, \"clf__estimator__max_depth\": 5, \"clf__estimator__n_estimators\": 450, \"clf__estimator__subsample\": 0.85}": 11}</t>
  </si>
  <si>
    <t>[[101, 50], [69, 58]]</t>
  </si>
  <si>
    <t>nested__physiological_features__arousal__binary__xgboost__windowed__hvg__emognition_features_w60_o30</t>
  </si>
  <si>
    <t>{"{\"clf__estimator__colsample_bytree\": 0.85, \"clf__estimator__learning_rate\": 0.03, \"clf__estimator__max_depth\": 3, \"clf__estimator__n_estimators\": 250, \"clf__estimator__subsample\": 0.85}": 8, "{\"clf__estimator__colsample_bytree\": 0.85, \"clf__estimator__learning_rate\": 0.03, \"clf__estimator__max_depth\": 3, \"clf__estimator__n_estimators\": 450, \"clf__estimator__subsample\": 0.85}": 7, "{\"clf__estimator__colsample_bytree\": 0.85, \"clf__estimator__learning_rate\": 0.03, \"clf__estimator__max_depth\": 5, \"clf__estimator__n_estimators\": 250, \"clf__estimator__subsample\": 0.85}": 5, "{\"clf__estimator__colsample_bytree\": 0.85, \"clf__estimator__learning_rate\": 0.08, \"clf__estimator__max_depth\": 3, \"clf__estimator__n_estimators\": 250, \"clf__estimator__subsample\": 0.85}": 7, "{\"clf__estimator__colsample_bytree\": 0.85, \"clf__estimator__learning_rate\": 0.08, \"clf__estimator__max_depth\": 3, \"clf__estimator__n_estimators\": 450, \"clf__estimator__subsample\": 0.85}": 5, "{\"clf__estimator__colsample_bytree\": 0.85, \"clf__estimator__learning_rate\": 0.08, \"clf__estimator__max_depth\": 5, \"clf__estimator__n_estimators\": 250, \"clf__estimator__subsample\": 0.85}": 4, "{\"clf__estimator__colsample_bytree\": 0.85, \"clf__estimator__learning_rate\": 0.08, \"clf__estimator__max_depth\": 5, \"clf__estimator__n_estimators\": 450, \"clf__estimator__subsample\": 0.85}": 6}</t>
  </si>
  <si>
    <t>[[91, 60], [68, 59]]</t>
  </si>
  <si>
    <t>nested__physiological_features__arousal__binary__xgboost__windowed__hc+nvg__emognition_features_w60_o30</t>
  </si>
  <si>
    <t>{"{\"clf__estimator__colsample_bytree\": 0.85, \"clf__estimator__learning_rate\": 0.03, \"clf__estimator__max_depth\": 3, \"clf__estimator__n_estimators\": 250, \"clf__estimator__subsample\": 0.85}": 4, "{\"clf__estimator__colsample_bytree\": 0.85, \"clf__estimator__learning_rate\": 0.03, \"clf__estimator__max_depth\": 3, \"clf__estimator__n_estimators\": 450, \"clf__estimator__subsample\": 0.85}": 5, "{\"clf__estimator__colsample_bytree\": 0.85, \"clf__estimator__learning_rate\": 0.03, \"clf__estimator__max_depth\": 5, \"clf__estimator__n_estimators\": 250, \"clf__estimator__subsample\": 0.85}": 7, "{\"clf__estimator__colsample_bytree\": 0.85, \"clf__estimator__learning_rate\": 0.03, \"clf__estimator__max_depth\": 5, \"clf__estimator__n_estimators\": 450, \"clf__estimator__subsample\": 0.85}": 3, "{\"clf__estimator__colsample_bytree\": 0.85, \"clf__estimator__learning_rate\": 0.08, \"clf__estimator__max_depth\": 3, \"clf__estimator__n_estimators\": 250, \"clf__estimator__subsample\": 0.85}": 6, "{\"clf__estimator__colsample_bytree\": 0.85, \"clf__estimator__learning_rate\": 0.08, \"clf__estimator__max_depth\": 3, \"clf__estimator__n_estimators\": 450, \"clf__estimator__subsample\": 0.85}": 5, "{\"clf__estimator__colsample_bytree\": 0.85, \"clf__estimator__learning_rate\": 0.08, \"clf__estimator__max_depth\": 5, \"clf__estimator__n_estimators\": 250, \"clf__estimator__subsample\": 0.85}": 5, "{\"clf__estimator__colsample_bytree\": 0.85, \"clf__estimator__learning_rate\": 0.08, \"clf__estimator__max_depth\": 5, \"clf__estimator__n_estimators\": 450, \"clf__estimator__subsample\": 0.85}": 7}</t>
  </si>
  <si>
    <t>[[91, 60], [73, 54]]</t>
  </si>
  <si>
    <t>nested__physiological_features__arousal__binary__xgboost__windowed__hc+hvg__emognition_features_w60_o30</t>
  </si>
  <si>
    <t>{"{\"clf__estimator__colsample_bytree\": 0.85, \"clf__estimator__learning_rate\": 0.03, \"clf__estimator__max_depth\": 3, \"clf__estimator__n_estimators\": 250, \"clf__estimator__subsample\": 0.85}": 6, "{\"clf__estimator__colsample_bytree\": 0.85, \"clf__estimator__learning_rate\": 0.03, \"clf__estimator__max_depth\": 3, \"clf__estimator__n_estimators\": 450, \"clf__estimator__subsample\": 0.85}": 8, "{\"clf__estimator__colsample_bytree\": 0.85, \"clf__estimator__learning_rate\": 0.03, \"clf__estimator__max_depth\": 5, \"clf__estimator__n_estimators\": 250, \"clf__estimator__subsample\": 0.85}": 1, "{\"clf__estimator__colsample_bytree\": 0.85, \"clf__estimator__learning_rate\": 0.03, \"clf__estimator__max_depth\": 5, \"clf__estimator__n_estimators\": 450, \"clf__estimator__subsample\": 0.85}": 5, "{\"clf__estimator__colsample_bytree\": 0.85, \"clf__estimator__learning_rate\": 0.08, \"clf__estimator__max_depth\": 3, \"clf__estimator__n_estimators\": 250, \"clf__estimator__subsample\": 0.85}": 6, "{\"clf__estimator__colsample_bytree\": 0.85, \"clf__estimator__learning_rate\": 0.08, \"clf__estimator__max_depth\": 3, \"clf__estimator__n_estimators\": 450, \"clf__estimator__subsample\": 0.85}": 9, "{\"clf__estimator__colsample_bytree\": 0.85, \"clf__estimator__learning_rate\": 0.08, \"clf__estimator__max_depth\": 5, \"clf__estimator__n_estimators\": 250, \"clf__estimator__subsample\": 0.85}": 4, "{\"clf__estimator__colsample_bytree\": 0.85, \"clf__estimator__learning_rate\": 0.08, \"clf__estimator__max_depth\": 5, \"clf__estimator__n_estimators\": 450, \"clf__estimator__subsample\": 0.85}": 3}</t>
  </si>
  <si>
    <t>{"clf__estimator__colsample_bytree": 0.85, "clf__estimator__learning_rate": 0.08, "clf__estimator__max_depth": 3, "clf__estimator__n_estimators": 450, "clf__estimator__subsample": 0.85}</t>
  </si>
  <si>
    <t>[[84, 67], [71, 56]]</t>
  </si>
  <si>
    <t>nested__physiological_features__arousal__binary__xgboost__aggregated__hc__emognition_features_w60_o30</t>
  </si>
  <si>
    <t>{"{\"clf__estimator__colsample_bytree\": 0.85, \"clf__estimator__learning_rate\": 0.03, \"clf__estimator__max_depth\": 3, \"clf__estimator__n_estimators\": 250, \"clf__estimator__subsample\": 0.85}": 5, "{\"clf__estimator__colsample_bytree\": 0.85, \"clf__estimator__learning_rate\": 0.03, \"clf__estimator__max_depth\": 3, \"clf__estimator__n_estimators\": 450, \"clf__estimator__subsample\": 0.85}": 6, "{\"clf__estimator__colsample_bytree\": 0.85, \"clf__estimator__learning_rate\": 0.03, \"clf__estimator__max_depth\": 5, \"clf__estimator__n_estimators\": 250, \"clf__estimator__subsample\": 0.85}": 4, "{\"clf__estimator__colsample_bytree\": 0.85, \"clf__estimator__learning_rate\": 0.03, \"clf__estimator__max_depth\": 5, \"clf__estimator__n_estimators\": 450, \"clf__estimator__subsample\": 0.85}": 5, "{\"clf__estimator__colsample_bytree\": 0.85, \"clf__estimator__learning_rate\": 0.08, \"clf__estimator__max_depth\": 3, \"clf__estimator__n_estimators\": 250, \"clf__estimator__subsample\": 0.85}": 9, "{\"clf__estimator__colsample_bytree\": 0.85, \"clf__estimator__learning_rate\": 0.08, \"clf__estimator__max_depth\": 3, \"clf__estimator__n_estimators\": 450, \"clf__estimator__subsample\": 0.85}": 5, "{\"clf__estimator__colsample_bytree\": 0.85, \"clf__estimator__learning_rate\": 0.08, \"clf__estimator__max_depth\": 5, \"clf__estimator__n_estimators\": 250, \"clf__estimator__subsample\": 0.85}": 6, "{\"clf__estimator__colsample_bytree\": 0.85, \"clf__estimator__learning_rate\": 0.08, \"clf__estimator__max_depth\": 5, \"clf__estimator__n_estimators\": 450, \"clf__estimator__subsample\": 0.85}": 2}</t>
  </si>
  <si>
    <t>[[84, 67], [77, 50]]</t>
  </si>
  <si>
    <t>nested__physiological_features__arousal__binary__xgboost__aggregated__nvg__emognition_features_w60_o30</t>
  </si>
  <si>
    <t>{"{\"clf__estimator__colsample_bytree\": 0.85, \"clf__estimator__learning_rate\": 0.03, \"clf__estimator__max_depth\": 3, \"clf__estimator__n_estimators\": 250, \"clf__estimator__subsample\": 0.85}": 3, "{\"clf__estimator__colsample_bytree\": 0.85, \"clf__estimator__learning_rate\": 0.03, \"clf__estimator__max_depth\": 3, \"clf__estimator__n_estimators\": 450, \"clf__estimator__subsample\": 0.85}": 6, "{\"clf__estimator__colsample_bytree\": 0.85, \"clf__estimator__learning_rate\": 0.03, \"clf__estimator__max_depth\": 5, \"clf__estimator__n_estimators\": 250, \"clf__estimator__subsample\": 0.85}": 6, "{\"clf__estimator__colsample_bytree\": 0.85, \"clf__estimator__learning_rate\": 0.03, \"clf__estimator__max_depth\": 5, \"clf__estimator__n_estimators\": 450, \"clf__estimator__subsample\": 0.85}": 5, "{\"clf__estimator__colsample_bytree\": 0.85, \"clf__estimator__learning_rate\": 0.08, \"clf__estimator__max_depth\": 3, \"clf__estimator__n_estimators\": 250, \"clf__estimator__subsample\": 0.85}": 5, "{\"clf__estimator__colsample_bytree\": 0.85, \"clf__estimator__learning_rate\": 0.08, \"clf__estimator__max_depth\": 3, \"clf__estimator__n_estimators\": 450, \"clf__estimator__subsample\": 0.85}": 4, "{\"clf__estimator__colsample_bytree\": 0.85, \"clf__estimator__learning_rate\": 0.08, \"clf__estimator__max_depth\": 5, \"clf__estimator__n_estimators\": 250, \"clf__estimator__subsample\": 0.85}": 8, "{\"clf__estimator__colsample_bytree\": 0.85, \"clf__estimator__learning_rate\": 0.08, \"clf__estimator__max_depth\": 5, \"clf__estimator__n_estimators\": 450, \"clf__estimator__subsample\": 0.85}": 5}</t>
  </si>
  <si>
    <t>{"clf__estimator__colsample_bytree": 0.85, "clf__estimator__learning_rate": 0.08, "clf__estimator__max_depth": 5, "clf__estimator__n_estimators": 250, "clf__estimator__subsample": 0.85}</t>
  </si>
  <si>
    <t>[[89, 62], [75, 52]]</t>
  </si>
  <si>
    <t>nested__physiological_features__arousal__binary__xgboost__aggregated__hvg__emognition_features_w60_o30</t>
  </si>
  <si>
    <t>{"{\"clf__estimator__colsample_bytree\": 0.85, \"clf__estimator__learning_rate\": 0.03, \"clf__estimator__max_depth\": 3, \"clf__estimator__n_estimators\": 250, \"clf__estimator__subsample\": 0.85}": 5, "{\"clf__estimator__colsample_bytree\": 0.85, \"clf__estimator__learning_rate\": 0.03, \"clf__estimator__max_depth\": 3, \"clf__estimator__n_estimators\": 450, \"clf__estimator__subsample\": 0.85}": 1, "{\"clf__estimator__colsample_bytree\": 0.85, \"clf__estimator__learning_rate\": 0.03, \"clf__estimator__max_depth\": 5, \"clf__estimator__n_estimators\": 250, \"clf__estimator__subsample\": 0.85}": 3, "{\"clf__estimator__colsample_bytree\": 0.85, \"clf__estimator__learning_rate\": 0.03, \"clf__estimator__max_depth\": 5, \"clf__estimator__n_estimators\": 450, \"clf__estimator__subsample\": 0.85}": 9, "{\"clf__estimator__colsample_bytree\": 0.85, \"clf__estimator__learning_rate\": 0.08, \"clf__estimator__max_depth\": 3, \"clf__estimator__n_estimators\": 250, \"clf__estimator__subsample\": 0.85}": 6, "{\"clf__estimator__colsample_bytree\": 0.85, \"clf__estimator__learning_rate\": 0.08, \"clf__estimator__max_depth\": 3, \"clf__estimator__n_estimators\": 450, \"clf__estimator__subsample\": 0.85}": 8, "{\"clf__estimator__colsample_bytree\": 0.85, \"clf__estimator__learning_rate\": 0.08, \"clf__estimator__max_depth\": 5, \"clf__estimator__n_estimators\": 250, \"clf__estimator__subsample\": 0.85}": 4, "{\"clf__estimator__colsample_bytree\": 0.85, \"clf__estimator__learning_rate\": 0.08, \"clf__estimator__max_depth\": 5, \"clf__estimator__n_estimators\": 450, \"clf__estimator__subsample\": 0.85}": 6}</t>
  </si>
  <si>
    <t>[[74, 77], [72, 55]]</t>
  </si>
  <si>
    <t>nested__physiological_features__arousal__binary__xgboost__aggregated__hc+nvg__emognition_features_w60_o30</t>
  </si>
  <si>
    <t>{"{\"clf__estimator__colsample_bytree\": 0.85, \"clf__estimator__learning_rate\": 0.03, \"clf__estimator__max_depth\": 3, \"clf__estimator__n_estimators\": 250, \"clf__estimator__subsample\": 0.85}": 2, "{\"clf__estimator__colsample_bytree\": 0.85, \"clf__estimator__learning_rate\": 0.03, \"clf__estimator__max_depth\": 3, \"clf__estimator__n_estimators\": 450, \"clf__estimator__subsample\": 0.85}": 5, "{\"clf__estimator__colsample_bytree\": 0.85, \"clf__estimator__learning_rate\": 0.03, \"clf__estimator__max_depth\": 5, \"clf__estimator__n_estimators\": 250, \"clf__estimator__subsample\": 0.85}": 8, "{\"clf__estimator__colsample_bytree\": 0.85, \"clf__estimator__learning_rate\": 0.03, \"clf__estimator__max_depth\": 5, \"clf__estimator__n_estimators\": 450, \"clf__estimator__subsample\": 0.85}": 2, "{\"clf__estimator__colsample_bytree\": 0.85, \"clf__estimator__learning_rate\": 0.08, \"clf__estimator__max_depth\": 3, \"clf__estimator__n_estimators\": 250, \"clf__estimator__subsample\": 0.85}": 7, "{\"clf__estimator__colsample_bytree\": 0.85, \"clf__estimator__learning_rate\": 0.08, \"clf__estimator__max_depth\": 3, \"clf__estimator__n_estimators\": 450, \"clf__estimator__subsample\": 0.85}": 3, "{\"clf__estimator__colsample_bytree\": 0.85, \"clf__estimator__learning_rate\": 0.08, \"clf__estimator__max_depth\": 5, \"clf__estimator__n_estimators\": 250, \"clf__estimator__subsample\": 0.85}": 7, "{\"clf__estimator__colsample_bytree\": 0.85, \"clf__estimator__learning_rate\": 0.08, \"clf__estimator__max_depth\": 5, \"clf__estimator__n_estimators\": 450, \"clf__estimator__subsample\": 0.85}": 8}</t>
  </si>
  <si>
    <t>[[88, 63], [78, 49]]</t>
  </si>
  <si>
    <t>nested__physiological_features__arousal__binary__xgboost__aggregated__hc+hvg__emognition_features_w60_o30</t>
  </si>
  <si>
    <t>{"{\"clf__estimator__colsample_bytree\": 0.85, \"clf__estimator__learning_rate\": 0.03, \"clf__estimator__max_depth\": 3, \"clf__estimator__n_estimators\": 250, \"clf__estimator__subsample\": 0.85}": 2, "{\"clf__estimator__colsample_bytree\": 0.85, \"clf__estimator__learning_rate\": 0.03, \"clf__estimator__max_depth\": 3, \"clf__estimator__n_estimators\": 450, \"clf__estimator__subsample\": 0.85}": 3, "{\"clf__estimator__colsample_bytree\": 0.85, \"clf__estimator__learning_rate\": 0.03, \"clf__estimator__max_depth\": 5, \"clf__estimator__n_estimators\": 250, \"clf__estimator__subsample\": 0.85}": 5, "{\"clf__estimator__colsample_bytree\": 0.85, \"clf__estimator__learning_rate\": 0.03, \"clf__estimator__max_depth\": 5, \"clf__estimator__n_estimators\": 450, \"clf__estimator__subsample\": 0.85}": 3, "{\"clf__estimator__colsample_bytree\": 0.85, \"clf__estimator__learning_rate\": 0.08, \"clf__estimator__max_depth\": 3, \"clf__estimator__n_estimators\": 250, \"clf__estimator__subsample\": 0.85}": 8, "{\"clf__estimator__colsample_bytree\": 0.85, \"clf__estimator__learning_rate\": 0.08, \"clf__estimator__max_depth\": 3, \"clf__estimator__n_estimators\": 450, \"clf__estimator__subsample\": 0.85}": 8, "{\"clf__estimator__colsample_bytree\": 0.85, \"clf__estimator__learning_rate\": 0.08, \"clf__estimator__max_depth\": 5, \"clf__estimator__n_estimators\": 250, \"clf__estimator__subsample\": 0.85}": 7, "{\"clf__estimator__colsample_bytree\": 0.85, \"clf__estimator__learning_rate\": 0.08, \"clf__estimator__max_depth\": 5, \"clf__estimator__n_estimators\": 450, \"clf__estimator__subsample\": 0.85}": 6}</t>
  </si>
  <si>
    <t>[[79, 72], [77, 50]]</t>
  </si>
  <si>
    <t>nested__physiological_features__valence__regression__mlp__windowed__hc__emognition_features_w60_o30</t>
  </si>
  <si>
    <t>mlp__windowed__hc__emognition_features_w60_o30</t>
  </si>
  <si>
    <t>mlp</t>
  </si>
  <si>
    <t>{"{\"clf__alpha\": 0.0001, \"clf__hidden_layer_sizes\": [128], \"clf__learning_rate_init\": 0.001}": 5, "{\"clf__alpha\": 0.0001, \"clf__hidden_layer_sizes\": [256, 128, 64], \"clf__learning_rate_init\": 0.0005}": 6, "{\"clf__alpha\": 0.0001, \"clf__hidden_layer_sizes\": [256, 128, 64], \"clf__learning_rate_init\": 0.001}": 8, "{\"clf__alpha\": 0.0001, \"clf__hidden_layer_sizes\": [256, 128], \"clf__learning_rate_init\": 0.0005}": 1, "{\"clf__alpha\": 0.0001, \"clf__hidden_layer_sizes\": [256, 128], \"clf__learning_rate_init\": 0.001}": 7, "{\"clf__alpha\": 0.001, \"clf__hidden_layer_sizes\": [128], \"clf__learning_rate_init\": 0.001}": 2, "{\"clf__alpha\": 0.001, \"clf__hidden_layer_sizes\": [256, 128, 64], \"clf__learning_rate_init\": 0.0005}": 6, "{\"clf__alpha\": 0.001, \"clf__hidden_layer_sizes\": [256, 128, 64], \"clf__learning_rate_init\": 0.001}": 2, "{\"clf__alpha\": 0.001, \"clf__hidden_layer_sizes\": [256, 128], \"clf__learning_rate_init\": 0.001}": 5}</t>
  </si>
  <si>
    <t>{"clf__alpha": 0.0001, "clf__hidden_layer_sizes": [256, 128, 64], "clf__learning_rate_init": 0.001}</t>
  </si>
  <si>
    <t>nested__physiological_features__valence__regression__mlp__windowed__nvg__emognition_features_w60_o30</t>
  </si>
  <si>
    <t>mlp__windowed__nvg__emognition_features_w60_o30</t>
  </si>
  <si>
    <t>{"{\"clf__alpha\": 0.0001, \"clf__hidden_layer_sizes\": [256, 128, 64], \"clf__learning_rate_init\": 0.0005}": 7, "{\"clf__alpha\": 0.0001, \"clf__hidden_layer_sizes\": [256, 128, 64], \"clf__learning_rate_init\": 0.001}": 3, "{\"clf__alpha\": 0.0001, \"clf__hidden_layer_sizes\": [256, 128], \"clf__learning_rate_init\": 0.0005}": 6, "{\"clf__alpha\": 0.0001, \"clf__hidden_layer_sizes\": [256, 128], \"clf__learning_rate_init\": 0.001}": 5, "{\"clf__alpha\": 0.001, \"clf__hidden_layer_sizes\": [128], \"clf__learning_rate_init\": 0.001}": 1, "{\"clf__alpha\": 0.001, \"clf__hidden_layer_sizes\": [256, 128, 64], \"clf__learning_rate_init\": 0.0005}": 5, "{\"clf__alpha\": 0.001, \"clf__hidden_layer_sizes\": [256, 128, 64], \"clf__learning_rate_init\": 0.001}": 3, "{\"clf__alpha\": 0.001, \"clf__hidden_layer_sizes\": [256, 128], \"clf__learning_rate_init\": 0.0005}": 10, "{\"clf__alpha\": 0.001, \"clf__hidden_layer_sizes\": [256, 128], \"clf__learning_rate_init\": 0.001}": 2}</t>
  </si>
  <si>
    <t>{"clf__alpha": 0.001, "clf__hidden_layer_sizes": [256, 128], "clf__learning_rate_init": 0.0005}</t>
  </si>
  <si>
    <t>nested__physiological_features__valence__regression__mlp__windowed__hvg__emognition_features_w60_o30</t>
  </si>
  <si>
    <t>mlp__windowed__hvg__emognition_features_w60_o30</t>
  </si>
  <si>
    <t>{"{\"clf__alpha\": 0.0001, \"clf__hidden_layer_sizes\": [128], \"clf__learning_rate_init\": 0.001}": 3, "{\"clf__alpha\": 0.0001, \"clf__hidden_layer_sizes\": [256, 128, 64], \"clf__learning_rate_init\": 0.0005}": 1, "{\"clf__alpha\": 0.0001, \"clf__hidden_layer_sizes\": [256, 128, 64], \"clf__learning_rate_init\": 0.001}": 10, "{\"clf__alpha\": 0.0001, \"clf__hidden_layer_sizes\": [256, 128], \"clf__learning_rate_init\": 0.0005}": 2, "{\"clf__alpha\": 0.0001, \"clf__hidden_layer_sizes\": [256, 128], \"clf__learning_rate_init\": 0.001}": 7, "{\"clf__alpha\": 0.001, \"clf__hidden_layer_sizes\": [128], \"clf__learning_rate_init\": 0.0005}": 4, "{\"clf__alpha\": 0.001, \"clf__hidden_layer_sizes\": [128], \"clf__learning_rate_init\": 0.001}": 3, "{\"clf__alpha\": 0.001, \"clf__hidden_layer_sizes\": [256, 128, 64], \"clf__learning_rate_init\": 0.001}": 2, "{\"clf__alpha\": 0.001, \"clf__hidden_layer_sizes\": [256, 128], \"clf__learning_rate_init\": 0.0005}": 5, "{\"clf__alpha\": 0.001, \"clf__hidden_layer_sizes\": [256, 128], \"clf__learning_rate_init\": 0.001}": 5}</t>
  </si>
  <si>
    <t>nested__physiological_features__valence__regression__mlp__windowed__hc+nvg__emognition_features_w60_o30</t>
  </si>
  <si>
    <t>mlp__windowed__hc+nvg__emognition_features_w60_o30</t>
  </si>
  <si>
    <t>{"{\"clf__alpha\": 0.0001, \"clf__hidden_layer_sizes\": [128], \"clf__learning_rate_init\": 0.0005}": 1, "{\"clf__alpha\": 0.0001, \"clf__hidden_layer_sizes\": [128], \"clf__learning_rate_init\": 0.001}": 1, "{\"clf__alpha\": 0.0001, \"clf__hidden_layer_sizes\": [256, 128, 64], \"clf__learning_rate_init\": 0.0005}": 4, "{\"clf__alpha\": 0.0001, \"clf__hidden_layer_sizes\": [256, 128, 64], \"clf__learning_rate_init\": 0.001}": 5, "{\"clf__alpha\": 0.0001, \"clf__hidden_layer_sizes\": [256, 128], \"clf__learning_rate_init\": 0.0005}": 9, "{\"clf__alpha\": 0.0001, \"clf__hidden_layer_sizes\": [256, 128], \"clf__learning_rate_init\": 0.001}": 2, "{\"clf__alpha\": 0.001, \"clf__hidden_layer_sizes\": [128], \"clf__learning_rate_init\": 0.0005}": 2, "{\"clf__alpha\": 0.001, \"clf__hidden_layer_sizes\": [128], \"clf__learning_rate_init\": 0.001}": 1, "{\"clf__alpha\": 0.001, \"clf__hidden_layer_sizes\": [256, 128, 64], \"clf__learning_rate_init\": 0.0005}": 3, "{\"clf__alpha\": 0.001, \"clf__hidden_layer_sizes\": [256, 128, 64], \"clf__learning_rate_init\": 0.001}": 4, "{\"clf__alpha\": 0.001, \"clf__hidden_layer_sizes\": [256, 128], \"clf__learning_rate_init\": 0.0005}": 3, "{\"clf__alpha\": 0.001, \"clf__hidden_layer_sizes\": [256, 128], \"clf__learning_rate_init\": 0.001}": 7}</t>
  </si>
  <si>
    <t>{"clf__alpha": 0.0001, "clf__hidden_layer_sizes": [256, 128], "clf__learning_rate_init": 0.0005}</t>
  </si>
  <si>
    <t>nested__physiological_features__valence__regression__mlp__windowed__hc+hvg__emognition_features_w60_o30</t>
  </si>
  <si>
    <t>mlp__windowed__hc+hvg__emognition_features_w60_o30</t>
  </si>
  <si>
    <t>{"{\"clf__alpha\": 0.0001, \"clf__hidden_layer_sizes\": [128], \"clf__learning_rate_init\": 0.0005}": 3, "{\"clf__alpha\": 0.0001, \"clf__hidden_layer_sizes\": [128], \"clf__learning_rate_init\": 0.001}": 5, "{\"clf__alpha\": 0.0001, \"clf__hidden_layer_sizes\": [256, 128, 64], \"clf__learning_rate_init\": 0.0005}": 4, "{\"clf__alpha\": 0.0001, \"clf__hidden_layer_sizes\": [256, 128, 64], \"clf__learning_rate_init\": 0.001}": 5, "{\"clf__alpha\": 0.0001, \"clf__hidden_layer_sizes\": [256, 128], \"clf__learning_rate_init\": 0.0005}": 1, "{\"clf__alpha\": 0.0001, \"clf__hidden_layer_sizes\": [256, 128], \"clf__learning_rate_init\": 0.001}": 3, "{\"clf__alpha\": 0.001, \"clf__hidden_layer_sizes\": [128], \"clf__learning_rate_init\": 0.0005}": 11, "{\"clf__alpha\": 0.001, \"clf__hidden_layer_sizes\": [128], \"clf__learning_rate_init\": 0.001}": 3, "{\"clf__alpha\": 0.001, \"clf__hidden_layer_sizes\": [256, 128, 64], \"clf__learning_rate_init\": 0.0005}": 2, "{\"clf__alpha\": 0.001, \"clf__hidden_layer_sizes\": [256, 128, 64], \"clf__learning_rate_init\": 0.001}": 3, "{\"clf__alpha\": 0.001, \"clf__hidden_layer_sizes\": [256, 128], \"clf__learning_rate_init\": 0.0005}": 1, "{\"clf__alpha\": 0.001, \"clf__hidden_layer_sizes\": [256, 128], \"clf__learning_rate_init\": 0.001}": 1}</t>
  </si>
  <si>
    <t>{"clf__alpha": 0.001, "clf__hidden_layer_sizes": [128], "clf__learning_rate_init": 0.0005}</t>
  </si>
  <si>
    <t>nested__physiological_features__valence__regression__mlp__aggregated__hc__emognition_features_w60_o30</t>
  </si>
  <si>
    <t>mlp__aggregated__hc__emognition_features_w60_o30</t>
  </si>
  <si>
    <t>{"{\"clf__alpha\": 0.0001, \"clf__hidden_layer_sizes\": [128], \"clf__learning_rate_init\": 0.0005}": 2, "{\"clf__alpha\": 0.0001, \"clf__hidden_layer_sizes\": [128], \"clf__learning_rate_init\": 0.001}": 1, "{\"clf__alpha\": 0.0001, \"clf__hidden_layer_sizes\": [256, 128, 64], \"clf__learning_rate_init\": 0.0005}": 6, "{\"clf__alpha\": 0.0001, \"clf__hidden_layer_sizes\": [256, 128, 64], \"clf__learning_rate_init\": 0.001}": 9, "{\"clf__alpha\": 0.0001, \"clf__hidden_layer_sizes\": [256, 128], \"clf__learning_rate_init\": 0.0005}": 2, "{\"clf__alpha\": 0.0001, \"clf__hidden_layer_sizes\": [256, 128], \"clf__learning_rate_init\": 0.001}": 3, "{\"clf__alpha\": 0.001, \"clf__hidden_layer_sizes\": [128], \"clf__learning_rate_init\": 0.0005}": 2, "{\"clf__alpha\": 0.001, \"clf__hidden_layer_sizes\": [128], \"clf__learning_rate_init\": 0.001}": 1, "{\"clf__alpha\": 0.001, \"clf__hidden_layer_sizes\": [256, 128, 64], \"clf__learning_rate_init\": 0.0005}": 5, "{\"clf__alpha\": 0.001, \"clf__hidden_layer_sizes\": [256, 128, 64], \"clf__learning_rate_init\": 0.001}": 3, "{\"clf__alpha\": 0.001, \"clf__hidden_layer_sizes\": [256, 128], \"clf__learning_rate_init\": 0.0005}": 2, "{\"clf__alpha\": 0.001, \"clf__hidden_layer_sizes\": [256, 128], \"clf__learning_rate_init\": 0.001}": 6}</t>
  </si>
  <si>
    <t>nested__physiological_features__valence__regression__mlp__aggregated__nvg__emognition_features_w60_o30</t>
  </si>
  <si>
    <t>mlp__aggregated__nvg__emognition_features_w60_o30</t>
  </si>
  <si>
    <t>{"{\"clf__alpha\": 0.0001, \"clf__hidden_layer_sizes\": [256, 128, 64], \"clf__learning_rate_init\": 0.0005}": 2, "{\"clf__alpha\": 0.0001, \"clf__hidden_layer_sizes\": [256, 128, 64], \"clf__learning_rate_init\": 0.001}": 6, "{\"clf__alpha\": 0.0001, \"clf__hidden_layer_sizes\": [256, 128], \"clf__learning_rate_init\": 0.0005}": 5, "{\"clf__alpha\": 0.0001, \"clf__hidden_layer_sizes\": [256, 128], \"clf__learning_rate_init\": 0.001}": 4, "{\"clf__alpha\": 0.001, \"clf__hidden_layer_sizes\": [256, 128, 64], \"clf__learning_rate_init\": 0.0005}": 7, "{\"clf__alpha\": 0.001, \"clf__hidden_layer_sizes\": [256, 128, 64], \"clf__learning_rate_init\": 0.001}": 9, "{\"clf__alpha\": 0.001, \"clf__hidden_layer_sizes\": [256, 128], \"clf__learning_rate_init\": 0.0005}": 8, "{\"clf__alpha\": 0.001, \"clf__hidden_layer_sizes\": [256, 128], \"clf__learning_rate_init\": 0.001}": 1}</t>
  </si>
  <si>
    <t>{"clf__alpha": 0.001, "clf__hidden_layer_sizes": [256, 128, 64], "clf__learning_rate_init": 0.001}</t>
  </si>
  <si>
    <t>nested__physiological_features__valence__regression__mlp__aggregated__hvg__emognition_features_w60_o30</t>
  </si>
  <si>
    <t>mlp__aggregated__hvg__emognition_features_w60_o30</t>
  </si>
  <si>
    <t>{"{\"clf__alpha\": 0.0001, \"clf__hidden_layer_sizes\": [256, 128, 64], \"clf__learning_rate_init\": 0.0005}": 8, "{\"clf__alpha\": 0.0001, \"clf__hidden_layer_sizes\": [256, 128, 64], \"clf__learning_rate_init\": 0.001}": 4, "{\"clf__alpha\": 0.0001, \"clf__hidden_layer_sizes\": [256, 128], \"clf__learning_rate_init\": 0.0005}": 6, "{\"clf__alpha\": 0.0001, \"clf__hidden_layer_sizes\": [256, 128], \"clf__learning_rate_init\": 0.001}": 4, "{\"clf__alpha\": 0.001, \"clf__hidden_layer_sizes\": [256, 128, 64], \"clf__learning_rate_init\": 0.0005}": 7, "{\"clf__alpha\": 0.001, \"clf__hidden_layer_sizes\": [256, 128, 64], \"clf__learning_rate_init\": 0.001}": 6, "{\"clf__alpha\": 0.001, \"clf__hidden_layer_sizes\": [256, 128], \"clf__learning_rate_init\": 0.0005}": 7}</t>
  </si>
  <si>
    <t>{"clf__alpha": 0.0001, "clf__hidden_layer_sizes": [256, 128, 64], "clf__learning_rate_init": 0.0005}</t>
  </si>
  <si>
    <t>nested__physiological_features__valence__regression__mlp__aggregated__hc+nvg__emognition_features_w60_o30</t>
  </si>
  <si>
    <t>mlp__aggregated__hc+nvg__emognition_features_w60_o30</t>
  </si>
  <si>
    <t>{"{\"clf__alpha\": 0.0001, \"clf__hidden_layer_sizes\": [128], \"clf__learning_rate_init\": 0.001}": 1, "{\"clf__alpha\": 0.0001, \"clf__hidden_layer_sizes\": [256, 128, 64], \"clf__learning_rate_init\": 0.0005}": 7, "{\"clf__alpha\": 0.0001, \"clf__hidden_layer_sizes\": [256, 128, 64], \"clf__learning_rate_init\": 0.001}": 8, "{\"clf__alpha\": 0.0001, \"clf__hidden_layer_sizes\": [256, 128], \"clf__learning_rate_init\": 0.0005}": 4, "{\"clf__alpha\": 0.0001, \"clf__hidden_layer_sizes\": [256, 128], \"clf__learning_rate_init\": 0.001}": 5, "{\"clf__alpha\": 0.001, \"clf__hidden_layer_sizes\": [256, 128, 64], \"clf__learning_rate_init\": 0.0005}": 4, "{\"clf__alpha\": 0.001, \"clf__hidden_layer_sizes\": [256, 128, 64], \"clf__learning_rate_init\": 0.001}": 3, "{\"clf__alpha\": 0.001, \"clf__hidden_layer_sizes\": [256, 128], \"clf__learning_rate_init\": 0.0005}": 5, "{\"clf__alpha\": 0.001, \"clf__hidden_layer_sizes\": [256, 128], \"clf__learning_rate_init\": 0.001}": 5}</t>
  </si>
  <si>
    <t>nested__physiological_features__valence__regression__mlp__aggregated__hc+hvg__emognition_features_w60_o30</t>
  </si>
  <si>
    <t>mlp__aggregated__hc+hvg__emognition_features_w60_o30</t>
  </si>
  <si>
    <t>{"{\"clf__alpha\": 0.0001, \"clf__hidden_layer_sizes\": [256, 128, 64], \"clf__learning_rate_init\": 0.0005}": 3, "{\"clf__alpha\": 0.0001, \"clf__hidden_layer_sizes\": [256, 128, 64], \"clf__learning_rate_init\": 0.001}": 12, "{\"clf__alpha\": 0.0001, \"clf__hidden_layer_sizes\": [256, 128], \"clf__learning_rate_init\": 0.0005}": 3, "{\"clf__alpha\": 0.0001, \"clf__hidden_layer_sizes\": [256, 128], \"clf__learning_rate_init\": 0.001}": 8, "{\"clf__alpha\": 0.001, \"clf__hidden_layer_sizes\": [256, 128, 64], \"clf__learning_rate_init\": 0.0005}": 5, "{\"clf__alpha\": 0.001, \"clf__hidden_layer_sizes\": [256, 128, 64], \"clf__learning_rate_init\": 0.001}": 4, "{\"clf__alpha\": 0.001, \"clf__hidden_layer_sizes\": [256, 128], \"clf__learning_rate_init\": 0.0005}": 2, "{\"clf__alpha\": 0.001, \"clf__hidden_layer_sizes\": [256, 128], \"clf__learning_rate_init\": 0.001}": 5}</t>
  </si>
  <si>
    <t>nested__physiological_features__arousal__regression__mlp__windowed__hc__emognition_features_w60_o30</t>
  </si>
  <si>
    <t>{"{\"clf__alpha\": 0.0001, \"clf__hidden_layer_sizes\": [128], \"clf__learning_rate_init\": 0.0005}": 7, "{\"clf__alpha\": 0.0001, \"clf__hidden_layer_sizes\": [128], \"clf__learning_rate_init\": 0.001}": 6, "{\"clf__alpha\": 0.0001, \"clf__hidden_layer_sizes\": [256, 128, 64], \"clf__learning_rate_init\": 0.0005}": 2, "{\"clf__alpha\": 0.0001, \"clf__hidden_layer_sizes\": [256, 128, 64], \"clf__learning_rate_init\": 0.001}": 1, "{\"clf__alpha\": 0.0001, \"clf__hidden_layer_sizes\": [256, 128], \"clf__learning_rate_init\": 0.0005}": 3, "{\"clf__alpha\": 0.0001, \"clf__hidden_layer_sizes\": [256, 128], \"clf__learning_rate_init\": 0.001}": 1, "{\"clf__alpha\": 0.001, \"clf__hidden_layer_sizes\": [128], \"clf__learning_rate_init\": 0.0005}": 16, "{\"clf__alpha\": 0.001, \"clf__hidden_layer_sizes\": [128], \"clf__learning_rate_init\": 0.001}": 4, "{\"clf__alpha\": 0.001, \"clf__hidden_layer_sizes\": [256, 128, 64], \"clf__learning_rate_init\": 0.001}": 1, "{\"clf__alpha\": 0.001, \"clf__hidden_layer_sizes\": [256, 128], \"clf__learning_rate_init\": 0.001}": 1}</t>
  </si>
  <si>
    <t>nested__physiological_features__arousal__regression__mlp__windowed__nvg__emognition_features_w60_o30</t>
  </si>
  <si>
    <t>{"{\"clf__alpha\": 0.0001, \"clf__hidden_layer_sizes\": [128], \"clf__learning_rate_init\": 0.0005}": 2, "{\"clf__alpha\": 0.0001, \"clf__hidden_layer_sizes\": [128], \"clf__learning_rate_init\": 0.001}": 3, "{\"clf__alpha\": 0.0001, \"clf__hidden_layer_sizes\": [256, 128, 64], \"clf__learning_rate_init\": 0.0005}": 1, "{\"clf__alpha\": 0.0001, \"clf__hidden_layer_sizes\": [256, 128, 64], \"clf__learning_rate_init\": 0.001}": 6, "{\"clf__alpha\": 0.0001, \"clf__hidden_layer_sizes\": [256, 128], \"clf__learning_rate_init\": 0.0005}": 1, "{\"clf__alpha\": 0.0001, \"clf__hidden_layer_sizes\": [256, 128], \"clf__learning_rate_init\": 0.001}": 2, "{\"clf__alpha\": 0.001, \"clf__hidden_layer_sizes\": [128], \"clf__learning_rate_init\": 0.0005}": 4, "{\"clf__alpha\": 0.001, \"clf__hidden_layer_sizes\": [128], \"clf__learning_rate_init\": 0.001}": 5, "{\"clf__alpha\": 0.001, \"clf__hidden_layer_sizes\": [256, 128, 64], \"clf__learning_rate_init\": 0.0005}": 2, "{\"clf__alpha\": 0.001, \"clf__hidden_layer_sizes\": [256, 128, 64], \"clf__learning_rate_init\": 0.001}": 5, "{\"clf__alpha\": 0.001, \"clf__hidden_layer_sizes\": [256, 128], \"clf__learning_rate_init\": 0.0005}": 8, "{\"clf__alpha\": 0.001, \"clf__hidden_layer_sizes\": [256, 128], \"clf__learning_rate_init\": 0.001}": 3}</t>
  </si>
  <si>
    <t>nested__physiological_features__arousal__regression__mlp__windowed__hvg__emognition_features_w60_o30</t>
  </si>
  <si>
    <t>{"{\"clf__alpha\": 0.0001, \"clf__hidden_layer_sizes\": [128], \"clf__learning_rate_init\": 0.0005}": 2, "{\"clf__alpha\": 0.0001, \"clf__hidden_layer_sizes\": [128], \"clf__learning_rate_init\": 0.001}": 4, "{\"clf__alpha\": 0.0001, \"clf__hidden_layer_sizes\": [256, 128, 64], \"clf__learning_rate_init\": 0.0005}": 3, "{\"clf__alpha\": 0.0001, \"clf__hidden_layer_sizes\": [256, 128, 64], \"clf__learning_rate_init\": 0.001}": 3, "{\"clf__alpha\": 0.0001, \"clf__hidden_layer_sizes\": [256, 128], \"clf__learning_rate_init\": 0.0005}": 6, "{\"clf__alpha\": 0.0001, \"clf__hidden_layer_sizes\": [256, 128], \"clf__learning_rate_init\": 0.001}": 6, "{\"clf__alpha\": 0.001, \"clf__hidden_layer_sizes\": [128], \"clf__learning_rate_init\": 0.0005}": 1, "{\"clf__alpha\": 0.001, \"clf__hidden_layer_sizes\": [128], \"clf__learning_rate_init\": 0.001}": 2, "{\"clf__alpha\": 0.001, \"clf__hidden_layer_sizes\": [256, 128, 64], \"clf__learning_rate_init\": 0.0005}": 5, "{\"clf__alpha\": 0.001, \"clf__hidden_layer_sizes\": [256, 128, 64], \"clf__learning_rate_init\": 0.001}": 6, "{\"clf__alpha\": 0.001, \"clf__hidden_layer_sizes\": [256, 128], \"clf__learning_rate_init\": 0.0005}": 4}</t>
  </si>
  <si>
    <t>nested__physiological_features__arousal__regression__mlp__windowed__hc+nvg__emognition_features_w60_o30</t>
  </si>
  <si>
    <t>{"{\"clf__alpha\": 0.0001, \"clf__hidden_layer_sizes\": [128], \"clf__learning_rate_init\": 0.0005}": 6, "{\"clf__alpha\": 0.0001, \"clf__hidden_layer_sizes\": [128], \"clf__learning_rate_init\": 0.001}": 7, "{\"clf__alpha\": 0.0001, \"clf__hidden_layer_sizes\": [256, 128, 64], \"clf__learning_rate_init\": 0.0005}": 2, "{\"clf__alpha\": 0.0001, \"clf__hidden_layer_sizes\": [256, 128, 64], \"clf__learning_rate_init\": 0.001}": 2, "{\"clf__alpha\": 0.0001, \"clf__hidden_layer_sizes\": [256, 128], \"clf__learning_rate_init\": 0.0005}": 2, "{\"clf__alpha\": 0.0001, \"clf__hidden_layer_sizes\": [256, 128], \"clf__learning_rate_init\": 0.001}": 4, "{\"clf__alpha\": 0.001, \"clf__hidden_layer_sizes\": [128], \"clf__learning_rate_init\": 0.0005}": 7, "{\"clf__alpha\": 0.001, \"clf__hidden_layer_sizes\": [128], \"clf__learning_rate_init\": 0.001}": 5, "{\"clf__alpha\": 0.001, \"clf__hidden_layer_sizes\": [256, 128, 64], \"clf__learning_rate_init\": 0.001}": 2, "{\"clf__alpha\": 0.001, \"clf__hidden_layer_sizes\": [256, 128], \"clf__learning_rate_init\": 0.0005}": 3, "{\"clf__alpha\": 0.001, \"clf__hidden_layer_sizes\": [256, 128], \"clf__learning_rate_init\": 0.001}": 2}</t>
  </si>
  <si>
    <t>{"clf__alpha": 0.0001, "clf__hidden_layer_sizes": [128], "clf__learning_rate_init": 0.001}</t>
  </si>
  <si>
    <t>nested__physiological_features__arousal__regression__mlp__windowed__hc+hvg__emognition_features_w60_o30</t>
  </si>
  <si>
    <t>{"{\"clf__alpha\": 0.0001, \"clf__hidden_layer_sizes\": [128], \"clf__learning_rate_init\": 0.0005}": 7, "{\"clf__alpha\": 0.0001, \"clf__hidden_layer_sizes\": [128], \"clf__learning_rate_init\": 0.001}": 4, "{\"clf__alpha\": 0.0001, \"clf__hidden_layer_sizes\": [256, 128, 64], \"clf__learning_rate_init\": 0.0005}": 6, "{\"clf__alpha\": 0.0001, \"clf__hidden_layer_sizes\": [256, 128, 64], \"clf__learning_rate_init\": 0.001}": 2, "{\"clf__alpha\": 0.0001, \"clf__hidden_layer_sizes\": [256, 128], \"clf__learning_rate_init\": 0.0005}": 1, "{\"clf__alpha\": 0.0001, \"clf__hidden_layer_sizes\": [256, 128], \"clf__learning_rate_init\": 0.001}": 1, "{\"clf__alpha\": 0.001, \"clf__hidden_layer_sizes\": [128], \"clf__learning_rate_init\": 0.0005}": 3, "{\"clf__alpha\": 0.001, \"clf__hidden_layer_sizes\": [128], \"clf__learning_rate_init\": 0.001}": 6, "{\"clf__alpha\": 0.001, \"clf__hidden_layer_sizes\": [256, 128, 64], \"clf__learning_rate_init\": 0.0005}": 2, "{\"clf__alpha\": 0.001, \"clf__hidden_layer_sizes\": [256, 128, 64], \"clf__learning_rate_init\": 0.001}": 3, "{\"clf__alpha\": 0.001, \"clf__hidden_layer_sizes\": [256, 128], \"clf__learning_rate_init\": 0.0005}": 5, "{\"clf__alpha\": 0.001, \"clf__hidden_layer_sizes\": [256, 128], \"clf__learning_rate_init\": 0.001}": 2}</t>
  </si>
  <si>
    <t>{"clf__alpha": 0.0001, "clf__hidden_layer_sizes": [128], "clf__learning_rate_init": 0.0005}</t>
  </si>
  <si>
    <t>nested__physiological_features__arousal__regression__mlp__aggregated__hc__emognition_features_w60_o30</t>
  </si>
  <si>
    <t>{"{\"clf__alpha\": 0.0001, \"clf__hidden_layer_sizes\": [128], \"clf__learning_rate_init\": 0.0005}": 3, "{\"clf__alpha\": 0.0001, \"clf__hidden_layer_sizes\": [128], \"clf__learning_rate_init\": 0.001}": 2, "{\"clf__alpha\": 0.0001, \"clf__hidden_layer_sizes\": [256, 128, 64], \"clf__learning_rate_init\": 0.0005}": 4, "{\"clf__alpha\": 0.0001, \"clf__hidden_layer_sizes\": [256, 128, 64], \"clf__learning_rate_init\": 0.001}": 6, "{\"clf__alpha\": 0.0001, \"clf__hidden_layer_sizes\": [256, 128], \"clf__learning_rate_init\": 0.0005}": 6, "{\"clf__alpha\": 0.0001, \"clf__hidden_layer_sizes\": [256, 128], \"clf__learning_rate_init\": 0.001}": 2, "{\"clf__alpha\": 0.001, \"clf__hidden_layer_sizes\": [128], \"clf__learning_rate_init\": 0.0005}": 2, "{\"clf__alpha\": 0.001, \"clf__hidden_layer_sizes\": [128], \"clf__learning_rate_init\": 0.001}": 3, "{\"clf__alpha\": 0.001, \"clf__hidden_layer_sizes\": [256, 128, 64], \"clf__learning_rate_init\": 0.0005}": 5, "{\"clf__alpha\": 0.001, \"clf__hidden_layer_sizes\": [256, 128, 64], \"clf__learning_rate_init\": 0.001}": 3, "{\"clf__alpha\": 0.001, \"clf__hidden_layer_sizes\": [256, 128], \"clf__learning_rate_init\": 0.0005}": 1, "{\"clf__alpha\": 0.001, \"clf__hidden_layer_sizes\": [256, 128], \"clf__learning_rate_init\": 0.001}": 5}</t>
  </si>
  <si>
    <t>nested__physiological_features__arousal__regression__mlp__aggregated__nvg__emognition_features_w60_o30</t>
  </si>
  <si>
    <t>{"{\"clf__alpha\": 0.0001, \"clf__hidden_layer_sizes\": [128], \"clf__learning_rate_init\": 0.0005}": 2, "{\"clf__alpha\": 0.0001, \"clf__hidden_layer_sizes\": [256, 128, 64], \"clf__learning_rate_init\": 0.0005}": 3, "{\"clf__alpha\": 0.0001, \"clf__hidden_layer_sizes\": [256, 128, 64], \"clf__learning_rate_init\": 0.001}": 1, "{\"clf__alpha\": 0.0001, \"clf__hidden_layer_sizes\": [256, 128], \"clf__learning_rate_init\": 0.0005}": 5, "{\"clf__alpha\": 0.001, \"clf__hidden_layer_sizes\": [128], \"clf__learning_rate_init\": 0.0005}": 1, "{\"clf__alpha\": 0.001, \"clf__hidden_layer_sizes\": [256, 128, 64], \"clf__learning_rate_init\": 0.0005}": 6, "{\"clf__alpha\": 0.001, \"clf__hidden_layer_sizes\": [256, 128, 64], \"clf__learning_rate_init\": 0.001}": 13, "{\"clf__alpha\": 0.001, \"clf__hidden_layer_sizes\": [256, 128], \"clf__learning_rate_init\": 0.0005}": 4, "{\"clf__alpha\": 0.001, \"clf__hidden_layer_sizes\": [256, 128], \"clf__learning_rate_init\": 0.001}": 7}</t>
  </si>
  <si>
    <t>nested__physiological_features__arousal__regression__mlp__aggregated__hvg__emognition_features_w60_o30</t>
  </si>
  <si>
    <t>{"{\"clf__alpha\": 0.0001, \"clf__hidden_layer_sizes\": [256, 128, 64], \"clf__learning_rate_init\": 0.0005}": 1, "{\"clf__alpha\": 0.0001, \"clf__hidden_layer_sizes\": [256, 128, 64], \"clf__learning_rate_init\": 0.001}": 6, "{\"clf__alpha\": 0.0001, \"clf__hidden_layer_sizes\": [256, 128], \"clf__learning_rate_init\": 0.0005}": 5, "{\"clf__alpha\": 0.0001, \"clf__hidden_layer_sizes\": [256, 128], \"clf__learning_rate_init\": 0.001}": 7, "{\"clf__alpha\": 0.001, \"clf__hidden_layer_sizes\": [256, 128, 64], \"clf__learning_rate_init\": 0.0005}": 5, "{\"clf__alpha\": 0.001, \"clf__hidden_layer_sizes\": [256, 128, 64], \"clf__learning_rate_init\": 0.001}": 8, "{\"clf__alpha\": 0.001, \"clf__hidden_layer_sizes\": [256, 128], \"clf__learning_rate_init\": 0.0005}": 4, "{\"clf__alpha\": 0.001, \"clf__hidden_layer_sizes\": [256, 128], \"clf__learning_rate_init\": 0.001}": 6}</t>
  </si>
  <si>
    <t>nested__physiological_features__arousal__regression__mlp__aggregated__hc+nvg__emognition_features_w60_o30</t>
  </si>
  <si>
    <t>{"{\"clf__alpha\": 0.0001, \"clf__hidden_layer_sizes\": [128], \"clf__learning_rate_init\": 0.0005}": 2, "{\"clf__alpha\": 0.0001, \"clf__hidden_layer_sizes\": [128], \"clf__learning_rate_init\": 0.001}": 1, "{\"clf__alpha\": 0.0001, \"clf__hidden_layer_sizes\": [256, 128, 64], \"clf__learning_rate_init\": 0.0005}": 4, "{\"clf__alpha\": 0.0001, \"clf__hidden_layer_sizes\": [256, 128, 64], \"clf__learning_rate_init\": 0.001}": 8, "{\"clf__alpha\": 0.0001, \"clf__hidden_layer_sizes\": [256, 128], \"clf__learning_rate_init\": 0.0005}": 4, "{\"clf__alpha\": 0.0001, \"clf__hidden_layer_sizes\": [256, 128], \"clf__learning_rate_init\": 0.001}": 4, "{\"clf__alpha\": 0.001, \"clf__hidden_layer_sizes\": [128], \"clf__learning_rate_init\": 0.0005}": 1, "{\"clf__alpha\": 0.001, \"clf__hidden_layer_sizes\": [256, 128, 64], \"clf__learning_rate_init\": 0.0005}": 6, "{\"clf__alpha\": 0.001, \"clf__hidden_layer_sizes\": [256, 128, 64], \"clf__learning_rate_init\": 0.001}": 7, "{\"clf__alpha\": 0.001, \"clf__hidden_layer_sizes\": [256, 128], \"clf__learning_rate_init\": 0.0005}": 4, "{\"clf__alpha\": 0.001, \"clf__hidden_layer_sizes\": [256, 128], \"clf__learning_rate_init\": 0.001}": 1}</t>
  </si>
  <si>
    <t>nested__physiological_features__arousal__regression__mlp__aggregated__hc+hvg__emognition_features_w60_o30</t>
  </si>
  <si>
    <t>{"{\"clf__alpha\": 0.0001, \"clf__hidden_layer_sizes\": [256, 128, 64], \"clf__learning_rate_init\": 0.0005}": 4, "{\"clf__alpha\": 0.0001, \"clf__hidden_layer_sizes\": [256, 128, 64], \"clf__learning_rate_init\": 0.001}": 6, "{\"clf__alpha\": 0.0001, \"clf__hidden_layer_sizes\": [256, 128], \"clf__learning_rate_init\": 0.0005}": 5, "{\"clf__alpha\": 0.0001, \"clf__hidden_layer_sizes\": [256, 128], \"clf__learning_rate_init\": 0.001}": 1, "{\"clf__alpha\": 0.001, \"clf__hidden_layer_sizes\": [256, 128, 64], \"clf__learning_rate_init\": 0.0005}": 10, "{\"clf__alpha\": 0.001, \"clf__hidden_layer_sizes\": [256, 128, 64], \"clf__learning_rate_init\": 0.001}": 9, "{\"clf__alpha\": 0.001, \"clf__hidden_layer_sizes\": [256, 128], \"clf__learning_rate_init\": 0.0005}": 5, "{\"clf__alpha\": 0.001, \"clf__hidden_layer_sizes\": [256, 128], \"clf__learning_rate_init\": 0.001}": 2}</t>
  </si>
  <si>
    <t>{"clf__alpha": 0.001, "clf__hidden_layer_sizes": [256, 128, 64], "clf__learning_rate_init": 0.0005}</t>
  </si>
  <si>
    <t>nested__physiological_features__valence__ternary__mlp__windowed__hc__emognition_features_w60_o30</t>
  </si>
  <si>
    <t>{"{\"clf__estimator__alpha\": 0.0001, \"clf__estimator__hidden_layer_sizes\": [128], \"clf__estimator__learning_rate_init\": 0.0005}": 3, "{\"clf__estimator__alpha\": 0.0001, \"clf__estimator__hidden_layer_sizes\": [128], \"clf__estimator__learning_rate_init\": 0.001}": 7, "{\"clf__estimator__alpha\": 0.0001, \"clf__estimator__hidden_layer_sizes\": [256, 128, 64], \"clf__estimator__learning_rate_init\": 0.0005}": 3, "{\"clf__estimator__alpha\": 0.0001, \"clf__estimator__hidden_layer_sizes\": [256, 128, 64], \"clf__estimator__learning_rate_init\": 0.001}": 4, "{\"clf__estimator__alpha\": 0.0001, \"clf__estimator__hidden_layer_sizes\": [256, 128], \"clf__estimator__learning_rate_init\": 0.0005}": 3, "{\"clf__estimator__alpha\": 0.0001, \"clf__estimator__hidden_layer_sizes\": [256, 128], \"clf__estimator__learning_rate_init\": 0.001}": 5, "{\"clf__estimator__alpha\": 0.001, \"clf__estimator__hidden_layer_sizes\": [128], \"clf__estimator__learning_rate_init\": 0.0005}": 3, "{\"clf__estimator__alpha\": 0.001, \"clf__estimator__hidden_layer_sizes\": [128], \"clf__estimator__learning_rate_init\": 0.001}": 1, "{\"clf__estimator__alpha\": 0.001, \"clf__estimator__hidden_layer_sizes\": [256, 128, 64], \"clf__estimator__learning_rate_init\": 0.0005}": 5, "{\"clf__estimator__alpha\": 0.001, \"clf__estimator__hidden_layer_sizes\": [256, 128, 64], \"clf__estimator__learning_rate_init\": 0.001}": 4, "{\"clf__estimator__alpha\": 0.001, \"clf__estimator__hidden_layer_sizes\": [256, 128], \"clf__estimator__learning_rate_init\": 0.0005}": 3, "{\"clf__estimator__alpha\": 0.001, \"clf__estimator__hidden_layer_sizes\": [256, 128], \"clf__estimator__learning_rate_init\": 0.001}": 1}</t>
  </si>
  <si>
    <t>{"clf__estimator__alpha": 0.0001, "clf__estimator__hidden_layer_sizes": [128], "clf__estimator__learning_rate_init": 0.001}</t>
  </si>
  <si>
    <t>[[30, 38, 36], [31, 30, 48], [34, 44, 41]]</t>
  </si>
  <si>
    <t>nested__physiological_features__valence__ternary__mlp__windowed__nvg__emognition_features_w60_o30</t>
  </si>
  <si>
    <t>{"{\"clf__estimator__alpha\": 0.0001, \"clf__estimator__hidden_layer_sizes\": [128], \"clf__estimator__learning_rate_init\": 0.0005}": 5, "{\"clf__estimator__alpha\": 0.0001, \"clf__estimator__hidden_layer_sizes\": [128], \"clf__estimator__learning_rate_init\": 0.001}": 2, "{\"clf__estimator__alpha\": 0.0001, \"clf__estimator__hidden_layer_sizes\": [256, 128, 64], \"clf__estimator__learning_rate_init\": 0.0005}": 3, "{\"clf__estimator__alpha\": 0.0001, \"clf__estimator__hidden_layer_sizes\": [256, 128, 64], \"clf__estimator__learning_rate_init\": 0.001}": 3, "{\"clf__estimator__alpha\": 0.0001, \"clf__estimator__hidden_layer_sizes\": [256, 128], \"clf__estimator__learning_rate_init\": 0.0005}": 5, "{\"clf__estimator__alpha\": 0.0001, \"clf__estimator__hidden_layer_sizes\": [256, 128], \"clf__estimator__learning_rate_init\": 0.001}": 4, "{\"clf__estimator__alpha\": 0.001, \"clf__estimator__hidden_layer_sizes\": [128], \"clf__estimator__learning_rate_init\": 0.0005}": 1, "{\"clf__estimator__alpha\": 0.001, \"clf__estimator__hidden_layer_sizes\": [128], \"clf__estimator__learning_rate_init\": 0.001}": 3, "{\"clf__estimator__alpha\": 0.001, \"clf__estimator__hidden_layer_sizes\": [256, 128, 64], \"clf__estimator__learning_rate_init\": 0.0005}": 7, "{\"clf__estimator__alpha\": 0.001, \"clf__estimator__hidden_layer_sizes\": [256, 128, 64], \"clf__estimator__learning_rate_init\": 0.001}": 2, "{\"clf__estimator__alpha\": 0.001, \"clf__estimator__hidden_layer_sizes\": [256, 128], \"clf__estimator__learning_rate_init\": 0.0005}": 1, "{\"clf__estimator__alpha\": 0.001, \"clf__estimator__hidden_layer_sizes\": [256, 128], \"clf__estimator__learning_rate_init\": 0.001}": 6}</t>
  </si>
  <si>
    <t>{"clf__estimator__alpha": 0.001, "clf__estimator__hidden_layer_sizes": [256, 128, 64], "clf__estimator__learning_rate_init": 0.0005}</t>
  </si>
  <si>
    <t>[[37, 25, 42], [36, 34, 39], [41, 32, 46]]</t>
  </si>
  <si>
    <t>nested__physiological_features__valence__ternary__mlp__windowed__hvg__emognition_features_w60_o30</t>
  </si>
  <si>
    <t>{"{\"clf__estimator__alpha\": 0.0001, \"clf__estimator__hidden_layer_sizes\": [128], \"clf__estimator__learning_rate_init\": 0.0005}": 5, "{\"clf__estimator__alpha\": 0.0001, \"clf__estimator__hidden_layer_sizes\": [128], \"clf__estimator__learning_rate_init\": 0.001}": 2, "{\"clf__estimator__alpha\": 0.0001, \"clf__estimator__hidden_layer_sizes\": [256, 128, 64], \"clf__estimator__learning_rate_init\": 0.0005}": 5, "{\"clf__estimator__alpha\": 0.0001, \"clf__estimator__hidden_layer_sizes\": [256, 128, 64], \"clf__estimator__learning_rate_init\": 0.001}": 2, "{\"clf__estimator__alpha\": 0.0001, \"clf__estimator__hidden_layer_sizes\": [256, 128], \"clf__estimator__learning_rate_init\": 0.001}": 3, "{\"clf__estimator__alpha\": 0.001, \"clf__estimator__hidden_layer_sizes\": [128], \"clf__estimator__learning_rate_init\": 0.0005}": 2, "{\"clf__estimator__alpha\": 0.001, \"clf__estimator__hidden_layer_sizes\": [128], \"clf__estimator__learning_rate_init\": 0.001}": 7, "{\"clf__estimator__alpha\": 0.001, \"clf__estimator__hidden_layer_sizes\": [256, 128, 64], \"clf__estimator__learning_rate_init\": 0.0005}": 2, "{\"clf__estimator__alpha\": 0.001, \"clf__estimator__hidden_layer_sizes\": [256, 128, 64], \"clf__estimator__learning_rate_init\": 0.001}": 6, "{\"clf__estimator__alpha\": 0.001, \"clf__estimator__hidden_layer_sizes\": [256, 128], \"clf__estimator__learning_rate_init\": 0.0005}": 3, "{\"clf__estimator__alpha\": 0.001, \"clf__estimator__hidden_layer_sizes\": [256, 128], \"clf__estimator__learning_rate_init\": 0.001}": 5}</t>
  </si>
  <si>
    <t>{"clf__estimator__alpha": 0.001, "clf__estimator__hidden_layer_sizes": [128], "clf__estimator__learning_rate_init": 0.001}</t>
  </si>
  <si>
    <t>[[40, 29, 35], [42, 33, 34], [39, 42, 38]]</t>
  </si>
  <si>
    <t>nested__physiological_features__valence__ternary__mlp__windowed__hc+nvg__emognition_features_w60_o30</t>
  </si>
  <si>
    <t>{"{\"clf__estimator__alpha\": 0.0001, \"clf__estimator__hidden_layer_sizes\": [128], \"clf__estimator__learning_rate_init\": 0.0005}": 6, "{\"clf__estimator__alpha\": 0.0001, \"clf__estimator__hidden_layer_sizes\": [128], \"clf__estimator__learning_rate_init\": 0.001}": 5, "{\"clf__estimator__alpha\": 0.0001, \"clf__estimator__hidden_layer_sizes\": [256, 128, 64], \"clf__estimator__learning_rate_init\": 0.0005}": 1, "{\"clf__estimator__alpha\": 0.0001, \"clf__estimator__hidden_layer_sizes\": [256, 128, 64], \"clf__estimator__learning_rate_init\": 0.001}": 3, "{\"clf__estimator__alpha\": 0.0001, \"clf__estimator__hidden_layer_sizes\": [256, 128], \"clf__estimator__learning_rate_init\": 0.0005}": 3, "{\"clf__estimator__alpha\": 0.0001, \"clf__estimator__hidden_layer_sizes\": [256, 128], \"clf__estimator__learning_rate_init\": 0.001}": 4, "{\"clf__estimator__alpha\": 0.001, \"clf__estimator__hidden_layer_sizes\": [128], \"clf__estimator__learning_rate_init\": 0.0005}": 2, "{\"clf__estimator__alpha\": 0.001, \"clf__estimator__hidden_layer_sizes\": [128], \"clf__estimator__learning_rate_init\": 0.001}": 2, "{\"clf__estimator__alpha\": 0.001, \"clf__estimator__hidden_layer_sizes\": [256, 128, 64], \"clf__estimator__learning_rate_init\": 0.0005}": 7, "{\"clf__estimator__alpha\": 0.001, \"clf__estimator__hidden_layer_sizes\": [256, 128, 64], \"clf__estimator__learning_rate_init\": 0.001}": 4, "{\"clf__estimator__alpha\": 0.001, \"clf__estimator__hidden_layer_sizes\": [256, 128], \"clf__estimator__learning_rate_init\": 0.0005}": 3, "{\"clf__estimator__alpha\": 0.001, \"clf__estimator__hidden_layer_sizes\": [256, 128], \"clf__estimator__learning_rate_init\": 0.001}": 2}</t>
  </si>
  <si>
    <t>[[30, 36, 38], [30, 47, 32], [40, 42, 37]]</t>
  </si>
  <si>
    <t>nested__physiological_features__valence__ternary__mlp__windowed__hc+hvg__emognition_features_w60_o30</t>
  </si>
  <si>
    <t>{"{\"clf__estimator__alpha\": 0.0001, \"clf__estimator__hidden_layer_sizes\": [128], \"clf__estimator__learning_rate_init\": 0.0005}": 6, "{\"clf__estimator__alpha\": 0.0001, \"clf__estimator__hidden_layer_sizes\": [128], \"clf__estimator__learning_rate_init\": 0.001}": 4, "{\"clf__estimator__alpha\": 0.0001, \"clf__estimator__hidden_layer_sizes\": [256, 128, 64], \"clf__estimator__learning_rate_init\": 0.0005}": 4, "{\"clf__estimator__alpha\": 0.0001, \"clf__estimator__hidden_layer_sizes\": [256, 128, 64], \"clf__estimator__learning_rate_init\": 0.001}": 5, "{\"clf__estimator__alpha\": 0.0001, \"clf__estimator__hidden_layer_sizes\": [256, 128], \"clf__estimator__learning_rate_init\": 0.0005}": 1, "{\"clf__estimator__alpha\": 0.0001, \"clf__estimator__hidden_layer_sizes\": [256, 128], \"clf__estimator__learning_rate_init\": 0.001}": 2, "{\"clf__estimator__alpha\": 0.001, \"clf__estimator__hidden_layer_sizes\": [128], \"clf__estimator__learning_rate_init\": 0.0005}": 4, "{\"clf__estimator__alpha\": 0.001, \"clf__estimator__hidden_layer_sizes\": [128], \"clf__estimator__learning_rate_init\": 0.001}": 2, "{\"clf__estimator__alpha\": 0.001, \"clf__estimator__hidden_layer_sizes\": [256, 128, 64], \"clf__estimator__learning_rate_init\": 0.0005}": 4, "{\"clf__estimator__alpha\": 0.001, \"clf__estimator__hidden_layer_sizes\": [256, 128, 64], \"clf__estimator__learning_rate_init\": 0.001}": 5, "{\"clf__estimator__alpha\": 0.001, \"clf__estimator__hidden_layer_sizes\": [256, 128], \"clf__estimator__learning_rate_init\": 0.0005}": 1, "{\"clf__estimator__alpha\": 0.001, \"clf__estimator__hidden_layer_sizes\": [256, 128], \"clf__estimator__learning_rate_init\": 0.001}": 4}</t>
  </si>
  <si>
    <t>{"clf__estimator__alpha": 0.0001, "clf__estimator__hidden_layer_sizes": [128], "clf__estimator__learning_rate_init": 0.0005}</t>
  </si>
  <si>
    <t>[[32, 36, 36], [29, 38, 42], [30, 46, 43]]</t>
  </si>
  <si>
    <t>nested__physiological_features__valence__ternary__mlp__aggregated__hc__emognition_features_w60_o30</t>
  </si>
  <si>
    <t>{"{\"clf__estimator__alpha\": 0.0001, \"clf__estimator__hidden_layer_sizes\": [128], \"clf__estimator__learning_rate_init\": 0.0005}": 7, "{\"clf__estimator__alpha\": 0.0001, \"clf__estimator__hidden_layer_sizes\": [128], \"clf__estimator__learning_rate_init\": 0.001}": 5, "{\"clf__estimator__alpha\": 0.0001, \"clf__estimator__hidden_layer_sizes\": [256, 128, 64], \"clf__estimator__learning_rate_init\": 0.0005}": 3, "{\"clf__estimator__alpha\": 0.0001, \"clf__estimator__hidden_layer_sizes\": [256, 128, 64], \"clf__estimator__learning_rate_init\": 0.001}": 7, "{\"clf__estimator__alpha\": 0.0001, \"clf__estimator__hidden_layer_sizes\": [256, 128], \"clf__estimator__learning_rate_init\": 0.0005}": 2, "{\"clf__estimator__alpha\": 0.0001, \"clf__estimator__hidden_layer_sizes\": [256, 128], \"clf__estimator__learning_rate_init\": 0.001}": 2, "{\"clf__estimator__alpha\": 0.001, \"clf__estimator__hidden_layer_sizes\": [128], \"clf__estimator__learning_rate_init\": 0.0005}": 3, "{\"clf__estimator__alpha\": 0.001, \"clf__estimator__hidden_layer_sizes\": [128], \"clf__estimator__learning_rate_init\": 0.001}": 2, "{\"clf__estimator__alpha\": 0.001, \"clf__estimator__hidden_layer_sizes\": [256, 128, 64], \"clf__estimator__learning_rate_init\": 0.0005}": 2, "{\"clf__estimator__alpha\": 0.001, \"clf__estimator__hidden_layer_sizes\": [256, 128, 64], \"clf__estimator__learning_rate_init\": 0.001}": 3, "{\"clf__estimator__alpha\": 0.001, \"clf__estimator__hidden_layer_sizes\": [256, 128], \"clf__estimator__learning_rate_init\": 0.0005}": 4, "{\"clf__estimator__alpha\": 0.001, \"clf__estimator__hidden_layer_sizes\": [256, 128], \"clf__estimator__learning_rate_init\": 0.001}": 2}</t>
  </si>
  <si>
    <t>[[41, 34, 29], [34, 31, 44], [40, 39, 40]]</t>
  </si>
  <si>
    <t>nested__physiological_features__valence__ternary__mlp__aggregated__nvg__emognition_features_w60_o30</t>
  </si>
  <si>
    <t>{"{\"clf__estimator__alpha\": 0.0001, \"clf__estimator__hidden_layer_sizes\": [128], \"clf__estimator__learning_rate_init\": 0.0005}": 1, "{\"clf__estimator__alpha\": 0.0001, \"clf__estimator__hidden_layer_sizes\": [128], \"clf__estimator__learning_rate_init\": 0.001}": 3, "{\"clf__estimator__alpha\": 0.0001, \"clf__estimator__hidden_layer_sizes\": [256, 128, 64], \"clf__estimator__learning_rate_init\": 0.0005}": 3, "{\"clf__estimator__alpha\": 0.0001, \"clf__estimator__hidden_layer_sizes\": [256, 128, 64], \"clf__estimator__learning_rate_init\": 0.001}": 6, "{\"clf__estimator__alpha\": 0.0001, \"clf__estimator__hidden_layer_sizes\": [256, 128], \"clf__estimator__learning_rate_init\": 0.0005}": 4, "{\"clf__estimator__alpha\": 0.0001, \"clf__estimator__hidden_layer_sizes\": [256, 128], \"clf__estimator__learning_rate_init\": 0.001}": 2, "{\"clf__estimator__alpha\": 0.001, \"clf__estimator__hidden_layer_sizes\": [128], \"clf__estimator__learning_rate_init\": 0.0005}": 5, "{\"clf__estimator__alpha\": 0.001, \"clf__estimator__hidden_layer_sizes\": [128], \"clf__estimator__learning_rate_init\": 0.001}": 4, "{\"clf__estimator__alpha\": 0.001, \"clf__estimator__hidden_layer_sizes\": [256, 128, 64], \"clf__estimator__learning_rate_init\": 0.0005}": 2, "{\"clf__estimator__alpha\": 0.001, \"clf__estimator__hidden_layer_sizes\": [256, 128, 64], \"clf__estimator__learning_rate_init\": 0.001}": 4, "{\"clf__estimator__alpha\": 0.001, \"clf__estimator__hidden_layer_sizes\": [256, 128], \"clf__estimator__learning_rate_init\": 0.0005}": 6, "{\"clf__estimator__alpha\": 0.001, \"clf__estimator__hidden_layer_sizes\": [256, 128], \"clf__estimator__learning_rate_init\": 0.001}": 2}</t>
  </si>
  <si>
    <t>{"clf__estimator__alpha": 0.001, "clf__estimator__hidden_layer_sizes": [256, 128], "clf__estimator__learning_rate_init": 0.0005}</t>
  </si>
  <si>
    <t>[[40, 32, 32], [31, 37, 41], [33, 42, 44]]</t>
  </si>
  <si>
    <t>nested__physiological_features__valence__ternary__mlp__aggregated__hvg__emognition_features_w60_o30</t>
  </si>
  <si>
    <t>{"{\"clf__estimator__alpha\": 0.0001, \"clf__estimator__hidden_layer_sizes\": [128], \"clf__estimator__learning_rate_init\": 0.0005}": 1, "{\"clf__estimator__alpha\": 0.0001, \"clf__estimator__hidden_layer_sizes\": [128], \"clf__estimator__learning_rate_init\": 0.001}": 3, "{\"clf__estimator__alpha\": 0.0001, \"clf__estimator__hidden_layer_sizes\": [256, 128, 64], \"clf__estimator__learning_rate_init\": 0.0005}": 1, "{\"clf__estimator__alpha\": 0.0001, \"clf__estimator__hidden_layer_sizes\": [256, 128, 64], \"clf__estimator__learning_rate_init\": 0.001}": 2, "{\"clf__estimator__alpha\": 0.0001, \"clf__estimator__hidden_layer_sizes\": [256, 128], \"clf__estimator__learning_rate_init\": 0.0005}": 4, "{\"clf__estimator__alpha\": 0.0001, \"clf__estimator__hidden_layer_sizes\": [256, 128], \"clf__estimator__learning_rate_init\": 0.001}": 5, "{\"clf__estimator__alpha\": 0.001, \"clf__estimator__hidden_layer_sizes\": [128], \"clf__estimator__learning_rate_init\": 0.0005}": 3, "{\"clf__estimator__alpha\": 0.001, \"clf__estimator__hidden_layer_sizes\": [128], \"clf__estimator__learning_rate_init\": 0.001}": 5, "{\"clf__estimator__alpha\": 0.001, \"clf__estimator__hidden_layer_sizes\": [256, 128, 64], \"clf__estimator__learning_rate_init\": 0.0005}": 4, "{\"clf__estimator__alpha\": 0.001, \"clf__estimator__hidden_layer_sizes\": [256, 128, 64], \"clf__estimator__learning_rate_init\": 0.001}": 3, "{\"clf__estimator__alpha\": 0.001, \"clf__estimator__hidden_layer_sizes\": [256, 128], \"clf__estimator__learning_rate_init\": 0.0005}": 3, "{\"clf__estimator__alpha\": 0.001, \"clf__estimator__hidden_layer_sizes\": [256, 128], \"clf__estimator__learning_rate_init\": 0.001}": 8}</t>
  </si>
  <si>
    <t>{"clf__estimator__alpha": 0.001, "clf__estimator__hidden_layer_sizes": [256, 128], "clf__estimator__learning_rate_init": 0.001}</t>
  </si>
  <si>
    <t>[[33, 39, 32], [36, 41, 32], [40, 31, 48]]</t>
  </si>
  <si>
    <t>nested__physiological_features__valence__ternary__mlp__aggregated__hc+nvg__emognition_features_w60_o30</t>
  </si>
  <si>
    <t>{"{\"clf__estimator__alpha\": 0.0001, \"clf__estimator__hidden_layer_sizes\": [128], \"clf__estimator__learning_rate_init\": 0.0005}": 5, "{\"clf__estimator__alpha\": 0.0001, \"clf__estimator__hidden_layer_sizes\": [128], \"clf__estimator__learning_rate_init\": 0.001}": 2, "{\"clf__estimator__alpha\": 0.0001, \"clf__estimator__hidden_layer_sizes\": [256, 128, 64], \"clf__estimator__learning_rate_init\": 0.0005}": 2, "{\"clf__estimator__alpha\": 0.0001, \"clf__estimator__hidden_layer_sizes\": [256, 128, 64], \"clf__estimator__learning_rate_init\": 0.001}": 2, "{\"clf__estimator__alpha\": 0.0001, \"clf__estimator__hidden_layer_sizes\": [256, 128], \"clf__estimator__learning_rate_init\": 0.0005}": 2, "{\"clf__estimator__alpha\": 0.0001, \"clf__estimator__hidden_layer_sizes\": [256, 128], \"clf__estimator__learning_rate_init\": 0.001}": 2, "{\"clf__estimator__alpha\": 0.001, \"clf__estimator__hidden_layer_sizes\": [128], \"clf__estimator__learning_rate_init\": 0.0005}": 4, "{\"clf__estimator__alpha\": 0.001, \"clf__estimator__hidden_layer_sizes\": [128], \"clf__estimator__learning_rate_init\": 0.001}": 4, "{\"clf__estimator__alpha\": 0.001, \"clf__estimator__hidden_layer_sizes\": [256, 128, 64], \"clf__estimator__learning_rate_init\": 0.0005}": 3, "{\"clf__estimator__alpha\": 0.001, \"clf__estimator__hidden_layer_sizes\": [256, 128, 64], \"clf__estimator__learning_rate_init\": 0.001}": 5, "{\"clf__estimator__alpha\": 0.001, \"clf__estimator__hidden_layer_sizes\": [256, 128], \"clf__estimator__learning_rate_init\": 0.0005}": 5, "{\"clf__estimator__alpha\": 0.001, \"clf__estimator__hidden_layer_sizes\": [256, 128], \"clf__estimator__learning_rate_init\": 0.001}": 6}</t>
  </si>
  <si>
    <t>[[33, 39, 32], [32, 34, 43], [31, 41, 47]]</t>
  </si>
  <si>
    <t>nested__physiological_features__valence__ternary__mlp__aggregated__hc+hvg__emognition_features_w60_o30</t>
  </si>
  <si>
    <t>{"{\"clf__estimator__alpha\": 0.0001, \"clf__estimator__hidden_layer_sizes\": [128], \"clf__estimator__learning_rate_init\": 0.0005}": 2, "{\"clf__estimator__alpha\": 0.0001, \"clf__estimator__hidden_layer_sizes\": [128], \"clf__estimator__learning_rate_init\": 0.001}": 2, "{\"clf__estimator__alpha\": 0.0001, \"clf__estimator__hidden_layer_sizes\": [256, 128, 64], \"clf__estimator__learning_rate_init\": 0.0005}": 3, "{\"clf__estimator__alpha\": 0.0001, \"clf__estimator__hidden_layer_sizes\": [256, 128, 64], \"clf__estimator__learning_rate_init\": 0.001}": 3, "{\"clf__estimator__alpha\": 0.0001, \"clf__estimator__hidden_layer_sizes\": [256, 128], \"clf__estimator__learning_rate_init\": 0.0005}": 8, "{\"clf__estimator__alpha\": 0.0001, \"clf__estimator__hidden_layer_sizes\": [256, 128], \"clf__estimator__learning_rate_init\": 0.001}": 3, "{\"clf__estimator__alpha\": 0.001, \"clf__estimator__hidden_layer_sizes\": [128], \"clf__estimator__learning_rate_init\": 0.0005}": 5, "{\"clf__estimator__alpha\": 0.001, \"clf__estimator__hidden_layer_sizes\": [128], \"clf__estimator__learning_rate_init\": 0.001}": 3, "{\"clf__estimator__alpha\": 0.001, \"clf__estimator__hidden_layer_sizes\": [256, 128, 64], \"clf__estimator__learning_rate_init\": 0.0005}": 5, "{\"clf__estimator__alpha\": 0.001, \"clf__estimator__hidden_layer_sizes\": [256, 128, 64], \"clf__estimator__learning_rate_init\": 0.001}": 3, "{\"clf__estimator__alpha\": 0.001, \"clf__estimator__hidden_layer_sizes\": [256, 128], \"clf__estimator__learning_rate_init\": 0.0005}": 2, "{\"clf__estimator__alpha\": 0.001, \"clf__estimator__hidden_layer_sizes\": [256, 128], \"clf__estimator__learning_rate_init\": 0.001}": 3}</t>
  </si>
  <si>
    <t>{"clf__estimator__alpha": 0.0001, "clf__estimator__hidden_layer_sizes": [256, 128], "clf__estimator__learning_rate_init": 0.0005}</t>
  </si>
  <si>
    <t>[[41, 31, 32], [30, 37, 42], [37, 38, 44]]</t>
  </si>
  <si>
    <t>nested__physiological_features__arousal__ternary__mlp__windowed__hc__emognition_features_w60_o30</t>
  </si>
  <si>
    <t>{"{\"clf__estimator__alpha\": 0.0001, \"clf__estimator__hidden_layer_sizes\": [128], \"clf__estimator__learning_rate_init\": 0.0005}": 4, "{\"clf__estimator__alpha\": 0.0001, \"clf__estimator__hidden_layer_sizes\": [128], \"clf__estimator__learning_rate_init\": 0.001}": 1, "{\"clf__estimator__alpha\": 0.0001, \"clf__estimator__hidden_layer_sizes\": [256, 128, 64], \"clf__estimator__learning_rate_init\": 0.0005}": 6, "{\"clf__estimator__alpha\": 0.0001, \"clf__estimator__hidden_layer_sizes\": [256, 128, 64], \"clf__estimator__learning_rate_init\": 0.001}": 1, "{\"clf__estimator__alpha\": 0.0001, \"clf__estimator__hidden_layer_sizes\": [256, 128], \"clf__estimator__learning_rate_init\": 0.0005}": 4, "{\"clf__estimator__alpha\": 0.0001, \"clf__estimator__hidden_layer_sizes\": [256, 128], \"clf__estimator__learning_rate_init\": 0.001}": 5, "{\"clf__estimator__alpha\": 0.001, \"clf__estimator__hidden_layer_sizes\": [128], \"clf__estimator__learning_rate_init\": 0.0005}": 7, "{\"clf__estimator__alpha\": 0.001, \"clf__estimator__hidden_layer_sizes\": [128], \"clf__estimator__learning_rate_init\": 0.001}": 5, "{\"clf__estimator__alpha\": 0.001, \"clf__estimator__hidden_layer_sizes\": [256, 128, 64], \"clf__estimator__learning_rate_init\": 0.0005}": 2, "{\"clf__estimator__alpha\": 0.001, \"clf__estimator__hidden_layer_sizes\": [256, 128, 64], \"clf__estimator__learning_rate_init\": 0.001}": 1, "{\"clf__estimator__alpha\": 0.001, \"clf__estimator__hidden_layer_sizes\": [256, 128], \"clf__estimator__learning_rate_init\": 0.0005}": 5, "{\"clf__estimator__alpha\": 0.001, \"clf__estimator__hidden_layer_sizes\": [256, 128], \"clf__estimator__learning_rate_init\": 0.001}": 1}</t>
  </si>
  <si>
    <t>{"clf__estimator__alpha": 0.001, "clf__estimator__hidden_layer_sizes": [128], "clf__estimator__learning_rate_init": 0.0005}</t>
  </si>
  <si>
    <t>[[32, 41, 30], [48, 49, 51], [18, 38, 25]]</t>
  </si>
  <si>
    <t>nested__physiological_features__arousal__ternary__mlp__windowed__nvg__emognition_features_w60_o30</t>
  </si>
  <si>
    <t>{"{\"clf__estimator__alpha\": 0.0001, \"clf__estimator__hidden_layer_sizes\": [128], \"clf__estimator__learning_rate_init\": 0.0005}": 3, "{\"clf__estimator__alpha\": 0.0001, \"clf__estimator__hidden_layer_sizes\": [128], \"clf__estimator__learning_rate_init\": 0.001}": 3, "{\"clf__estimator__alpha\": 0.0001, \"clf__estimator__hidden_layer_sizes\": [256, 128, 64], \"clf__estimator__learning_rate_init\": 0.0005}": 3, "{\"clf__estimator__alpha\": 0.0001, \"clf__estimator__hidden_layer_sizes\": [256, 128, 64], \"clf__estimator__learning_rate_init\": 0.001}": 2, "{\"clf__estimator__alpha\": 0.0001, \"clf__estimator__hidden_layer_sizes\": [256, 128], \"clf__estimator__learning_rate_init\": 0.0005}": 3, "{\"clf__estimator__alpha\": 0.0001, \"clf__estimator__hidden_layer_sizes\": [256, 128], \"clf__estimator__learning_rate_init\": 0.001}": 6, "{\"clf__estimator__alpha\": 0.001, \"clf__estimator__hidden_layer_sizes\": [128], \"clf__estimator__learning_rate_init\": 0.0005}": 5, "{\"clf__estimator__alpha\": 0.001, \"clf__estimator__hidden_layer_sizes\": [128], \"clf__estimator__learning_rate_init\": 0.001}": 8, "{\"clf__estimator__alpha\": 0.001, \"clf__estimator__hidden_layer_sizes\": [256, 128, 64], \"clf__estimator__learning_rate_init\": 0.001}": 2, "{\"clf__estimator__alpha\": 0.001, \"clf__estimator__hidden_layer_sizes\": [256, 128], \"clf__estimator__learning_rate_init\": 0.0005}": 4, "{\"clf__estimator__alpha\": 0.001, \"clf__estimator__hidden_layer_sizes\": [256, 128], \"clf__estimator__learning_rate_init\": 0.001}": 3}</t>
  </si>
  <si>
    <t>[[42, 33, 28], [53, 48, 47], [20, 32, 29]]</t>
  </si>
  <si>
    <t>nested__physiological_features__arousal__ternary__mlp__windowed__hvg__emognition_features_w60_o30</t>
  </si>
  <si>
    <t>{"{\"clf__estimator__alpha\": 0.0001, \"clf__estimator__hidden_layer_sizes\": [128], \"clf__estimator__learning_rate_init\": 0.0005}": 4, "{\"clf__estimator__alpha\": 0.0001, \"clf__estimator__hidden_layer_sizes\": [128], \"clf__estimator__learning_rate_init\": 0.001}": 4, "{\"clf__estimator__alpha\": 0.0001, \"clf__estimator__hidden_layer_sizes\": [256, 128, 64], \"clf__estimator__learning_rate_init\": 0.0005}": 4, "{\"clf__estimator__alpha\": 0.0001, \"clf__estimator__hidden_layer_sizes\": [256, 128, 64], \"clf__estimator__learning_rate_init\": 0.001}": 2, "{\"clf__estimator__alpha\": 0.0001, \"clf__estimator__hidden_layer_sizes\": [256, 128], \"clf__estimator__learning_rate_init\": 0.0005}": 3, "{\"clf__estimator__alpha\": 0.0001, \"clf__estimator__hidden_layer_sizes\": [256, 128], \"clf__estimator__learning_rate_init\": 0.001}": 3, "{\"clf__estimator__alpha\": 0.001, \"clf__estimator__hidden_layer_sizes\": [128], \"clf__estimator__learning_rate_init\": 0.0005}": 2, "{\"clf__estimator__alpha\": 0.001, \"clf__estimator__hidden_layer_sizes\": [128], \"clf__estimator__learning_rate_init\": 0.001}": 3, "{\"clf__estimator__alpha\": 0.001, \"clf__estimator__hidden_layer_sizes\": [256, 128, 64], \"clf__estimator__learning_rate_init\": 0.0005}": 5, "{\"clf__estimator__alpha\": 0.001, \"clf__estimator__hidden_layer_sizes\": [256, 128, 64], \"clf__estimator__learning_rate_init\": 0.001}": 2, "{\"clf__estimator__alpha\": 0.001, \"clf__estimator__hidden_layer_sizes\": [256, 128], \"clf__estimator__learning_rate_init\": 0.0005}": 8, "{\"clf__estimator__alpha\": 0.001, \"clf__estimator__hidden_layer_sizes\": [256, 128], \"clf__estimator__learning_rate_init\": 0.001}": 2}</t>
  </si>
  <si>
    <t>[[55, 30, 18], [59, 35, 54], [25, 30, 26]]</t>
  </si>
  <si>
    <t>nested__physiological_features__arousal__ternary__mlp__windowed__hc+nvg__emognition_features_w60_o30</t>
  </si>
  <si>
    <t>{"{\"clf__estimator__alpha\": 0.0001, \"clf__estimator__hidden_layer_sizes\": [128], \"clf__estimator__learning_rate_init\": 0.0005}": 7, "{\"clf__estimator__alpha\": 0.0001, \"clf__estimator__hidden_layer_sizes\": [128], \"clf__estimator__learning_rate_init\": 0.001}": 4, "{\"clf__estimator__alpha\": 0.0001, \"clf__estimator__hidden_layer_sizes\": [256, 128, 64], \"clf__estimator__learning_rate_init\": 0.0005}": 2, "{\"clf__estimator__alpha\": 0.0001, \"clf__estimator__hidden_layer_sizes\": [256, 128, 64], \"clf__estimator__learning_rate_init\": 0.001}": 2, "{\"clf__estimator__alpha\": 0.0001, \"clf__estimator__hidden_layer_sizes\": [256, 128], \"clf__estimator__learning_rate_init\": 0.001}": 2, "{\"clf__estimator__alpha\": 0.001, \"clf__estimator__hidden_layer_sizes\": [128], \"clf__estimator__learning_rate_init\": 0.0005}": 5, "{\"clf__estimator__alpha\": 0.001, \"clf__estimator__hidden_layer_sizes\": [128], \"clf__estimator__learning_rate_init\": 0.001}": 6, "{\"clf__estimator__alpha\": 0.001, \"clf__estimator__hidden_layer_sizes\": [256, 128, 64], \"clf__estimator__learning_rate_init\": 0.0005}": 4, "{\"clf__estimator__alpha\": 0.001, \"clf__estimator__hidden_layer_sizes\": [256, 128, 64], \"clf__estimator__learning_rate_init\": 0.001}": 3, "{\"clf__estimator__alpha\": 0.001, \"clf__estimator__hidden_layer_sizes\": [256, 128], \"clf__estimator__learning_rate_init\": 0.0005}": 3, "{\"clf__estimator__alpha\": 0.001, \"clf__estimator__hidden_layer_sizes\": [256, 128], \"clf__estimator__learning_rate_init\": 0.001}": 4}</t>
  </si>
  <si>
    <t>[[39, 35, 29], [56, 51, 41], [33, 32, 16]]</t>
  </si>
  <si>
    <t>nested__physiological_features__arousal__ternary__mlp__windowed__hc+hvg__emognition_features_w60_o30</t>
  </si>
  <si>
    <t>{"{\"clf__estimator__alpha\": 0.0001, \"clf__estimator__hidden_layer_sizes\": [128], \"clf__estimator__learning_rate_init\": 0.0005}": 5, "{\"clf__estimator__alpha\": 0.0001, \"clf__estimator__hidden_layer_sizes\": [128], \"clf__estimator__learning_rate_init\": 0.001}": 4, "{\"clf__estimator__alpha\": 0.0001, \"clf__estimator__hidden_layer_sizes\": [256, 128, 64], \"clf__estimator__learning_rate_init\": 0.0005}": 2, "{\"clf__estimator__alpha\": 0.0001, \"clf__estimator__hidden_layer_sizes\": [256, 128, 64], \"clf__estimator__learning_rate_init\": 0.001}": 1, "{\"clf__estimator__alpha\": 0.0001, \"clf__estimator__hidden_layer_sizes\": [256, 128], \"clf__estimator__learning_rate_init\": 0.0005}": 5, "{\"clf__estimator__alpha\": 0.0001, \"clf__estimator__hidden_layer_sizes\": [256, 128], \"clf__estimator__learning_rate_init\": 0.001}": 1, "{\"clf__estimator__alpha\": 0.001, \"clf__estimator__hidden_layer_sizes\": [128], \"clf__estimator__learning_rate_init\": 0.0005}": 6, "{\"clf__estimator__alpha\": 0.001, \"clf__estimator__hidden_layer_sizes\": [128], \"clf__estimator__learning_rate_init\": 0.001}": 5, "{\"clf__estimator__alpha\": 0.001, \"clf__estimator__hidden_layer_sizes\": [256, 128, 64], \"clf__estimator__learning_rate_init\": 0.0005}": 3, "{\"clf__estimator__alpha\": 0.001, \"clf__estimator__hidden_layer_sizes\": [256, 128], \"clf__estimator__learning_rate_init\": 0.0005}": 6, "{\"clf__estimator__alpha\": 0.001, \"clf__estimator__hidden_layer_sizes\": [256, 128], \"clf__estimator__learning_rate_init\": 0.001}": 4}</t>
  </si>
  <si>
    <t>[[48, 26, 29], [58, 38, 52], [29, 36, 16]]</t>
  </si>
  <si>
    <t>nested__physiological_features__arousal__ternary__mlp__aggregated__hc__emognition_features_w60_o30</t>
  </si>
  <si>
    <t>{"{\"clf__estimator__alpha\": 0.0001, \"clf__estimator__hidden_layer_sizes\": [128], \"clf__estimator__learning_rate_init\": 0.0005}": 8, "{\"clf__estimator__alpha\": 0.0001, \"clf__estimator__hidden_layer_sizes\": [128], \"clf__estimator__learning_rate_init\": 0.001}": 4, "{\"clf__estimator__alpha\": 0.0001, \"clf__estimator__hidden_layer_sizes\": [256, 128, 64], \"clf__estimator__learning_rate_init\": 0.0005}": 1, "{\"clf__estimator__alpha\": 0.0001, \"clf__estimator__hidden_layer_sizes\": [256, 128, 64], \"clf__estimator__learning_rate_init\": 0.001}": 1, "{\"clf__estimator__alpha\": 0.0001, \"clf__estimator__hidden_layer_sizes\": [256, 128], \"clf__estimator__learning_rate_init\": 0.0005}": 4, "{\"clf__estimator__alpha\": 0.0001, \"clf__estimator__hidden_layer_sizes\": [256, 128], \"clf__estimator__learning_rate_init\": 0.001}": 2, "{\"clf__estimator__alpha\": 0.001, \"clf__estimator__hidden_layer_sizes\": [128], \"clf__estimator__learning_rate_init\": 0.0005}": 5, "{\"clf__estimator__alpha\": 0.001, \"clf__estimator__hidden_layer_sizes\": [128], \"clf__estimator__learning_rate_init\": 0.001}": 6, "{\"clf__estimator__alpha\": 0.001, \"clf__estimator__hidden_layer_sizes\": [256, 128, 64], \"clf__estimator__learning_rate_init\": 0.0005}": 2, "{\"clf__estimator__alpha\": 0.001, \"clf__estimator__hidden_layer_sizes\": [256, 128, 64], \"clf__estimator__learning_rate_init\": 0.001}": 1, "{\"clf__estimator__alpha\": 0.001, \"clf__estimator__hidden_layer_sizes\": [256, 128], \"clf__estimator__learning_rate_init\": 0.0005}": 6, "{\"clf__estimator__alpha\": 0.001, \"clf__estimator__hidden_layer_sizes\": [256, 128], \"clf__estimator__learning_rate_init\": 0.001}": 2}</t>
  </si>
  <si>
    <t>[[38, 42, 23], [47, 62, 39], [32, 29, 20]]</t>
  </si>
  <si>
    <t>nested__physiological_features__arousal__ternary__mlp__aggregated__nvg__emognition_features_w60_o30</t>
  </si>
  <si>
    <t>{"{\"clf__estimator__alpha\": 0.0001, \"clf__estimator__hidden_layer_sizes\": [128], \"clf__estimator__learning_rate_init\": 0.0005}": 6, "{\"clf__estimator__alpha\": 0.0001, \"clf__estimator__hidden_layer_sizes\": [128], \"clf__estimator__learning_rate_init\": 0.001}": 7, "{\"clf__estimator__alpha\": 0.0001, \"clf__estimator__hidden_layer_sizes\": [256, 128, 64], \"clf__estimator__learning_rate_init\": 0.0005}": 1, "{\"clf__estimator__alpha\": 0.0001, \"clf__estimator__hidden_layer_sizes\": [256, 128, 64], \"clf__estimator__learning_rate_init\": 0.001}": 4, "{\"clf__estimator__alpha\": 0.0001, \"clf__estimator__hidden_layer_sizes\": [256, 128], \"clf__estimator__learning_rate_init\": 0.0005}": 2, "{\"clf__estimator__alpha\": 0.0001, \"clf__estimator__hidden_layer_sizes\": [256, 128], \"clf__estimator__learning_rate_init\": 0.001}": 8, "{\"clf__estimator__alpha\": 0.001, \"clf__estimator__hidden_layer_sizes\": [128], \"clf__estimator__learning_rate_init\": 0.0005}": 2, "{\"clf__estimator__alpha\": 0.001, \"clf__estimator__hidden_layer_sizes\": [128], \"clf__estimator__learning_rate_init\": 0.001}": 5, "{\"clf__estimator__alpha\": 0.001, \"clf__estimator__hidden_layer_sizes\": [256, 128, 64], \"clf__estimator__learning_rate_init\": 0.0005}": 3, "{\"clf__estimator__alpha\": 0.001, \"clf__estimator__hidden_layer_sizes\": [256, 128], \"clf__estimator__learning_rate_init\": 0.0005}": 2, "{\"clf__estimator__alpha\": 0.001, \"clf__estimator__hidden_layer_sizes\": [256, 128], \"clf__estimator__learning_rate_init\": 0.001}": 2}</t>
  </si>
  <si>
    <t>{"clf__estimator__alpha": 0.0001, "clf__estimator__hidden_layer_sizes": [256, 128], "clf__estimator__learning_rate_init": 0.001}</t>
  </si>
  <si>
    <t>[[39, 44, 20], [44, 70, 34], [19, 33, 29]]</t>
  </si>
  <si>
    <t>nested__physiological_features__arousal__ternary__mlp__aggregated__hvg__emognition_features_w60_o30</t>
  </si>
  <si>
    <t>{"{\"clf__estimator__alpha\": 0.0001, \"clf__estimator__hidden_layer_sizes\": [128], \"clf__estimator__learning_rate_init\": 0.0005}": 3, "{\"clf__estimator__alpha\": 0.0001, \"clf__estimator__hidden_layer_sizes\": [128], \"clf__estimator__learning_rate_init\": 0.001}": 1, "{\"clf__estimator__alpha\": 0.0001, \"clf__estimator__hidden_layer_sizes\": [256, 128, 64], \"clf__estimator__learning_rate_init\": 0.0005}": 3, "{\"clf__estimator__alpha\": 0.0001, \"clf__estimator__hidden_layer_sizes\": [256, 128], \"clf__estimator__learning_rate_init\": 0.0005}": 3, "{\"clf__estimator__alpha\": 0.0001, \"clf__estimator__hidden_layer_sizes\": [256, 128], \"clf__estimator__learning_rate_init\": 0.001}": 2, "{\"clf__estimator__alpha\": 0.001, \"clf__estimator__hidden_layer_sizes\": [128], \"clf__estimator__learning_rate_init\": 0.0005}": 4, "{\"clf__estimator__alpha\": 0.001, \"clf__estimator__hidden_layer_sizes\": [128], \"clf__estimator__learning_rate_init\": 0.001}": 5, "{\"clf__estimator__alpha\": 0.001, \"clf__estimator__hidden_layer_sizes\": [256, 128, 64], \"clf__estimator__learning_rate_init\": 0.0005}": 7, "{\"clf__estimator__alpha\": 0.001, \"clf__estimator__hidden_layer_sizes\": [256, 128, 64], \"clf__estimator__learning_rate_init\": 0.001}": 5, "{\"clf__estimator__alpha\": 0.001, \"clf__estimator__hidden_layer_sizes\": [256, 128], \"clf__estimator__learning_rate_init\": 0.0005}": 4, "{\"clf__estimator__alpha\": 0.001, \"clf__estimator__hidden_layer_sizes\": [256, 128], \"clf__estimator__learning_rate_init\": 0.001}": 5}</t>
  </si>
  <si>
    <t>[[36, 45, 22], [52, 52, 44], [27, 34, 20]]</t>
  </si>
  <si>
    <t>nested__physiological_features__arousal__ternary__mlp__aggregated__hc+nvg__emognition_features_w60_o30</t>
  </si>
  <si>
    <t>{"{\"clf__estimator__alpha\": 0.0001, \"clf__estimator__hidden_layer_sizes\": [128], \"clf__estimator__learning_rate_init\": 0.0005}": 6, "{\"clf__estimator__alpha\": 0.0001, \"clf__estimator__hidden_layer_sizes\": [128], \"clf__estimator__learning_rate_init\": 0.001}": 4, "{\"clf__estimator__alpha\": 0.0001, \"clf__estimator__hidden_layer_sizes\": [256, 128, 64], \"clf__estimator__learning_rate_init\": 0.0005}": 5, "{\"clf__estimator__alpha\": 0.0001, \"clf__estimator__hidden_layer_sizes\": [256, 128, 64], \"clf__estimator__learning_rate_init\": 0.001}": 3, "{\"clf__estimator__alpha\": 0.0001, \"clf__estimator__hidden_layer_sizes\": [256, 128], \"clf__estimator__learning_rate_init\": 0.0005}": 3, "{\"clf__estimator__alpha\": 0.0001, \"clf__estimator__hidden_layer_sizes\": [256, 128], \"clf__estimator__learning_rate_init\": 0.001}": 3, "{\"clf__estimator__alpha\": 0.001, \"clf__estimator__hidden_layer_sizes\": [128], \"clf__estimator__learning_rate_init\": 0.0005}": 1, "{\"clf__estimator__alpha\": 0.001, \"clf__estimator__hidden_layer_sizes\": [128], \"clf__estimator__learning_rate_init\": 0.001}": 4, "{\"clf__estimator__alpha\": 0.001, \"clf__estimator__hidden_layer_sizes\": [256, 128, 64], \"clf__estimator__learning_rate_init\": 0.0005}": 2, "{\"clf__estimator__alpha\": 0.001, \"clf__estimator__hidden_layer_sizes\": [256, 128, 64], \"clf__estimator__learning_rate_init\": 0.001}": 3, "{\"clf__estimator__alpha\": 0.001, \"clf__estimator__hidden_layer_sizes\": [256, 128], \"clf__estimator__learning_rate_init\": 0.0005}": 4, "{\"clf__estimator__alpha\": 0.001, \"clf__estimator__hidden_layer_sizes\": [256, 128], \"clf__estimator__learning_rate_init\": 0.001}": 4}</t>
  </si>
  <si>
    <t>[[25, 46, 32], [45, 68, 35], [25, 41, 15]]</t>
  </si>
  <si>
    <t>nested__physiological_features__arousal__ternary__mlp__aggregated__hc+hvg__emognition_features_w60_o30</t>
  </si>
  <si>
    <t>{"{\"clf__estimator__alpha\": 0.0001, \"clf__estimator__hidden_layer_sizes\": [128], \"clf__estimator__learning_rate_init\": 0.0005}": 5, "{\"clf__estimator__alpha\": 0.0001, \"clf__estimator__hidden_layer_sizes\": [128], \"clf__estimator__learning_rate_init\": 0.001}": 7, "{\"clf__estimator__alpha\": 0.0001, \"clf__estimator__hidden_layer_sizes\": [256, 128, 64], \"clf__estimator__learning_rate_init\": 0.0005}": 2, "{\"clf__estimator__alpha\": 0.0001, \"clf__estimator__hidden_layer_sizes\": [256, 128, 64], \"clf__estimator__learning_rate_init\": 0.001}": 3, "{\"clf__estimator__alpha\": 0.0001, \"clf__estimator__hidden_layer_sizes\": [256, 128], \"clf__estimator__learning_rate_init\": 0.0005}": 3, "{\"clf__estimator__alpha\": 0.0001, \"clf__estimator__hidden_layer_sizes\": [256, 128], \"clf__estimator__learning_rate_init\": 0.001}": 2, "{\"clf__estimator__alpha\": 0.001, \"clf__estimator__hidden_layer_sizes\": [128], \"clf__estimator__learning_rate_init\": 0.0005}": 4, "{\"clf__estimator__alpha\": 0.001, \"clf__estimator__hidden_layer_sizes\": [256, 128, 64], \"clf__estimator__learning_rate_init\": 0.0005}": 7, "{\"clf__estimator__alpha\": 0.001, \"clf__estimator__hidden_layer_sizes\": [256, 128, 64], \"clf__estimator__learning_rate_init\": 0.001}": 2, "{\"clf__estimator__alpha\": 0.001, \"clf__estimator__hidden_layer_sizes\": [256, 128], \"clf__estimator__learning_rate_init\": 0.0005}": 1, "{\"clf__estimator__alpha\": 0.001, \"clf__estimator__hidden_layer_sizes\": [256, 128], \"clf__estimator__learning_rate_init\": 0.001}": 6}</t>
  </si>
  <si>
    <t>[[26, 37, 40], [50, 50, 48], [22, 37, 22]]</t>
  </si>
  <si>
    <t>nested__physiological_features__valence__binary__mlp__windowed__hc__emognition_features_w60_o30</t>
  </si>
  <si>
    <t>{"{\"clf__estimator__alpha\": 0.0001, \"clf__estimator__hidden_layer_sizes\": [128], \"clf__estimator__learning_rate_init\": 0.0005}": 5, "{\"clf__estimator__alpha\": 0.0001, \"clf__estimator__hidden_layer_sizes\": [128], \"clf__estimator__learning_rate_init\": 0.001}": 1, "{\"clf__estimator__alpha\": 0.0001, \"clf__estimator__hidden_layer_sizes\": [256, 128, 64], \"clf__estimator__learning_rate_init\": 0.0005}": 3, "{\"clf__estimator__alpha\": 0.0001, \"clf__estimator__hidden_layer_sizes\": [256, 128, 64], \"clf__estimator__learning_rate_init\": 0.001}": 3, "{\"clf__estimator__alpha\": 0.0001, \"clf__estimator__hidden_layer_sizes\": [256, 128], \"clf__estimator__learning_rate_init\": 0.0005}": 3, "{\"clf__estimator__alpha\": 0.0001, \"clf__estimator__hidden_layer_sizes\": [256, 128], \"clf__estimator__learning_rate_init\": 0.001}": 3, "{\"clf__estimator__alpha\": 0.001, \"clf__estimator__hidden_layer_sizes\": [128], \"clf__estimator__learning_rate_init\": 0.0005}": 4, "{\"clf__estimator__alpha\": 0.001, \"clf__estimator__hidden_layer_sizes\": [128], \"clf__estimator__learning_rate_init\": 0.001}": 4, "{\"clf__estimator__alpha\": 0.001, \"clf__estimator__hidden_layer_sizes\": [256, 128, 64], \"clf__estimator__learning_rate_init\": 0.0005}": 8, "{\"clf__estimator__alpha\": 0.001, \"clf__estimator__hidden_layer_sizes\": [256, 128, 64], \"clf__estimator__learning_rate_init\": 0.001}": 1, "{\"clf__estimator__alpha\": 0.001, \"clf__estimator__hidden_layer_sizes\": [256, 128], \"clf__estimator__learning_rate_init\": 0.0005}": 3, "{\"clf__estimator__alpha\": 0.001, \"clf__estimator__hidden_layer_sizes\": [256, 128], \"clf__estimator__learning_rate_init\": 0.001}": 4}</t>
  </si>
  <si>
    <t>[[61, 79], [82, 82]]</t>
  </si>
  <si>
    <t>nested__physiological_features__valence__binary__mlp__windowed__nvg__emognition_features_w60_o30</t>
  </si>
  <si>
    <t>{"{\"clf__estimator__alpha\": 0.0001, \"clf__estimator__hidden_layer_sizes\": [128], \"clf__estimator__learning_rate_init\": 0.0005}": 1, "{\"clf__estimator__alpha\": 0.0001, \"clf__estimator__hidden_layer_sizes\": [128], \"clf__estimator__learning_rate_init\": 0.001}": 3, "{\"clf__estimator__alpha\": 0.0001, \"clf__estimator__hidden_layer_sizes\": [256, 128, 64], \"clf__estimator__learning_rate_init\": 0.0005}": 4, "{\"clf__estimator__alpha\": 0.0001, \"clf__estimator__hidden_layer_sizes\": [256, 128, 64], \"clf__estimator__learning_rate_init\": 0.001}": 2, "{\"clf__estimator__alpha\": 0.0001, \"clf__estimator__hidden_layer_sizes\": [256, 128], \"clf__estimator__learning_rate_init\": 0.0005}": 4, "{\"clf__estimator__alpha\": 0.0001, \"clf__estimator__hidden_layer_sizes\": [256, 128], \"clf__estimator__learning_rate_init\": 0.001}": 6, "{\"clf__estimator__alpha\": 0.001, \"clf__estimator__hidden_layer_sizes\": [128], \"clf__estimator__learning_rate_init\": 0.0005}": 2, "{\"clf__estimator__alpha\": 0.001, \"clf__estimator__hidden_layer_sizes\": [128], \"clf__estimator__learning_rate_init\": 0.001}": 5, "{\"clf__estimator__alpha\": 0.001, \"clf__estimator__hidden_layer_sizes\": [256, 128, 64], \"clf__estimator__learning_rate_init\": 0.0005}": 4, "{\"clf__estimator__alpha\": 0.001, \"clf__estimator__hidden_layer_sizes\": [256, 128, 64], \"clf__estimator__learning_rate_init\": 0.001}": 3, "{\"clf__estimator__alpha\": 0.001, \"clf__estimator__hidden_layer_sizes\": [256, 128], \"clf__estimator__learning_rate_init\": 0.0005}": 3, "{\"clf__estimator__alpha\": 0.001, \"clf__estimator__hidden_layer_sizes\": [256, 128], \"clf__estimator__learning_rate_init\": 0.001}": 5}</t>
  </si>
  <si>
    <t>[[68, 72], [81, 83]]</t>
  </si>
  <si>
    <t>nested__physiological_features__valence__binary__mlp__windowed__hvg__emognition_features_w60_o30</t>
  </si>
  <si>
    <t>{"{\"clf__estimator__alpha\": 0.0001, \"clf__estimator__hidden_layer_sizes\": [128], \"clf__estimator__learning_rate_init\": 0.0005}": 4, "{\"clf__estimator__alpha\": 0.0001, \"clf__estimator__hidden_layer_sizes\": [128], \"clf__estimator__learning_rate_init\": 0.001}": 7, "{\"clf__estimator__alpha\": 0.0001, \"clf__estimator__hidden_layer_sizes\": [256, 128, 64], \"clf__estimator__learning_rate_init\": 0.0005}": 2, "{\"clf__estimator__alpha\": 0.0001, \"clf__estimator__hidden_layer_sizes\": [256, 128, 64], \"clf__estimator__learning_rate_init\": 0.001}": 3, "{\"clf__estimator__alpha\": 0.0001, \"clf__estimator__hidden_layer_sizes\": [256, 128], \"clf__estimator__learning_rate_init\": 0.0005}": 2, "{\"clf__estimator__alpha\": 0.0001, \"clf__estimator__hidden_layer_sizes\": [256, 128], \"clf__estimator__learning_rate_init\": 0.001}": 1, "{\"clf__estimator__alpha\": 0.001, \"clf__estimator__hidden_layer_sizes\": [128], \"clf__estimator__learning_rate_init\": 0.0005}": 6, "{\"clf__estimator__alpha\": 0.001, \"clf__estimator__hidden_layer_sizes\": [128], \"clf__estimator__learning_rate_init\": 0.001}": 5, "{\"clf__estimator__alpha\": 0.001, \"clf__estimator__hidden_layer_sizes\": [256, 128, 64], \"clf__estimator__learning_rate_init\": 0.0005}": 3, "{\"clf__estimator__alpha\": 0.001, \"clf__estimator__hidden_layer_sizes\": [256, 128, 64], \"clf__estimator__learning_rate_init\": 0.001}": 4, "{\"clf__estimator__alpha\": 0.001, \"clf__estimator__hidden_layer_sizes\": [256, 128], \"clf__estimator__learning_rate_init\": 0.0005}": 5}</t>
  </si>
  <si>
    <t>[[61, 79], [86, 78]]</t>
  </si>
  <si>
    <t>nested__physiological_features__valence__binary__mlp__windowed__hc+nvg__emognition_features_w60_o30</t>
  </si>
  <si>
    <t>{"{\"clf__estimator__alpha\": 0.0001, \"clf__estimator__hidden_layer_sizes\": [128], \"clf__estimator__learning_rate_init\": 0.0005}": 3, "{\"clf__estimator__alpha\": 0.0001, \"clf__estimator__hidden_layer_sizes\": [128], \"clf__estimator__learning_rate_init\": 0.001}": 5, "{\"clf__estimator__alpha\": 0.0001, \"clf__estimator__hidden_layer_sizes\": [256, 128, 64], \"clf__estimator__learning_rate_init\": 0.0005}": 1, "{\"clf__estimator__alpha\": 0.0001, \"clf__estimator__hidden_layer_sizes\": [256, 128, 64], \"clf__estimator__learning_rate_init\": 0.001}": 2, "{\"clf__estimator__alpha\": 0.0001, \"clf__estimator__hidden_layer_sizes\": [256, 128], \"clf__estimator__learning_rate_init\": 0.0005}": 4, "{\"clf__estimator__alpha\": 0.0001, \"clf__estimator__hidden_layer_sizes\": [256, 128], \"clf__estimator__learning_rate_init\": 0.001}": 6, "{\"clf__estimator__alpha\": 0.001, \"clf__estimator__hidden_layer_sizes\": [128], \"clf__estimator__learning_rate_init\": 0.0005}": 4, "{\"clf__estimator__alpha\": 0.001, \"clf__estimator__hidden_layer_sizes\": [128], \"clf__estimator__learning_rate_init\": 0.001}": 5, "{\"clf__estimator__alpha\": 0.001, \"clf__estimator__hidden_layer_sizes\": [256, 128, 64], \"clf__estimator__learning_rate_init\": 0.0005}": 3, "{\"clf__estimator__alpha\": 0.001, \"clf__estimator__hidden_layer_sizes\": [256, 128, 64], \"clf__estimator__learning_rate_init\": 0.001}": 1, "{\"clf__estimator__alpha\": 0.001, \"clf__estimator__hidden_layer_sizes\": [256, 128], \"clf__estimator__learning_rate_init\": 0.0005}": 3, "{\"clf__estimator__alpha\": 0.001, \"clf__estimator__hidden_layer_sizes\": [256, 128], \"clf__estimator__learning_rate_init\": 0.001}": 5}</t>
  </si>
  <si>
    <t>[[71, 69], [74, 90]]</t>
  </si>
  <si>
    <t>nested__physiological_features__valence__binary__mlp__windowed__hc+hvg__emognition_features_w60_o30</t>
  </si>
  <si>
    <t>{"{\"clf__estimator__alpha\": 0.0001, \"clf__estimator__hidden_layer_sizes\": [128], \"clf__estimator__learning_rate_init\": 0.0005}": 6, "{\"clf__estimator__alpha\": 0.0001, \"clf__estimator__hidden_layer_sizes\": [128], \"clf__estimator__learning_rate_init\": 0.001}": 5, "{\"clf__estimator__alpha\": 0.0001, \"clf__estimator__hidden_layer_sizes\": [256, 128, 64], \"clf__estimator__learning_rate_init\": 0.0005}": 2, "{\"clf__estimator__alpha\": 0.0001, \"clf__estimator__hidden_layer_sizes\": [256, 128, 64], \"clf__estimator__learning_rate_init\": 0.001}": 3, "{\"clf__estimator__alpha\": 0.0001, \"clf__estimator__hidden_layer_sizes\": [256, 128], \"clf__estimator__learning_rate_init\": 0.0005}": 1, "{\"clf__estimator__alpha\": 0.0001, \"clf__estimator__hidden_layer_sizes\": [256, 128], \"clf__estimator__learning_rate_init\": 0.001}": 1, "{\"clf__estimator__alpha\": 0.001, \"clf__estimator__hidden_layer_sizes\": [128], \"clf__estimator__learning_rate_init\": 0.0005}": 6, "{\"clf__estimator__alpha\": 0.001, \"clf__estimator__hidden_layer_sizes\": [128], \"clf__estimator__learning_rate_init\": 0.001}": 4, "{\"clf__estimator__alpha\": 0.001, \"clf__estimator__hidden_layer_sizes\": [256, 128, 64], \"clf__estimator__learning_rate_init\": 0.0005}": 3, "{\"clf__estimator__alpha\": 0.001, \"clf__estimator__hidden_layer_sizes\": [256, 128, 64], \"clf__estimator__learning_rate_init\": 0.001}": 1, "{\"clf__estimator__alpha\": 0.001, \"clf__estimator__hidden_layer_sizes\": [256, 128], \"clf__estimator__learning_rate_init\": 0.0005}": 5, "{\"clf__estimator__alpha\": 0.001, \"clf__estimator__hidden_layer_sizes\": [256, 128], \"clf__estimator__learning_rate_init\": 0.001}": 5}</t>
  </si>
  <si>
    <t>[[68, 72], [74, 90]]</t>
  </si>
  <si>
    <t>nested__physiological_features__valence__binary__mlp__aggregated__hc__emognition_features_w60_o30</t>
  </si>
  <si>
    <t>{"{\"clf__estimator__alpha\": 0.0001, \"clf__estimator__hidden_layer_sizes\": [128], \"clf__estimator__learning_rate_init\": 0.0005}": 2, "{\"clf__estimator__alpha\": 0.0001, \"clf__estimator__hidden_layer_sizes\": [128], \"clf__estimator__learning_rate_init\": 0.001}": 2, "{\"clf__estimator__alpha\": 0.0001, \"clf__estimator__hidden_layer_sizes\": [256, 128, 64], \"clf__estimator__learning_rate_init\": 0.0005}": 7, "{\"clf__estimator__alpha\": 0.0001, \"clf__estimator__hidden_layer_sizes\": [256, 128, 64], \"clf__estimator__learning_rate_init\": 0.001}": 2, "{\"clf__estimator__alpha\": 0.0001, \"clf__estimator__hidden_layer_sizes\": [256, 128], \"clf__estimator__learning_rate_init\": 0.0005}": 2, "{\"clf__estimator__alpha\": 0.0001, \"clf__estimator__hidden_layer_sizes\": [256, 128], \"clf__estimator__learning_rate_init\": 0.001}": 4, "{\"clf__estimator__alpha\": 0.001, \"clf__estimator__hidden_layer_sizes\": [128], \"clf__estimator__learning_rate_init\": 0.0005}": 2, "{\"clf__estimator__alpha\": 0.001, \"clf__estimator__hidden_layer_sizes\": [128], \"clf__estimator__learning_rate_init\": 0.001}": 5, "{\"clf__estimator__alpha\": 0.001, \"clf__estimator__hidden_layer_sizes\": [256, 128, 64], \"clf__estimator__learning_rate_init\": 0.0005}": 5, "{\"clf__estimator__alpha\": 0.001, \"clf__estimator__hidden_layer_sizes\": [256, 128, 64], \"clf__estimator__learning_rate_init\": 0.001}": 4, "{\"clf__estimator__alpha\": 0.001, \"clf__estimator__hidden_layer_sizes\": [256, 128], \"clf__estimator__learning_rate_init\": 0.0005}": 7}</t>
  </si>
  <si>
    <t>[[67, 73], [76, 88]]</t>
  </si>
  <si>
    <t>nested__physiological_features__valence__binary__mlp__aggregated__nvg__emognition_features_w60_o30</t>
  </si>
  <si>
    <t>{"{\"clf__estimator__alpha\": 0.0001, \"clf__estimator__hidden_layer_sizes\": [128], \"clf__estimator__learning_rate_init\": 0.0005}": 2, "{\"clf__estimator__alpha\": 0.0001, \"clf__estimator__hidden_layer_sizes\": [128], \"clf__estimator__learning_rate_init\": 0.001}": 2, "{\"clf__estimator__alpha\": 0.0001, \"clf__estimator__hidden_layer_sizes\": [256, 128, 64], \"clf__estimator__learning_rate_init\": 0.0005}": 5, "{\"clf__estimator__alpha\": 0.0001, \"clf__estimator__hidden_layer_sizes\": [256, 128, 64], \"clf__estimator__learning_rate_init\": 0.001}": 6, "{\"clf__estimator__alpha\": 0.0001, \"clf__estimator__hidden_layer_sizes\": [256, 128], \"clf__estimator__learning_rate_init\": 0.0005}": 3, "{\"clf__estimator__alpha\": 0.0001, \"clf__estimator__hidden_layer_sizes\": [256, 128], \"clf__estimator__learning_rate_init\": 0.001}": 3, "{\"clf__estimator__alpha\": 0.001, \"clf__estimator__hidden_layer_sizes\": [128], \"clf__estimator__learning_rate_init\": 0.0005}": 1, "{\"clf__estimator__alpha\": 0.001, \"clf__estimator__hidden_layer_sizes\": [128], \"clf__estimator__learning_rate_init\": 0.001}": 1, "{\"clf__estimator__alpha\": 0.001, \"clf__estimator__hidden_layer_sizes\": [256, 128, 64], \"clf__estimator__learning_rate_init\": 0.0005}": 7, "{\"clf__estimator__alpha\": 0.001, \"clf__estimator__hidden_layer_sizes\": [256, 128, 64], \"clf__estimator__learning_rate_init\": 0.001}": 5, "{\"clf__estimator__alpha\": 0.001, \"clf__estimator__hidden_layer_sizes\": [256, 128], \"clf__estimator__learning_rate_init\": 0.0005}": 4, "{\"clf__estimator__alpha\": 0.001, \"clf__estimator__hidden_layer_sizes\": [256, 128], \"clf__estimator__learning_rate_init\": 0.001}": 3}</t>
  </si>
  <si>
    <t>[[66, 74], [79, 85]]</t>
  </si>
  <si>
    <t>nested__physiological_features__valence__binary__mlp__aggregated__hvg__emognition_features_w60_o30</t>
  </si>
  <si>
    <t>{"{\"clf__estimator__alpha\": 0.0001, \"clf__estimator__hidden_layer_sizes\": [128], \"clf__estimator__learning_rate_init\": 0.0005}": 8, "{\"clf__estimator__alpha\": 0.0001, \"clf__estimator__hidden_layer_sizes\": [128], \"clf__estimator__learning_rate_init\": 0.001}": 2, "{\"clf__estimator__alpha\": 0.0001, \"clf__estimator__hidden_layer_sizes\": [256, 128, 64], \"clf__estimator__learning_rate_init\": 0.0005}": 6, "{\"clf__estimator__alpha\": 0.0001, \"clf__estimator__hidden_layer_sizes\": [256, 128, 64], \"clf__estimator__learning_rate_init\": 0.001}": 2, "{\"clf__estimator__alpha\": 0.0001, \"clf__estimator__hidden_layer_sizes\": [256, 128], \"clf__estimator__learning_rate_init\": 0.0005}": 4, "{\"clf__estimator__alpha\": 0.0001, \"clf__estimator__hidden_layer_sizes\": [256, 128], \"clf__estimator__learning_rate_init\": 0.001}": 1, "{\"clf__estimator__alpha\": 0.001, \"clf__estimator__hidden_layer_sizes\": [128], \"clf__estimator__learning_rate_init\": 0.0005}": 9, "{\"clf__estimator__alpha\": 0.001, \"clf__estimator__hidden_layer_sizes\": [128], \"clf__estimator__learning_rate_init\": 0.001}": 1, "{\"clf__estimator__alpha\": 0.001, \"clf__estimator__hidden_layer_sizes\": [256, 128, 64], \"clf__estimator__learning_rate_init\": 0.0005}": 2, "{\"clf__estimator__alpha\": 0.001, \"clf__estimator__hidden_layer_sizes\": [256, 128, 64], \"clf__estimator__learning_rate_init\": 0.001}": 3, "{\"clf__estimator__alpha\": 0.001, \"clf__estimator__hidden_layer_sizes\": [256, 128], \"clf__estimator__learning_rate_init\": 0.0005}": 2, "{\"clf__estimator__alpha\": 0.001, \"clf__estimator__hidden_layer_sizes\": [256, 128], \"clf__estimator__learning_rate_init\": 0.001}": 2}</t>
  </si>
  <si>
    <t>[[74, 66], [82, 82]]</t>
  </si>
  <si>
    <t>nested__physiological_features__valence__binary__mlp__aggregated__hc+nvg__emognition_features_w60_o30</t>
  </si>
  <si>
    <t>{"{\"clf__estimator__alpha\": 0.0001, \"clf__estimator__hidden_layer_sizes\": [128], \"clf__estimator__learning_rate_init\": 0.0005}": 2, "{\"clf__estimator__alpha\": 0.0001, \"clf__estimator__hidden_layer_sizes\": [128], \"clf__estimator__learning_rate_init\": 0.001}": 2, "{\"clf__estimator__alpha\": 0.0001, \"clf__estimator__hidden_layer_sizes\": [256, 128, 64], \"clf__estimator__learning_rate_init\": 0.0005}": 3, "{\"clf__estimator__alpha\": 0.0001, \"clf__estimator__hidden_layer_sizes\": [256, 128, 64], \"clf__estimator__learning_rate_init\": 0.001}": 8, "{\"clf__estimator__alpha\": 0.0001, \"clf__estimator__hidden_layer_sizes\": [256, 128], \"clf__estimator__learning_rate_init\": 0.0005}": 5, "{\"clf__estimator__alpha\": 0.0001, \"clf__estimator__hidden_layer_sizes\": [256, 128], \"clf__estimator__learning_rate_init\": 0.001}": 6, "{\"clf__estimator__alpha\": 0.001, \"clf__estimator__hidden_layer_sizes\": [128], \"clf__estimator__learning_rate_init\": 0.0005}": 1, "{\"clf__estimator__alpha\": 0.001, \"clf__estimator__hidden_layer_sizes\": [128], \"clf__estimator__learning_rate_init\": 0.001}": 1, "{\"clf__estimator__alpha\": 0.001, \"clf__estimator__hidden_layer_sizes\": [256, 128, 64], \"clf__estimator__learning_rate_init\": 0.0005}": 3, "{\"clf__estimator__alpha\": 0.001, \"clf__estimator__hidden_layer_sizes\": [256, 128, 64], \"clf__estimator__learning_rate_init\": 0.001}": 2, "{\"clf__estimator__alpha\": 0.001, \"clf__estimator__hidden_layer_sizes\": [256, 128], \"clf__estimator__learning_rate_init\": 0.0005}": 4, "{\"clf__estimator__alpha\": 0.001, \"clf__estimator__hidden_layer_sizes\": [256, 128], \"clf__estimator__learning_rate_init\": 0.001}": 5}</t>
  </si>
  <si>
    <t>{"clf__estimator__alpha": 0.0001, "clf__estimator__hidden_layer_sizes": [256, 128, 64], "clf__estimator__learning_rate_init": 0.001}</t>
  </si>
  <si>
    <t>[[74, 66], [75, 89]]</t>
  </si>
  <si>
    <t>nested__physiological_features__valence__binary__mlp__aggregated__hc+hvg__emognition_features_w60_o30</t>
  </si>
  <si>
    <t>{"{\"clf__estimator__alpha\": 0.0001, \"clf__estimator__hidden_layer_sizes\": [128], \"clf__estimator__learning_rate_init\": 0.0005}": 3, "{\"clf__estimator__alpha\": 0.0001, \"clf__estimator__hidden_layer_sizes\": [128], \"clf__estimator__learning_rate_init\": 0.001}": 2, "{\"clf__estimator__alpha\": 0.0001, \"clf__estimator__hidden_layer_sizes\": [256, 128, 64], \"clf__estimator__learning_rate_init\": 0.0005}": 5, "{\"clf__estimator__alpha\": 0.0001, \"clf__estimator__hidden_layer_sizes\": [256, 128, 64], \"clf__estimator__learning_rate_init\": 0.001}": 8, "{\"clf__estimator__alpha\": 0.0001, \"clf__estimator__hidden_layer_sizes\": [256, 128], \"clf__estimator__learning_rate_init\": 0.0005}": 3, "{\"clf__estimator__alpha\": 0.0001, \"clf__estimator__hidden_layer_sizes\": [256, 128], \"clf__estimator__learning_rate_init\": 0.001}": 5, "{\"clf__estimator__alpha\": 0.001, \"clf__estimator__hidden_layer_sizes\": [128], \"clf__estimator__learning_rate_init\": 0.0005}": 2, "{\"clf__estimator__alpha\": 0.001, \"clf__estimator__hidden_layer_sizes\": [128], \"clf__estimator__learning_rate_init\": 0.001}": 3, "{\"clf__estimator__alpha\": 0.001, \"clf__estimator__hidden_layer_sizes\": [256, 128, 64], \"clf__estimator__learning_rate_init\": 0.0005}": 2, "{\"clf__estimator__alpha\": 0.001, \"clf__estimator__hidden_layer_sizes\": [256, 128, 64], \"clf__estimator__learning_rate_init\": 0.001}": 5, "{\"clf__estimator__alpha\": 0.001, \"clf__estimator__hidden_layer_sizes\": [256, 128], \"clf__estimator__learning_rate_init\": 0.0005}": 2, "{\"clf__estimator__alpha\": 0.001, \"clf__estimator__hidden_layer_sizes\": [256, 128], \"clf__estimator__learning_rate_init\": 0.001}": 2}</t>
  </si>
  <si>
    <t>[[70, 70], [78, 86]]</t>
  </si>
  <si>
    <t>nested__physiological_features__arousal__binary__mlp__windowed__hc__emognition_features_w60_o30</t>
  </si>
  <si>
    <t>{"{\"clf__estimator__alpha\": 0.0001, \"clf__estimator__hidden_layer_sizes\": [128], \"clf__estimator__learning_rate_init\": 0.0005}": 6, "{\"clf__estimator__alpha\": 0.0001, \"clf__estimator__hidden_layer_sizes\": [128], \"clf__estimator__learning_rate_init\": 0.001}": 7, "{\"clf__estimator__alpha\": 0.0001, \"clf__estimator__hidden_layer_sizes\": [256, 128, 64], \"clf__estimator__learning_rate_init\": 0.0005}": 4, "{\"clf__estimator__alpha\": 0.0001, \"clf__estimator__hidden_layer_sizes\": [256, 128, 64], \"clf__estimator__learning_rate_init\": 0.001}": 4, "{\"clf__estimator__alpha\": 0.0001, \"clf__estimator__hidden_layer_sizes\": [256, 128], \"clf__estimator__learning_rate_init\": 0.0005}": 2, "{\"clf__estimator__alpha\": 0.0001, \"clf__estimator__hidden_layer_sizes\": [256, 128], \"clf__estimator__learning_rate_init\": 0.001}": 2, "{\"clf__estimator__alpha\": 0.001, \"clf__estimator__hidden_layer_sizes\": [128], \"clf__estimator__learning_rate_init\": 0.0005}": 5, "{\"clf__estimator__alpha\": 0.001, \"clf__estimator__hidden_layer_sizes\": [128], \"clf__estimator__learning_rate_init\": 0.001}": 5, "{\"clf__estimator__alpha\": 0.001, \"clf__estimator__hidden_layer_sizes\": [256, 128, 64], \"clf__estimator__learning_rate_init\": 0.0005}": 1, "{\"clf__estimator__alpha\": 0.001, \"clf__estimator__hidden_layer_sizes\": [256, 128, 64], \"clf__estimator__learning_rate_init\": 0.001}": 1, "{\"clf__estimator__alpha\": 0.001, \"clf__estimator__hidden_layer_sizes\": [256, 128], \"clf__estimator__learning_rate_init\": 0.0005}": 4, "{\"clf__estimator__alpha\": 0.001, \"clf__estimator__hidden_layer_sizes\": [256, 128], \"clf__estimator__learning_rate_init\": 0.001}": 1}</t>
  </si>
  <si>
    <t>[[86, 65], [79, 48]]</t>
  </si>
  <si>
    <t>nested__physiological_features__arousal__binary__mlp__windowed__nvg__emognition_features_w60_o30</t>
  </si>
  <si>
    <t>{"{\"clf__estimator__alpha\": 0.0001, \"clf__estimator__hidden_layer_sizes\": [128], \"clf__estimator__learning_rate_init\": 0.0005}": 1, "{\"clf__estimator__alpha\": 0.0001, \"clf__estimator__hidden_layer_sizes\": [128], \"clf__estimator__learning_rate_init\": 0.001}": 7, "{\"clf__estimator__alpha\": 0.0001, \"clf__estimator__hidden_layer_sizes\": [256, 128, 64], \"clf__estimator__learning_rate_init\": 0.0005}": 2, "{\"clf__estimator__alpha\": 0.0001, \"clf__estimator__hidden_layer_sizes\": [256, 128, 64], \"clf__estimator__learning_rate_init\": 0.001}": 2, "{\"clf__estimator__alpha\": 0.0001, \"clf__estimator__hidden_layer_sizes\": [256, 128], \"clf__estimator__learning_rate_init\": 0.0005}": 5, "{\"clf__estimator__alpha\": 0.0001, \"clf__estimator__hidden_layer_sizes\": [256, 128], \"clf__estimator__learning_rate_init\": 0.001}": 2, "{\"clf__estimator__alpha\": 0.001, \"clf__estimator__hidden_layer_sizes\": [128], \"clf__estimator__learning_rate_init\": 0.0005}": 3, "{\"clf__estimator__alpha\": 0.001, \"clf__estimator__hidden_layer_sizes\": [128], \"clf__estimator__learning_rate_init\": 0.001}": 2, "{\"clf__estimator__alpha\": 0.001, \"clf__estimator__hidden_layer_sizes\": [256, 128, 64], \"clf__estimator__learning_rate_init\": 0.0005}": 7, "{\"clf__estimator__alpha\": 0.001, \"clf__estimator__hidden_layer_sizes\": [256, 128, 64], \"clf__estimator__learning_rate_init\": 0.001}": 4, "{\"clf__estimator__alpha\": 0.001, \"clf__estimator__hidden_layer_sizes\": [256, 128], \"clf__estimator__learning_rate_init\": 0.0005}": 1, "{\"clf__estimator__alpha\": 0.001, \"clf__estimator__hidden_layer_sizes\": [256, 128], \"clf__estimator__learning_rate_init\": 0.001}": 6}</t>
  </si>
  <si>
    <t>[[71, 80], [51, 76]]</t>
  </si>
  <si>
    <t>nested__physiological_features__arousal__binary__mlp__windowed__hvg__emognition_features_w60_o30</t>
  </si>
  <si>
    <t>{"{\"clf__estimator__alpha\": 0.0001, \"clf__estimator__hidden_layer_sizes\": [128], \"clf__estimator__learning_rate_init\": 0.0005}": 7, "{\"clf__estimator__alpha\": 0.0001, \"clf__estimator__hidden_layer_sizes\": [256, 128, 64], \"clf__estimator__learning_rate_init\": 0.0005}": 5, "{\"clf__estimator__alpha\": 0.0001, \"clf__estimator__hidden_layer_sizes\": [256, 128, 64], \"clf__estimator__learning_rate_init\": 0.001}": 3, "{\"clf__estimator__alpha\": 0.0001, \"clf__estimator__hidden_layer_sizes\": [256, 128], \"clf__estimator__learning_rate_init\": 0.0005}": 4, "{\"clf__estimator__alpha\": 0.0001, \"clf__estimator__hidden_layer_sizes\": [256, 128], \"clf__estimator__learning_rate_init\": 0.001}": 3, "{\"clf__estimator__alpha\": 0.001, \"clf__estimator__hidden_layer_sizes\": [128], \"clf__estimator__learning_rate_init\": 0.0005}": 5, "{\"clf__estimator__alpha\": 0.001, \"clf__estimator__hidden_layer_sizes\": [128], \"clf__estimator__learning_rate_init\": 0.001}": 5, "{\"clf__estimator__alpha\": 0.001, \"clf__estimator__hidden_layer_sizes\": [256, 128, 64], \"clf__estimator__learning_rate_init\": 0.0005}": 3, "{\"clf__estimator__alpha\": 0.001, \"clf__estimator__hidden_layer_sizes\": [256, 128, 64], \"clf__estimator__learning_rate_init\": 0.001}": 5, "{\"clf__estimator__alpha\": 0.001, \"clf__estimator__hidden_layer_sizes\": [256, 128], \"clf__estimator__learning_rate_init\": 0.0005}": 1, "{\"clf__estimator__alpha\": 0.001, \"clf__estimator__hidden_layer_sizes\": [256, 128], \"clf__estimator__learning_rate_init\": 0.001}": 1}</t>
  </si>
  <si>
    <t>[[69, 82], [58, 69]]</t>
  </si>
  <si>
    <t>nested__physiological_features__arousal__binary__mlp__windowed__hc+nvg__emognition_features_w60_o30</t>
  </si>
  <si>
    <t>{"{\"clf__estimator__alpha\": 0.0001, \"clf__estimator__hidden_layer_sizes\": [128], \"clf__estimator__learning_rate_init\": 0.0005}": 1, "{\"clf__estimator__alpha\": 0.0001, \"clf__estimator__hidden_layer_sizes\": [128], \"clf__estimator__learning_rate_init\": 0.001}": 3, "{\"clf__estimator__alpha\": 0.0001, \"clf__estimator__hidden_layer_sizes\": [256, 128, 64], \"clf__estimator__learning_rate_init\": 0.0005}": 5, "{\"clf__estimator__alpha\": 0.0001, \"clf__estimator__hidden_layer_sizes\": [256, 128, 64], \"clf__estimator__learning_rate_init\": 0.001}": 3, "{\"clf__estimator__alpha\": 0.0001, \"clf__estimator__hidden_layer_sizes\": [256, 128], \"clf__estimator__learning_rate_init\": 0.0005}": 1, "{\"clf__estimator__alpha\": 0.0001, \"clf__estimator__hidden_layer_sizes\": [256, 128], \"clf__estimator__learning_rate_init\": 0.001}": 5, "{\"clf__estimator__alpha\": 0.001, \"clf__estimator__hidden_layer_sizes\": [128], \"clf__estimator__learning_rate_init\": 0.0005}": 5, "{\"clf__estimator__alpha\": 0.001, \"clf__estimator__hidden_layer_sizes\": [128], \"clf__estimator__learning_rate_init\": 0.001}": 3, "{\"clf__estimator__alpha\": 0.001, \"clf__estimator__hidden_layer_sizes\": [256, 128, 64], \"clf__estimator__learning_rate_init\": 0.0005}": 1, "{\"clf__estimator__alpha\": 0.001, \"clf__estimator__hidden_layer_sizes\": [256, 128, 64], \"clf__estimator__learning_rate_init\": 0.001}": 6, "{\"clf__estimator__alpha\": 0.001, \"clf__estimator__hidden_layer_sizes\": [256, 128], \"clf__estimator__learning_rate_init\": 0.0005}": 5, "{\"clf__estimator__alpha\": 0.001, \"clf__estimator__hidden_layer_sizes\": [256, 128], \"clf__estimator__learning_rate_init\": 0.001}": 4}</t>
  </si>
  <si>
    <t>{"clf__estimator__alpha": 0.001, "clf__estimator__hidden_layer_sizes": [256, 128, 64], "clf__estimator__learning_rate_init": 0.001}</t>
  </si>
  <si>
    <t>[[79, 72], [81, 46]]</t>
  </si>
  <si>
    <t>nested__physiological_features__arousal__binary__mlp__windowed__hc+hvg__emognition_features_w60_o30</t>
  </si>
  <si>
    <t>{"{\"clf__estimator__alpha\": 0.0001, \"clf__estimator__hidden_layer_sizes\": [128], \"clf__estimator__learning_rate_init\": 0.0005}": 6, "{\"clf__estimator__alpha\": 0.0001, \"clf__estimator__hidden_layer_sizes\": [128], \"clf__estimator__learning_rate_init\": 0.001}": 7, "{\"clf__estimator__alpha\": 0.0001, \"clf__estimator__hidden_layer_sizes\": [256, 128, 64], \"clf__estimator__learning_rate_init\": 0.0005}": 3, "{\"clf__estimator__alpha\": 0.0001, \"clf__estimator__hidden_layer_sizes\": [256, 128, 64], \"clf__estimator__learning_rate_init\": 0.001}": 3, "{\"clf__estimator__alpha\": 0.0001, \"clf__estimator__hidden_layer_sizes\": [256, 128], \"clf__estimator__learning_rate_init\": 0.0005}": 2, "{\"clf__estimator__alpha\": 0.0001, \"clf__estimator__hidden_layer_sizes\": [256, 128], \"clf__estimator__learning_rate_init\": 0.001}": 1, "{\"clf__estimator__alpha\": 0.001, \"clf__estimator__hidden_layer_sizes\": [128], \"clf__estimator__learning_rate_init\": 0.0005}": 6, "{\"clf__estimator__alpha\": 0.001, \"clf__estimator__hidden_layer_sizes\": [128], \"clf__estimator__learning_rate_init\": 0.001}": 2, "{\"clf__estimator__alpha\": 0.001, \"clf__estimator__hidden_layer_sizes\": [256, 128, 64], \"clf__estimator__learning_rate_init\": 0.0005}": 4, "{\"clf__estimator__alpha\": 0.001, \"clf__estimator__hidden_layer_sizes\": [256, 128, 64], \"clf__estimator__learning_rate_init\": 0.001}": 4, "{\"clf__estimator__alpha\": 0.001, \"clf__estimator__hidden_layer_sizes\": [256, 128], \"clf__estimator__learning_rate_init\": 0.0005}": 3, "{\"clf__estimator__alpha\": 0.001, \"clf__estimator__hidden_layer_sizes\": [256, 128], \"clf__estimator__learning_rate_init\": 0.001}": 1}</t>
  </si>
  <si>
    <t>[[81, 70], [61, 66]]</t>
  </si>
  <si>
    <t>nested__physiological_features__arousal__binary__mlp__aggregated__hc__emognition_features_w60_o30</t>
  </si>
  <si>
    <t>{"{\"clf__estimator__alpha\": 0.0001, \"clf__estimator__hidden_layer_sizes\": [128], \"clf__estimator__learning_rate_init\": 0.0005}": 5, "{\"clf__estimator__alpha\": 0.0001, \"clf__estimator__hidden_layer_sizes\": [128], \"clf__estimator__learning_rate_init\": 0.001}": 3, "{\"clf__estimator__alpha\": 0.0001, \"clf__estimator__hidden_layer_sizes\": [256, 128, 64], \"clf__estimator__learning_rate_init\": 0.0005}": 2, "{\"clf__estimator__alpha\": 0.0001, \"clf__estimator__hidden_layer_sizes\": [256, 128, 64], \"clf__estimator__learning_rate_init\": 0.001}": 1, "{\"clf__estimator__alpha\": 0.0001, \"clf__estimator__hidden_layer_sizes\": [256, 128], \"clf__estimator__learning_rate_init\": 0.0005}": 3, "{\"clf__estimator__alpha\": 0.001, \"clf__estimator__hidden_layer_sizes\": [128], \"clf__estimator__learning_rate_init\": 0.0005}": 6, "{\"clf__estimator__alpha\": 0.001, \"clf__estimator__hidden_layer_sizes\": [128], \"clf__estimator__learning_rate_init\": 0.001}": 7, "{\"clf__estimator__alpha\": 0.001, \"clf__estimator__hidden_layer_sizes\": [256, 128, 64], \"clf__estimator__learning_rate_init\": 0.0005}": 8, "{\"clf__estimator__alpha\": 0.001, \"clf__estimator__hidden_layer_sizes\": [256, 128, 64], \"clf__estimator__learning_rate_init\": 0.001}": 2, "{\"clf__estimator__alpha\": 0.001, \"clf__estimator__hidden_layer_sizes\": [256, 128], \"clf__estimator__learning_rate_init\": 0.0005}": 2, "{\"clf__estimator__alpha\": 0.001, \"clf__estimator__hidden_layer_sizes\": [256, 128], \"clf__estimator__learning_rate_init\": 0.001}": 3}</t>
  </si>
  <si>
    <t>[[80, 71], [71, 56]]</t>
  </si>
  <si>
    <t>nested__physiological_features__arousal__binary__mlp__aggregated__nvg__emognition_features_w60_o30</t>
  </si>
  <si>
    <t>{"{\"clf__estimator__alpha\": 0.0001, \"clf__estimator__hidden_layer_sizes\": [128], \"clf__estimator__learning_rate_init\": 0.0005}": 7, "{\"clf__estimator__alpha\": 0.0001, \"clf__estimator__hidden_layer_sizes\": [128], \"clf__estimator__learning_rate_init\": 0.001}": 4, "{\"clf__estimator__alpha\": 0.0001, \"clf__estimator__hidden_layer_sizes\": [256, 128, 64], \"clf__estimator__learning_rate_init\": 0.0005}": 1, "{\"clf__estimator__alpha\": 0.0001, \"clf__estimator__hidden_layer_sizes\": [256, 128, 64], \"clf__estimator__learning_rate_init\": 0.001}": 3, "{\"clf__estimator__alpha\": 0.0001, \"clf__estimator__hidden_layer_sizes\": [256, 128], \"clf__estimator__learning_rate_init\": 0.0005}": 5, "{\"clf__estimator__alpha\": 0.0001, \"clf__estimator__hidden_layer_sizes\": [256, 128], \"clf__estimator__learning_rate_init\": 0.001}": 3, "{\"clf__estimator__alpha\": 0.001, \"clf__estimator__hidden_layer_sizes\": [128], \"clf__estimator__learning_rate_init\": 0.0005}": 4, "{\"clf__estimator__alpha\": 0.001, \"clf__estimator__hidden_layer_sizes\": [128], \"clf__estimator__learning_rate_init\": 0.001}": 2, "{\"clf__estimator__alpha\": 0.001, \"clf__estimator__hidden_layer_sizes\": [256, 128, 64], \"clf__estimator__learning_rate_init\": 0.0005}": 3, "{\"clf__estimator__alpha\": 0.001, \"clf__estimator__hidden_layer_sizes\": [256, 128, 64], \"clf__estimator__learning_rate_init\": 0.001}": 3, "{\"clf__estimator__alpha\": 0.001, \"clf__estimator__hidden_layer_sizes\": [256, 128], \"clf__estimator__learning_rate_init\": 0.0005}": 2, "{\"clf__estimator__alpha\": 0.001, \"clf__estimator__hidden_layer_sizes\": [256, 128], \"clf__estimator__learning_rate_init\": 0.001}": 5}</t>
  </si>
  <si>
    <t>[[94, 57], [71, 56]]</t>
  </si>
  <si>
    <t>nested__physiological_features__arousal__binary__mlp__aggregated__hvg__emognition_features_w60_o30</t>
  </si>
  <si>
    <t>{"{\"clf__estimator__alpha\": 0.0001, \"clf__estimator__hidden_layer_sizes\": [128], \"clf__estimator__learning_rate_init\": 0.0005}": 3, "{\"clf__estimator__alpha\": 0.0001, \"clf__estimator__hidden_layer_sizes\": [128], \"clf__estimator__learning_rate_init\": 0.001}": 1, "{\"clf__estimator__alpha\": 0.0001, \"clf__estimator__hidden_layer_sizes\": [256, 128, 64], \"clf__estimator__learning_rate_init\": 0.0005}": 6, "{\"clf__estimator__alpha\": 0.0001, \"clf__estimator__hidden_layer_sizes\": [256, 128, 64], \"clf__estimator__learning_rate_init\": 0.001}": 8, "{\"clf__estimator__alpha\": 0.0001, \"clf__estimator__hidden_layer_sizes\": [256, 128], \"clf__estimator__learning_rate_init\": 0.0005}": 3, "{\"clf__estimator__alpha\": 0.0001, \"clf__estimator__hidden_layer_sizes\": [256, 128], \"clf__estimator__learning_rate_init\": 0.001}": 2, "{\"clf__estimator__alpha\": 0.001, \"clf__estimator__hidden_layer_sizes\": [128], \"clf__estimator__learning_rate_init\": 0.0005}": 3, "{\"clf__estimator__alpha\": 0.001, \"clf__estimator__hidden_layer_sizes\": [128], \"clf__estimator__learning_rate_init\": 0.001}": 3, "{\"clf__estimator__alpha\": 0.001, \"clf__estimator__hidden_layer_sizes\": [256, 128, 64], \"clf__estimator__learning_rate_init\": 0.0005}": 2, "{\"clf__estimator__alpha\": 0.001, \"clf__estimator__hidden_layer_sizes\": [256, 128, 64], \"clf__estimator__learning_rate_init\": 0.001}": 4, "{\"clf__estimator__alpha\": 0.001, \"clf__estimator__hidden_layer_sizes\": [256, 128], \"clf__estimator__learning_rate_init\": 0.0005}": 4, "{\"clf__estimator__alpha\": 0.001, \"clf__estimator__hidden_layer_sizes\": [256, 128], \"clf__estimator__learning_rate_init\": 0.001}": 3}</t>
  </si>
  <si>
    <t>nested__physiological_features__arousal__binary__mlp__aggregated__hc+nvg__emognition_features_w60_o30</t>
  </si>
  <si>
    <t>{"{\"clf__estimator__alpha\": 0.0001, \"clf__estimator__hidden_layer_sizes\": [128], \"clf__estimator__learning_rate_init\": 0.0005}": 4, "{\"clf__estimator__alpha\": 0.0001, \"clf__estimator__hidden_layer_sizes\": [128], \"clf__estimator__learning_rate_init\": 0.001}": 7, "{\"clf__estimator__alpha\": 0.0001, \"clf__estimator__hidden_layer_sizes\": [256, 128, 64], \"clf__estimator__learning_rate_init\": 0.0005}": 6, "{\"clf__estimator__alpha\": 0.0001, \"clf__estimator__hidden_layer_sizes\": [256, 128, 64], \"clf__estimator__learning_rate_init\": 0.001}": 3, "{\"clf__estimator__alpha\": 0.0001, \"clf__estimator__hidden_layer_sizes\": [256, 128], \"clf__estimator__learning_rate_init\": 0.0005}": 3, "{\"clf__estimator__alpha\": 0.0001, \"clf__estimator__hidden_layer_sizes\": [256, 128], \"clf__estimator__learning_rate_init\": 0.001}": 2, "{\"clf__estimator__alpha\": 0.001, \"clf__estimator__hidden_layer_sizes\": [128], \"clf__estimator__learning_rate_init\": 0.0005}": 1, "{\"clf__estimator__alpha\": 0.001, \"clf__estimator__hidden_layer_sizes\": [128], \"clf__estimator__learning_rate_init\": 0.001}": 1, "{\"clf__estimator__alpha\": 0.001, \"clf__estimator__hidden_layer_sizes\": [256, 128, 64], \"clf__estimator__learning_rate_init\": 0.0005}": 7, "{\"clf__estimator__alpha\": 0.001, \"clf__estimator__hidden_layer_sizes\": [256, 128, 64], \"clf__estimator__learning_rate_init\": 0.001}": 3, "{\"clf__estimator__alpha\": 0.001, \"clf__estimator__hidden_layer_sizes\": [256, 128], \"clf__estimator__learning_rate_init\": 0.0005}": 2, "{\"clf__estimator__alpha\": 0.001, \"clf__estimator__hidden_layer_sizes\": [256, 128], \"clf__estimator__learning_rate_init\": 0.001}": 3}</t>
  </si>
  <si>
    <t>[[79, 72], [74, 53]]</t>
  </si>
  <si>
    <t>nested__physiological_features__arousal__binary__mlp__aggregated__hc+hvg__emognition_features_w60_o30</t>
  </si>
  <si>
    <t>{"{\"clf__estimator__alpha\": 0.0001, \"clf__estimator__hidden_layer_sizes\": [128], \"clf__estimator__learning_rate_init\": 0.0005}": 2, "{\"clf__estimator__alpha\": 0.0001, \"clf__estimator__hidden_layer_sizes\": [128], \"clf__estimator__learning_rate_init\": 0.001}": 3, "{\"clf__estimator__alpha\": 0.0001, \"clf__estimator__hidden_layer_sizes\": [256, 128, 64], \"clf__estimator__learning_rate_init\": 0.0005}": 3, "{\"clf__estimator__alpha\": 0.0001, \"clf__estimator__hidden_layer_sizes\": [256, 128, 64], \"clf__estimator__learning_rate_init\": 0.001}": 3, "{\"clf__estimator__alpha\": 0.0001, \"clf__estimator__hidden_layer_sizes\": [256, 128], \"clf__estimator__learning_rate_init\": 0.0005}": 3, "{\"clf__estimator__alpha\": 0.0001, \"clf__estimator__hidden_layer_sizes\": [256, 128], \"clf__estimator__learning_rate_init\": 0.001}": 6, "{\"clf__estimator__alpha\": 0.001, \"clf__estimator__hidden_layer_sizes\": [128], \"clf__estimator__learning_rate_init\": 0.0005}": 5, "{\"clf__estimator__alpha\": 0.001, \"clf__estimator__hidden_layer_sizes\": [128], \"clf__estimator__learning_rate_init\": 0.001}": 3, "{\"clf__estimator__alpha\": 0.001, \"clf__estimator__hidden_layer_sizes\": [256, 128, 64], \"clf__estimator__learning_rate_init\": 0.0005}": 1, "{\"clf__estimator__alpha\": 0.001, \"clf__estimator__hidden_layer_sizes\": [256, 128, 64], \"clf__estimator__learning_rate_init\": 0.001}": 3, "{\"clf__estimator__alpha\": 0.001, \"clf__estimator__hidden_layer_sizes\": [256, 128], \"clf__estimator__learning_rate_init\": 0.0005}": 6, "{\"clf__estimator__alpha\": 0.001, \"clf__estimator__hidden_layer_sizes\": [256, 128], \"clf__estimator__learning_rate_init\": 0.001}": 4}</t>
  </si>
  <si>
    <t>[[73, 78], [68, 59]]</t>
  </si>
  <si>
    <t>nested__physiological_features__valence__binary__gcn__windowed__hc__emognition_features_w60_o30</t>
  </si>
  <si>
    <t>gcn__windowed__hc__emognition_features_w60_o30</t>
  </si>
  <si>
    <t>gcn</t>
  </si>
  <si>
    <t>{"{\"clf__dropout\": 0.2, \"clf__hidden_channels\": 32, \"clf__learning_rate\": 0.001, \"clf__weight_decay\": 0.0}": 42}</t>
  </si>
  <si>
    <t>{"clf__dropout": 0.2, "clf__hidden_channels": 32, "clf__learning_rate": 0.001, "clf__weight_decay": 0.0}</t>
  </si>
  <si>
    <t>[[71, 69], [86, 78]]</t>
  </si>
  <si>
    <t>nested__physiological_features__valence__binary__gcn__windowed__nvg__emognition_features_w60_o30</t>
  </si>
  <si>
    <t>gcn__windowed__nvg__emognition_features_w60_o30</t>
  </si>
  <si>
    <t>[[64, 76], [70, 94]]</t>
  </si>
  <si>
    <t>nested__physiological_features__valence__binary__gcn__windowed__hvg__emognition_features_w60_o30</t>
  </si>
  <si>
    <t>gcn__windowed__hvg__emognition_features_w60_o30</t>
  </si>
  <si>
    <t>[[55, 85], [81, 83]]</t>
  </si>
  <si>
    <t>nested__physiological_features__valence__binary__gcn__windowed__hc+nvg__emognition_features_w60_o30</t>
  </si>
  <si>
    <t>gcn__windowed__hc+nvg__emognition_features_w60_o30</t>
  </si>
  <si>
    <t>[[72, 68], [77, 87]]</t>
  </si>
  <si>
    <t>nested__physiological_features__valence__binary__gcn__windowed__hc+hvg__emognition_features_w60_o30</t>
  </si>
  <si>
    <t>gcn__windowed__hc+hvg__emognition_features_w60_o30</t>
  </si>
  <si>
    <t>[[88, 52], [94, 70]]</t>
  </si>
  <si>
    <t>nested__physiological_features__valence__binary__gcn__aggregated__hc__emognition_features_w60_o30</t>
  </si>
  <si>
    <t>gcn__aggregated__hc__emognition_features_w60_o30</t>
  </si>
  <si>
    <t>[[79, 61], [76, 88]]</t>
  </si>
  <si>
    <t>nested__physiological_features__valence__binary__gcn__aggregated__nvg__emognition_features_w60_o30</t>
  </si>
  <si>
    <t>gcn__aggregated__nvg__emognition_features_w60_o30</t>
  </si>
  <si>
    <t>[[76, 64], [69, 95]]</t>
  </si>
  <si>
    <t>nested__physiological_features__valence__binary__gcn__aggregated__hvg__emognition_features_w60_o30</t>
  </si>
  <si>
    <t>gcn__aggregated__hvg__emognition_features_w60_o30</t>
  </si>
  <si>
    <t>[[65, 75], [63, 101]]</t>
  </si>
  <si>
    <t>nested__physiological_features__valence__binary__gcn__aggregated__hc+nvg__emognition_features_w60_o30</t>
  </si>
  <si>
    <t>gcn__aggregated__hc+nvg__emognition_features_w60_o30</t>
  </si>
  <si>
    <t>[[76, 64], [77, 87]]</t>
  </si>
  <si>
    <t>nested__physiological_features__valence__binary__gcn__aggregated__hc+hvg__emognition_features_w60_o30</t>
  </si>
  <si>
    <t>gcn__aggregated__hc+hvg__emognition_features_w60_o30</t>
  </si>
  <si>
    <t>[[70, 70], [68, 96]]</t>
  </si>
  <si>
    <t>nested__physiological_features__arousal__binary__gcn__windowed__hc__emognition_features_w60_o30</t>
  </si>
  <si>
    <t>[[73, 78], [70, 57]]</t>
  </si>
  <si>
    <t>nested__physiological_features__arousal__binary__gcn__windowed__nvg__emognition_features_w60_o30</t>
  </si>
  <si>
    <t>[[69, 82], [61, 66]]</t>
  </si>
  <si>
    <t>nested__physiological_features__arousal__binary__gcn__windowed__hvg__emognition_features_w60_o30</t>
  </si>
  <si>
    <t>[[99, 52], [69, 58]]</t>
  </si>
  <si>
    <t>nested__physiological_features__arousal__binary__gcn__windowed__hc+nvg__emognition_features_w60_o30</t>
  </si>
  <si>
    <t>[[80, 71], [76, 51]]</t>
  </si>
  <si>
    <t>nested__physiological_features__arousal__binary__gcn__windowed__hc+hvg__emognition_features_w60_o30</t>
  </si>
  <si>
    <t>[[76, 75], [75, 52]]</t>
  </si>
  <si>
    <t>nested__physiological_features__arousal__binary__gcn__aggregated__hc__emognition_features_w60_o30</t>
  </si>
  <si>
    <t>[[72, 79], [80, 47]]</t>
  </si>
  <si>
    <t>nested__physiological_features__arousal__binary__gcn__aggregated__nvg__emognition_features_w60_o30</t>
  </si>
  <si>
    <t>[[72, 79], [72, 55]]</t>
  </si>
  <si>
    <t>nested__physiological_features__arousal__binary__gcn__aggregated__hvg__emognition_features_w60_o30</t>
  </si>
  <si>
    <t>[[75, 76], [64, 63]]</t>
  </si>
  <si>
    <t>nested__physiological_features__arousal__binary__gcn__aggregated__hc+nvg__emognition_features_w60_o30</t>
  </si>
  <si>
    <t>[[90, 61], [85, 42]]</t>
  </si>
  <si>
    <t>nested__physiological_features__arousal__binary__gcn__aggregated__hc+hvg__emognition_features_w60_o30</t>
  </si>
  <si>
    <t>[[81, 70], [69, 58]]</t>
  </si>
  <si>
    <t>nested__physiological_features__valence__ternary__gcn__windowed__hc__emognition_features_w60_o30</t>
  </si>
  <si>
    <t>{"{\"clf__dropout\": 0.2, \"clf__hidden_channels\": 32, \"clf__learning_rate\": 0.0003, \"clf__weight_decay\": 0.0}": 27, "{\"clf__dropout\": 0.2, \"clf__hidden_channels\": 32, \"clf__learning_rate\": 0.001, \"clf__weight_decay\": 0.0}": 15}</t>
  </si>
  <si>
    <t>{"clf__dropout": 0.2, "clf__hidden_channels": 32, "clf__learning_rate": 0.0003, "clf__weight_decay": 0.0}</t>
  </si>
  <si>
    <t>[[36, 36, 32], [42, 31, 36], [45, 30, 44]]</t>
  </si>
  <si>
    <t>nested__physiological_features__valence__ternary__gcn__windowed__nvg__emognition_features_w60_o30</t>
  </si>
  <si>
    <t>{"{\"clf__dropout\": 0.2, \"clf__hidden_channels\": 32, \"clf__learning_rate\": 0.0003, \"clf__weight_decay\": 0.0}": 15, "{\"clf__dropout\": 0.2, \"clf__hidden_channels\": 32, \"clf__learning_rate\": 0.001, \"clf__weight_decay\": 0.0}": 27}</t>
  </si>
  <si>
    <t>[[48, 22, 34], [28, 40, 41], [32, 38, 49]]</t>
  </si>
  <si>
    <t>nested__physiological_features__valence__ternary__gcn__windowed__hvg__emognition_features_w60_o30</t>
  </si>
  <si>
    <t>{"{\"clf__dropout\": 0.2, \"clf__hidden_channels\": 32, \"clf__learning_rate\": 0.0003, \"clf__weight_decay\": 0.0}": 13, "{\"clf__dropout\": 0.2, \"clf__hidden_channels\": 32, \"clf__learning_rate\": 0.001, \"clf__weight_decay\": 0.0}": 29}</t>
  </si>
  <si>
    <t>[[33, 30, 41], [40, 15, 54], [38, 25, 56]]</t>
  </si>
  <si>
    <t>nested__physiological_features__valence__ternary__gcn__windowed__hc+nvg__emognition_features_w60_o30</t>
  </si>
  <si>
    <t>{"{\"clf__dropout\": 0.2, \"clf__hidden_channels\": 32, \"clf__learning_rate\": 0.0003, \"clf__weight_decay\": 0.0}": 19, "{\"clf__dropout\": 0.2, \"clf__hidden_channels\": 32, \"clf__learning_rate\": 0.001, \"clf__weight_decay\": 0.0}": 23}</t>
  </si>
  <si>
    <t>[[41, 35, 28], [37, 36, 36], [41, 39, 39]]</t>
  </si>
  <si>
    <t>nested__physiological_features__valence__ternary__gcn__windowed__hc+hvg__emognition_features_w60_o30</t>
  </si>
  <si>
    <t>[[34, 35, 35], [41, 30, 38], [35, 43, 41]]</t>
  </si>
  <si>
    <t>nested__physiological_features__valence__ternary__gcn__aggregated__hc__emognition_features_w60_o30</t>
  </si>
  <si>
    <t>{"{\"clf__dropout\": 0.2, \"clf__hidden_channels\": 32, \"clf__learning_rate\": 0.0003, \"clf__weight_decay\": 0.0}": 22, "{\"clf__dropout\": 0.2, \"clf__hidden_channels\": 32, \"clf__learning_rate\": 0.001, \"clf__weight_decay\": 0.0}": 20}</t>
  </si>
  <si>
    <t>[[41, 32, 31], [43, 24, 42], [40, 39, 40]]</t>
  </si>
  <si>
    <t>nested__physiological_features__valence__ternary__gcn__aggregated__nvg__emognition_features_w60_o30</t>
  </si>
  <si>
    <t>[[39, 38, 27], [31, 39, 39], [29, 49, 41]]</t>
  </si>
  <si>
    <t>nested__physiological_features__valence__ternary__gcn__aggregated__hvg__emognition_features_w60_o30</t>
  </si>
  <si>
    <t>{"{\"clf__dropout\": 0.2, \"clf__hidden_channels\": 32, \"clf__learning_rate\": 0.0003, \"clf__weight_decay\": 0.0}": 20, "{\"clf__dropout\": 0.2, \"clf__hidden_channels\": 32, \"clf__learning_rate\": 0.001, \"clf__weight_decay\": 0.0}": 22}</t>
  </si>
  <si>
    <t>[[35, 36, 33], [37, 24, 48], [29, 33, 57]]</t>
  </si>
  <si>
    <t>nested__physiological_features__valence__ternary__gcn__aggregated__hc+nvg__emognition_features_w60_o30</t>
  </si>
  <si>
    <t>[[41, 33, 30], [43, 26, 40], [34, 34, 51]]</t>
  </si>
  <si>
    <t>nested__physiological_features__valence__ternary__gcn__aggregated__hc+hvg__emognition_features_w60_o30</t>
  </si>
  <si>
    <t>{"{\"clf__dropout\": 0.2, \"clf__hidden_channels\": 32, \"clf__learning_rate\": 0.0003, \"clf__weight_decay\": 0.0}": 16, "{\"clf__dropout\": 0.2, \"clf__hidden_channels\": 32, \"clf__learning_rate\": 0.001, \"clf__weight_decay\": 0.0}": 26}</t>
  </si>
  <si>
    <t>[[39, 27, 38], [33, 21, 55], [38, 30, 51]]</t>
  </si>
  <si>
    <t>nested__physiological_features__arousal__ternary__gcn__windowed__hc__emognition_features_w60_o30</t>
  </si>
  <si>
    <t>{"{\"clf__dropout\": 0.2, \"clf__hidden_channels\": 32, \"clf__learning_rate\": 0.0003, \"clf__weight_decay\": 0.0}": 23, "{\"clf__dropout\": 0.2, \"clf__hidden_channels\": 32, \"clf__learning_rate\": 0.001, \"clf__weight_decay\": 0.0}": 19}</t>
  </si>
  <si>
    <t>[[33, 31, 39], [43, 44, 61], [25, 31, 25]]</t>
  </si>
  <si>
    <t>nested__physiological_features__arousal__ternary__gcn__windowed__nvg__emognition_features_w60_o30</t>
  </si>
  <si>
    <t>[[41, 41, 21], [50, 68, 30], [33, 34, 14]]</t>
  </si>
  <si>
    <t>nested__physiological_features__arousal__ternary__gcn__windowed__hvg__emognition_features_w60_o30</t>
  </si>
  <si>
    <t>{"{\"clf__dropout\": 0.2, \"clf__hidden_channels\": 32, \"clf__learning_rate\": 0.0003, \"clf__weight_decay\": 0.0}": 21, "{\"clf__dropout\": 0.2, \"clf__hidden_channels\": 32, \"clf__learning_rate\": 0.001, \"clf__weight_decay\": 0.0}": 21}</t>
  </si>
  <si>
    <t>[[52, 27, 24], [59, 46, 43], [35, 34, 12]]</t>
  </si>
  <si>
    <t>nested__physiological_features__arousal__ternary__gcn__windowed__hc+nvg__emognition_features_w60_o30</t>
  </si>
  <si>
    <t>[[36, 32, 35], [46, 45, 57], [34, 28, 19]]</t>
  </si>
  <si>
    <t>nested__physiological_features__arousal__ternary__gcn__windowed__hc+hvg__emognition_features_w60_o30</t>
  </si>
  <si>
    <t>[[48, 30, 25], [58, 44, 46], [31, 37, 13]]</t>
  </si>
  <si>
    <t>nested__physiological_features__arousal__ternary__gcn__aggregated__hc__emognition_features_w60_o30</t>
  </si>
  <si>
    <t>{"{\"clf__dropout\": 0.2, \"clf__hidden_channels\": 32, \"clf__learning_rate\": 0.0003, \"clf__weight_decay\": 0.0}": 25, "{\"clf__dropout\": 0.2, \"clf__hidden_channels\": 32, \"clf__learning_rate\": 0.001, \"clf__weight_decay\": 0.0}": 17}</t>
  </si>
  <si>
    <t>[[29, 42, 32], [50, 56, 42], [34, 31, 16]]</t>
  </si>
  <si>
    <t>nested__physiological_features__arousal__ternary__gcn__aggregated__nvg__emognition_features_w60_o30</t>
  </si>
  <si>
    <t>[[37, 34, 32], [49, 49, 50], [28, 28, 25]]</t>
  </si>
  <si>
    <t>nested__physiological_features__arousal__ternary__gcn__aggregated__hvg__emognition_features_w60_o30</t>
  </si>
  <si>
    <t>[[35, 48, 20], [49, 66, 33], [33, 33, 15]]</t>
  </si>
  <si>
    <t>nested__physiological_features__arousal__ternary__gcn__aggregated__hc+nvg__emognition_features_w60_o30</t>
  </si>
  <si>
    <t>{"{\"clf__dropout\": 0.2, \"clf__hidden_channels\": 32, \"clf__learning_rate\": 0.0003, \"clf__weight_decay\": 0.0}": 28, "{\"clf__dropout\": 0.2, \"clf__hidden_channels\": 32, \"clf__learning_rate\": 0.001, \"clf__weight_decay\": 0.0}": 14}</t>
  </si>
  <si>
    <t>[[29, 39, 35], [45, 54, 49], [18, 32, 31]]</t>
  </si>
  <si>
    <t>nested__physiological_features__arousal__ternary__gcn__aggregated__hc+hvg__emognition_features_w60_o30</t>
  </si>
  <si>
    <t>[[34, 32, 37], [48, 55, 45], [34, 33, 14]]</t>
  </si>
  <si>
    <t>nested__physiological_features__valence__binary__gat__windowed__hc__emognition_features_w60_o30</t>
  </si>
  <si>
    <t>gat__windowed__hc__emognition_features_w60_o30</t>
  </si>
  <si>
    <t>gat</t>
  </si>
  <si>
    <t>{"{\"clf__dropout\": 0.2, \"clf__heads\": 2, \"clf__hidden_channels\": 32, \"clf__learning_rate\": 0.0003, \"clf__weight_decay\": 0.0}": 17, "{\"clf__dropout\": 0.2, \"clf__heads\": 2, \"clf__hidden_channels\": 32, \"clf__learning_rate\": 0.001, \"clf__weight_decay\": 0.0}": 25}</t>
  </si>
  <si>
    <t>{"clf__dropout": 0.2, "clf__heads": 2, "clf__hidden_channels": 32, "clf__learning_rate": 0.001, "clf__weight_decay": 0.0}</t>
  </si>
  <si>
    <t>[[90, 50], [89, 75]]</t>
  </si>
  <si>
    <t>nested__physiological_features__valence__binary__gat__windowed__nvg__emognition_features_w60_o30</t>
  </si>
  <si>
    <t>gat__windowed__nvg__emognition_features_w60_o30</t>
  </si>
  <si>
    <t>{"{\"clf__dropout\": 0.2, \"clf__heads\": 2, \"clf__hidden_channels\": 32, \"clf__learning_rate\": 0.0003, \"clf__weight_decay\": 0.0}": 20, "{\"clf__dropout\": 0.2, \"clf__heads\": 2, \"clf__hidden_channels\": 32, \"clf__learning_rate\": 0.001, \"clf__weight_decay\": 0.0}": 22}</t>
  </si>
  <si>
    <t>[[70, 70], [86, 78]]</t>
  </si>
  <si>
    <t>nested__physiological_features__valence__binary__gat__windowed__hvg__emognition_features_w60_o30</t>
  </si>
  <si>
    <t>gat__windowed__hvg__emognition_features_w60_o30</t>
  </si>
  <si>
    <t>{"{\"clf__dropout\": 0.2, \"clf__heads\": 2, \"clf__hidden_channels\": 32, \"clf__learning_rate\": 0.0003, \"clf__weight_decay\": 0.0}": 23, "{\"clf__dropout\": 0.2, \"clf__heads\": 2, \"clf__hidden_channels\": 32, \"clf__learning_rate\": 0.001, \"clf__weight_decay\": 0.0}": 19}</t>
  </si>
  <si>
    <t>{"clf__dropout": 0.2, "clf__heads": 2, "clf__hidden_channels": 32, "clf__learning_rate": 0.0003, "clf__weight_decay": 0.0}</t>
  </si>
  <si>
    <t>nested__physiological_features__valence__binary__gat__windowed__hc+nvg__emognition_features_w60_o30</t>
  </si>
  <si>
    <t>gat__windowed__hc+nvg__emognition_features_w60_o30</t>
  </si>
  <si>
    <t>{"{\"clf__dropout\": 0.2, \"clf__heads\": 2, \"clf__hidden_channels\": 32, \"clf__learning_rate\": 0.0003, \"clf__weight_decay\": 0.0}": 16, "{\"clf__dropout\": 0.2, \"clf__heads\": 2, \"clf__hidden_channels\": 32, \"clf__learning_rate\": 0.001, \"clf__weight_decay\": 0.0}": 26}</t>
  </si>
  <si>
    <t>[[68, 72], [83, 81]]</t>
  </si>
  <si>
    <t>nested__physiological_features__valence__binary__gat__windowed__hc+hvg__emognition_features_w60_o30</t>
  </si>
  <si>
    <t>gat__windowed__hc+hvg__emognition_features_w60_o30</t>
  </si>
  <si>
    <t>{"{\"clf__dropout\": 0.2, \"clf__heads\": 2, \"clf__hidden_channels\": 32, \"clf__learning_rate\": 0.0003, \"clf__weight_decay\": 0.0}": 27, "{\"clf__dropout\": 0.2, \"clf__heads\": 2, \"clf__hidden_channels\": 32, \"clf__learning_rate\": 0.001, \"clf__weight_decay\": 0.0}": 15}</t>
  </si>
  <si>
    <t>[[62, 78], [77, 87]]</t>
  </si>
  <si>
    <t>nested__physiological_features__valence__binary__gat__aggregated__hc__emognition_features_w60_o30</t>
  </si>
  <si>
    <t>gat__aggregated__hc__emognition_features_w60_o30</t>
  </si>
  <si>
    <t>{"{\"clf__dropout\": 0.2, \"clf__heads\": 2, \"clf__hidden_channels\": 32, \"clf__learning_rate\": 0.0003, \"clf__weight_decay\": 0.0}": 22, "{\"clf__dropout\": 0.2, \"clf__heads\": 2, \"clf__hidden_channels\": 32, \"clf__learning_rate\": 0.001, \"clf__weight_decay\": 0.0}": 20}</t>
  </si>
  <si>
    <t>[[68, 72], [68, 96]]</t>
  </si>
  <si>
    <t>nested__physiological_features__valence__binary__gat__aggregated__nvg__emognition_features_w60_o30</t>
  </si>
  <si>
    <t>gat__aggregated__nvg__emognition_features_w60_o30</t>
  </si>
  <si>
    <t>[[70, 70], [74, 90]]</t>
  </si>
  <si>
    <t>nested__physiological_features__valence__binary__gat__aggregated__hvg__emognition_features_w60_o30</t>
  </si>
  <si>
    <t>gat__aggregated__hvg__emognition_features_w60_o30</t>
  </si>
  <si>
    <t>[[57, 83], [63, 101]]</t>
  </si>
  <si>
    <t>nested__physiological_features__valence__binary__gat__aggregated__hc+nvg__emognition_features_w60_o30</t>
  </si>
  <si>
    <t>gat__aggregated__hc+nvg__emognition_features_w60_o30</t>
  </si>
  <si>
    <t>{"{\"clf__dropout\": 0.2, \"clf__heads\": 2, \"clf__hidden_channels\": 32, \"clf__learning_rate\": 0.0003, \"clf__weight_decay\": 0.0}": 15, "{\"clf__dropout\": 0.2, \"clf__heads\": 2, \"clf__hidden_channels\": 32, \"clf__learning_rate\": 0.001, \"clf__weight_decay\": 0.0}": 27}</t>
  </si>
  <si>
    <t>[[77, 63], [66, 98]]</t>
  </si>
  <si>
    <t>nested__physiological_features__valence__binary__gat__aggregated__hc+hvg__emognition_features_w60_o30</t>
  </si>
  <si>
    <t>gat__aggregated__hc+hvg__emognition_features_w60_o30</t>
  </si>
  <si>
    <t>[[72, 68], [76, 88]]</t>
  </si>
  <si>
    <t>nested__physiological_features__arousal__binary__gat__windowed__hc__emognition_features_w60_o30</t>
  </si>
  <si>
    <t>[[86, 65], [76, 51]]</t>
  </si>
  <si>
    <t>nested__physiological_features__arousal__binary__gat__windowed__nvg__emognition_features_w60_o30</t>
  </si>
  <si>
    <t>[[82, 69], [77, 50]]</t>
  </si>
  <si>
    <t>nested__physiological_features__arousal__binary__gat__windowed__hvg__emognition_features_w60_o30</t>
  </si>
  <si>
    <t>{"{\"clf__dropout\": 0.2, \"clf__heads\": 2, \"clf__hidden_channels\": 32, \"clf__learning_rate\": 0.0003, \"clf__weight_decay\": 0.0}": 21, "{\"clf__dropout\": 0.2, \"clf__heads\": 2, \"clf__hidden_channels\": 32, \"clf__learning_rate\": 0.001, \"clf__weight_decay\": 0.0}": 21}</t>
  </si>
  <si>
    <t>[[79, 72], [62, 65]]</t>
  </si>
  <si>
    <t>nested__physiological_features__arousal__binary__gat__windowed__hc+nvg__emognition_features_w60_o30</t>
  </si>
  <si>
    <t>[[81, 70], [81, 46]]</t>
  </si>
  <si>
    <t>nested__physiological_features__arousal__binary__gat__windowed__hc+hvg__emognition_features_w60_o30</t>
  </si>
  <si>
    <t>[[76, 75], [84, 43]]</t>
  </si>
  <si>
    <t>nested__physiological_features__arousal__binary__gat__aggregated__hc__emognition_features_w60_o30</t>
  </si>
  <si>
    <t>[[89, 62], [74, 53]]</t>
  </si>
  <si>
    <t>nested__physiological_features__arousal__binary__gat__aggregated__nvg__emognition_features_w60_o30</t>
  </si>
  <si>
    <t>[[73, 78], [60, 67]]</t>
  </si>
  <si>
    <t>nested__physiological_features__arousal__binary__gat__aggregated__hvg__emognition_features_w60_o30</t>
  </si>
  <si>
    <t>{"{\"clf__dropout\": 0.2, \"clf__heads\": 2, \"clf__hidden_channels\": 32, \"clf__learning_rate\": 0.0003, \"clf__weight_decay\": 0.0}": 18, "{\"clf__dropout\": 0.2, \"clf__heads\": 2, \"clf__hidden_channels\": 32, \"clf__learning_rate\": 0.001, \"clf__weight_decay\": 0.0}": 24}</t>
  </si>
  <si>
    <t>[[83, 68], [71, 56]]</t>
  </si>
  <si>
    <t>nested__physiological_features__arousal__binary__gat__aggregated__hc+nvg__emognition_features_w60_o30</t>
  </si>
  <si>
    <t>{"{\"clf__dropout\": 0.2, \"clf__heads\": 2, \"clf__hidden_channels\": 32, \"clf__learning_rate\": 0.0003, \"clf__weight_decay\": 0.0}": 29, "{\"clf__dropout\": 0.2, \"clf__heads\": 2, \"clf__hidden_channels\": 32, \"clf__learning_rate\": 0.001, \"clf__weight_decay\": 0.0}": 13}</t>
  </si>
  <si>
    <t>nested__physiological_features__arousal__binary__gat__aggregated__hc+hvg__emognition_features_w60_o30</t>
  </si>
  <si>
    <t>[[80, 71], [69, 58]]</t>
  </si>
  <si>
    <t>nested__physiological_features__valence__regression__gat__windowed__hc__emognition_features_w60_o30</t>
  </si>
  <si>
    <t>{"{\"clf__dropout\": 0.2, \"clf__heads\": 2, \"clf__hidden_channels\": 32, \"clf__learning_rate\": 0.001, \"clf__weight_decay\": 0.0}": 42}</t>
  </si>
  <si>
    <t>nested__physiological_features__valence__regression__gat__windowed__nvg__emognition_features_w60_o30</t>
  </si>
  <si>
    <t>nested__physiological_features__valence__regression__gat__windowed__hvg__emognition_features_w60_o30</t>
  </si>
  <si>
    <t>nested__physiological_features__valence__regression__gat__windowed__hc+nvg__emognition_features_w60_o30</t>
  </si>
  <si>
    <t>nested__physiological_features__valence__regression__gat__windowed__hc+hvg__emognition_features_w60_o30</t>
  </si>
  <si>
    <t>nested__physiological_features__valence__regression__gat__aggregated__hc__emognition_features_w60_o30</t>
  </si>
  <si>
    <t>nested__physiological_features__valence__regression__gat__aggregated__nvg__emognition_features_w60_o30</t>
  </si>
  <si>
    <t>nested__physiological_features__valence__regression__gat__aggregated__hvg__emognition_features_w60_o30</t>
  </si>
  <si>
    <t>nested__physiological_features__valence__regression__gat__aggregated__hc+nvg__emognition_features_w60_o30</t>
  </si>
  <si>
    <t>nested__physiological_features__valence__regression__gat__aggregated__hc+hvg__emognition_features_w60_o30</t>
  </si>
  <si>
    <t>nested__physiological_features__arousal__regression__gat__windowed__hc__emognition_features_w60_o30</t>
  </si>
  <si>
    <t>{"{\"clf__dropout\": 0.2, \"clf__heads\": 2, \"clf__hidden_channels\": 32, \"clf__learning_rate\": 0.0003, \"clf__weight_decay\": 0.0}": 14, "{\"clf__dropout\": 0.2, \"clf__heads\": 2, \"clf__hidden_channels\": 32, \"clf__learning_rate\": 0.001, \"clf__weight_decay\": 0.0}": 28}</t>
  </si>
  <si>
    <t>nested__physiological_features__arousal__regression__gat__windowed__nvg__emognition_features_w60_o30</t>
  </si>
  <si>
    <t>nested__physiological_features__arousal__regression__gat__windowed__hvg__emognition_features_w60_o30</t>
  </si>
  <si>
    <t>{"{\"clf__dropout\": 0.2, \"clf__heads\": 2, \"clf__hidden_channels\": 32, \"clf__learning_rate\": 0.0003, \"clf__weight_decay\": 0.0}": 8, "{\"clf__dropout\": 0.2, \"clf__heads\": 2, \"clf__hidden_channels\": 32, \"clf__learning_rate\": 0.001, \"clf__weight_decay\": 0.0}": 34}</t>
  </si>
  <si>
    <t>nested__physiological_features__arousal__regression__gat__windowed__hc+nvg__emognition_features_w60_o30</t>
  </si>
  <si>
    <t>nested__physiological_features__arousal__regression__gat__windowed__hc+hvg__emognition_features_w60_o30</t>
  </si>
  <si>
    <t>nested__physiological_features__arousal__regression__gat__aggregated__hc__emognition_features_w60_o30</t>
  </si>
  <si>
    <t>nested__physiological_features__arousal__regression__gat__aggregated__nvg__emognition_features_w60_o30</t>
  </si>
  <si>
    <t>nested__physiological_features__arousal__regression__gat__aggregated__hvg__emognition_features_w60_o30</t>
  </si>
  <si>
    <t>nested__physiological_features__arousal__regression__gat__aggregated__hc+nvg__emognition_features_w60_o30</t>
  </si>
  <si>
    <t>nested__physiological_features__arousal__regression__gat__aggregated__hc+hvg__emognition_features_w60_o30</t>
  </si>
  <si>
    <t>nested__physiological_features__valence__ternary__gat__windowed__hc__emognition_features_w60_o30</t>
  </si>
  <si>
    <t>[[44, 24, 36], [50, 24, 35], [53, 34, 32]]</t>
  </si>
  <si>
    <t>nested__physiological_features__valence__ternary__gat__windowed__nvg__emognition_features_w60_o30</t>
  </si>
  <si>
    <t>{"{\"clf__dropout\": 0.2, \"clf__heads\": 2, \"clf__hidden_channels\": 32, \"clf__learning_rate\": 0.0003, \"clf__weight_decay\": 0.0}": 24, "{\"clf__dropout\": 0.2, \"clf__heads\": 2, \"clf__hidden_channels\": 32, \"clf__learning_rate\": 0.001, \"clf__weight_decay\": 0.0}": 18}</t>
  </si>
  <si>
    <t>[[43, 32, 29], [34, 41, 34], [35, 45, 39]]</t>
  </si>
  <si>
    <t>nested__physiological_features__valence__ternary__gat__windowed__hvg__emognition_features_w60_o30</t>
  </si>
  <si>
    <t>[[31, 34, 39], [32, 33, 44], [29, 42, 48]]</t>
  </si>
  <si>
    <t>nested__physiological_features__valence__ternary__gat__windowed__hc+nvg__emognition_features_w60_o30</t>
  </si>
  <si>
    <t>[[38, 27, 39], [40, 24, 45], [32, 36, 51]]</t>
  </si>
  <si>
    <t>nested__physiological_features__valence__ternary__gat__windowed__hc+hvg__emognition_features_w60_o30</t>
  </si>
  <si>
    <t>[[35, 36, 33], [38, 29, 42], [35, 40, 44]]</t>
  </si>
  <si>
    <t>nested__physiological_features__valence__ternary__gat__aggregated__hc__emognition_features_w60_o30</t>
  </si>
  <si>
    <t>[[38, 23, 43], [36, 30, 43], [40, 41, 38]]</t>
  </si>
  <si>
    <t>nested__physiological_features__valence__ternary__gat__aggregated__nvg__emognition_features_w60_o30</t>
  </si>
  <si>
    <t>[[36, 31, 37], [30, 37, 42], [23, 42, 54]]</t>
  </si>
  <si>
    <t>nested__physiological_features__valence__ternary__gat__aggregated__hvg__emognition_features_w60_o30</t>
  </si>
  <si>
    <t>{"{\"clf__dropout\": 0.2, \"clf__heads\": 2, \"clf__hidden_channels\": 32, \"clf__learning_rate\": 0.0003, \"clf__weight_decay\": 0.0}": 19, "{\"clf__dropout\": 0.2, \"clf__heads\": 2, \"clf__hidden_channels\": 32, \"clf__learning_rate\": 0.001, \"clf__weight_decay\": 0.0}": 23}</t>
  </si>
  <si>
    <t>[[39, 32, 33], [29, 29, 51], [29, 35, 55]]</t>
  </si>
  <si>
    <t>nested__physiological_features__valence__ternary__gat__aggregated__hc+nvg__emognition_features_w60_o30</t>
  </si>
  <si>
    <t>[[45, 30, 29], [41, 31, 37], [33, 44, 42]]</t>
  </si>
  <si>
    <t>nested__physiological_features__valence__ternary__gat__aggregated__hc+hvg__emognition_features_w60_o30</t>
  </si>
  <si>
    <t>[[47, 30, 27], [35, 34, 40], [31, 35, 53]]</t>
  </si>
  <si>
    <t>nested__physiological_features__arousal__ternary__gat__windowed__hc__emognition_features_w60_o30</t>
  </si>
  <si>
    <t>[[43, 24, 36], [63, 29, 56], [31, 22, 28]]</t>
  </si>
  <si>
    <t>nested__physiological_features__arousal__ternary__gat__windowed__nvg__emognition_features_w60_o30</t>
  </si>
  <si>
    <t>[[33, 42, 28], [48, 62, 38], [31, 32, 18]]</t>
  </si>
  <si>
    <t>nested__physiological_features__arousal__ternary__gat__windowed__hvg__emognition_features_w60_o30</t>
  </si>
  <si>
    <t>[[50, 32, 21], [56, 46, 46], [30, 28, 23]]</t>
  </si>
  <si>
    <t>nested__physiological_features__arousal__ternary__gat__windowed__hc+nvg__emognition_features_w60_o30</t>
  </si>
  <si>
    <t>[[42, 34, 27], [57, 47, 44], [34, 27, 20]]</t>
  </si>
  <si>
    <t>nested__physiological_features__arousal__ternary__gat__windowed__hc+hvg__emognition_features_w60_o30</t>
  </si>
  <si>
    <t>[[41, 43, 19], [50, 42, 56], [33, 35, 13]]</t>
  </si>
  <si>
    <t>nested__physiological_features__arousal__ternary__gat__aggregated__hc__emognition_features_w60_o30</t>
  </si>
  <si>
    <t>[[31, 36, 36], [45, 46, 57], [21, 33, 27]]</t>
  </si>
  <si>
    <t>nested__physiological_features__arousal__ternary__gat__aggregated__nvg__emognition_features_w60_o30</t>
  </si>
  <si>
    <t>[[30, 34, 39], [61, 46, 41], [32, 32, 17]]</t>
  </si>
  <si>
    <t>nested__physiological_features__arousal__ternary__gat__aggregated__hvg__emognition_features_w60_o30</t>
  </si>
  <si>
    <t>[[43, 35, 25], [63, 47, 38], [33, 30, 18]]</t>
  </si>
  <si>
    <t>nested__physiological_features__arousal__ternary__gat__aggregated__hc+nvg__emognition_features_w60_o30</t>
  </si>
  <si>
    <t>[[33, 41, 29], [44, 61, 43], [25, 30, 26]]</t>
  </si>
  <si>
    <t>nested__physiological_features__arousal__ternary__gat__aggregated__hc+hvg__emognition_features_w60_o30</t>
  </si>
  <si>
    <t>[[35, 38, 30], [50, 45, 53], [26, 36, 19]]</t>
  </si>
  <si>
    <t>nested__physiological_features__valence__regression__xgboost__windowed__hc__emognition_features_w60_o30</t>
  </si>
  <si>
    <t>{"{\"clf__colsample_bytree\": 0.85, \"clf__learning_rate\": 0.03, \"clf__max_depth\": 3, \"clf__n_estimators\": 250, \"clf__subsample\": 0.85}": 3, "{\"clf__colsample_bytree\": 0.85, \"clf__learning_rate\": 0.03, \"clf__max_depth\": 3, \"clf__n_estimators\": 450, \"clf__subsample\": 0.85}": 1, "{\"clf__colsample_bytree\": 0.85, \"clf__learning_rate\": 0.03, \"clf__max_depth\": 5, \"clf__n_estimators\": 250, \"clf__subsample\": 0.85}": 16, "{\"clf__colsample_bytree\": 0.85, \"clf__learning_rate\": 0.03, \"clf__max_depth\": 5, \"clf__n_estimators\": 450, \"clf__subsample\": 0.85}": 8, "{\"clf__colsample_bytree\": 0.85, \"clf__learning_rate\": 0.08, \"clf__max_depth\": 5, \"clf__n_estimators\": 250, \"clf__subsample\": 0.85}": 6, "{\"clf__colsample_bytree\": 0.85, \"clf__learning_rate\": 0.08, \"clf__max_depth\": 5, \"clf__n_estimators\": 450, \"clf__subsample\": 0.85}": 8}</t>
  </si>
  <si>
    <t>{"clf__colsample_bytree": 0.85, "clf__learning_rate": 0.03, "clf__max_depth": 5, "clf__n_estimators": 250, "clf__subsample": 0.85}</t>
  </si>
  <si>
    <t>nested__physiological_features__valence__regression__xgboost__windowed__nvg__emognition_features_w60_o30</t>
  </si>
  <si>
    <t>{"{\"clf__colsample_bytree\": 0.85, \"clf__learning_rate\": 0.03, \"clf__max_depth\": 3, \"clf__n_estimators\": 250, \"clf__subsample\": 0.85}": 24, "{\"clf__colsample_bytree\": 0.85, \"clf__learning_rate\": 0.03, \"clf__max_depth\": 5, \"clf__n_estimators\": 250, \"clf__subsample\": 0.85}": 8, "{\"clf__colsample_bytree\": 0.85, \"clf__learning_rate\": 0.03, \"clf__max_depth\": 5, \"clf__n_estimators\": 450, \"clf__subsample\": 0.85}": 3, "{\"clf__colsample_bytree\": 0.85, \"clf__learning_rate\": 0.08, \"clf__max_depth\": 5, \"clf__n_estimators\": 250, \"clf__subsample\": 0.85}": 3, "{\"clf__colsample_bytree\": 0.85, \"clf__learning_rate\": 0.08, \"clf__max_depth\": 5, \"clf__n_estimators\": 450, \"clf__subsample\": 0.85}": 4}</t>
  </si>
  <si>
    <t>{"clf__colsample_bytree": 0.85, "clf__learning_rate": 0.03, "clf__max_depth": 3, "clf__n_estimators": 250, "clf__subsample": 0.85}</t>
  </si>
  <si>
    <t>nested__physiological_features__valence__regression__xgboost__windowed__hvg__emognition_features_w60_o30</t>
  </si>
  <si>
    <t>{"{\"clf__colsample_bytree\": 0.85, \"clf__learning_rate\": 0.03, \"clf__max_depth\": 3, \"clf__n_estimators\": 250, \"clf__subsample\": 0.85}": 36, "{\"clf__colsample_bytree\": 0.85, \"clf__learning_rate\": 0.03, \"clf__max_depth\": 3, \"clf__n_estimators\": 450, \"clf__subsample\": 0.85}": 4, "{\"clf__colsample_bytree\": 0.85, \"clf__learning_rate\": 0.03, \"clf__max_depth\": 5, \"clf__n_estimators\": 250, \"clf__subsample\": 0.85}": 2}</t>
  </si>
  <si>
    <t>nested__physiological_features__valence__regression__xgboost__windowed__hc+nvg__emognition_features_w60_o30</t>
  </si>
  <si>
    <t>{"{\"clf__colsample_bytree\": 0.85, \"clf__learning_rate\": 0.03, \"clf__max_depth\": 3, \"clf__n_estimators\": 250, \"clf__subsample\": 0.85}": 5, "{\"clf__colsample_bytree\": 0.85, \"clf__learning_rate\": 0.03, \"clf__max_depth\": 3, \"clf__n_estimators\": 450, \"clf__subsample\": 0.85}": 4, "{\"clf__colsample_bytree\": 0.85, \"clf__learning_rate\": 0.03, \"clf__max_depth\": 5, \"clf__n_estimators\": 250, \"clf__subsample\": 0.85}": 9, "{\"clf__colsample_bytree\": 0.85, \"clf__learning_rate\": 0.03, \"clf__max_depth\": 5, \"clf__n_estimators\": 450, \"clf__subsample\": 0.85}": 6, "{\"clf__colsample_bytree\": 0.85, \"clf__learning_rate\": 0.08, \"clf__max_depth\": 3, \"clf__n_estimators\": 250, \"clf__subsample\": 0.85}": 4, "{\"clf__colsample_bytree\": 0.85, \"clf__learning_rate\": 0.08, \"clf__max_depth\": 3, \"clf__n_estimators\": 450, \"clf__subsample\": 0.85}": 2, "{\"clf__colsample_bytree\": 0.85, \"clf__learning_rate\": 0.08, \"clf__max_depth\": 5, \"clf__n_estimators\": 250, \"clf__subsample\": 0.85}": 6, "{\"clf__colsample_bytree\": 0.85, \"clf__learning_rate\": 0.08, \"clf__max_depth\": 5, \"clf__n_estimators\": 450, \"clf__subsample\": 0.85}": 6}</t>
  </si>
  <si>
    <t>nested__physiological_features__valence__regression__xgboost__windowed__hc+hvg__emognition_features_w60_o30</t>
  </si>
  <si>
    <t>{"{\"clf__colsample_bytree\": 0.85, \"clf__learning_rate\": 0.03, \"clf__max_depth\": 3, \"clf__n_estimators\": 250, \"clf__subsample\": 0.85}": 8, "{\"clf__colsample_bytree\": 0.85, \"clf__learning_rate\": 0.03, \"clf__max_depth\": 3, \"clf__n_estimators\": 450, \"clf__subsample\": 0.85}": 1, "{\"clf__colsample_bytree\": 0.85, \"clf__learning_rate\": 0.03, \"clf__max_depth\": 5, \"clf__n_estimators\": 250, \"clf__subsample\": 0.85}": 10, "{\"clf__colsample_bytree\": 0.85, \"clf__learning_rate\": 0.03, \"clf__max_depth\": 5, \"clf__n_estimators\": 450, \"clf__subsample\": 0.85}": 6, "{\"clf__colsample_bytree\": 0.85, \"clf__learning_rate\": 0.08, \"clf__max_depth\": 3, \"clf__n_estimators\": 250, \"clf__subsample\": 0.85}": 1, "{\"clf__colsample_bytree\": 0.85, \"clf__learning_rate\": 0.08, \"clf__max_depth\": 3, \"clf__n_estimators\": 450, \"clf__subsample\": 0.85}": 1, "{\"clf__colsample_bytree\": 0.85, \"clf__learning_rate\": 0.08, \"clf__max_depth\": 5, \"clf__n_estimators\": 250, \"clf__subsample\": 0.85}": 9, "{\"clf__colsample_bytree\": 0.85, \"clf__learning_rate\": 0.08, \"clf__max_depth\": 5, \"clf__n_estimators\": 450, \"clf__subsample\": 0.85}": 6}</t>
  </si>
  <si>
    <t>nested__physiological_features__valence__regression__xgboost__aggregated__hc__emognition_features_w60_o30</t>
  </si>
  <si>
    <t>{"{\"clf__colsample_bytree\": 0.85, \"clf__learning_rate\": 0.03, \"clf__max_depth\": 3, \"clf__n_estimators\": 250, \"clf__subsample\": 0.85}": 6, "{\"clf__colsample_bytree\": 0.85, \"clf__learning_rate\": 0.03, \"clf__max_depth\": 3, \"clf__n_estimators\": 450, \"clf__subsample\": 0.85}": 2, "{\"clf__colsample_bytree\": 0.85, \"clf__learning_rate\": 0.03, \"clf__max_depth\": 5, \"clf__n_estimators\": 250, \"clf__subsample\": 0.85}": 7, "{\"clf__colsample_bytree\": 0.85, \"clf__learning_rate\": 0.03, \"clf__max_depth\": 5, \"clf__n_estimators\": 450, \"clf__subsample\": 0.85}": 11, "{\"clf__colsample_bytree\": 0.85, \"clf__learning_rate\": 0.08, \"clf__max_depth\": 3, \"clf__n_estimators\": 450, \"clf__subsample\": 0.85}": 1, "{\"clf__colsample_bytree\": 0.85, \"clf__learning_rate\": 0.08, \"clf__max_depth\": 5, \"clf__n_estimators\": 250, \"clf__subsample\": 0.85}": 9, "{\"clf__colsample_bytree\": 0.85, \"clf__learning_rate\": 0.08, \"clf__max_depth\": 5, \"clf__n_estimators\": 450, \"clf__subsample\": 0.85}": 6}</t>
  </si>
  <si>
    <t>{"clf__colsample_bytree": 0.85, "clf__learning_rate": 0.03, "clf__max_depth": 5, "clf__n_estimators": 450, "clf__subsample": 0.85}</t>
  </si>
  <si>
    <t>nested__physiological_features__valence__regression__xgboost__aggregated__nvg__emognition_features_w60_o30</t>
  </si>
  <si>
    <t>{"{\"clf__colsample_bytree\": 0.85, \"clf__learning_rate\": 0.03, \"clf__max_depth\": 3, \"clf__n_estimators\": 250, \"clf__subsample\": 0.85}": 13, "{\"clf__colsample_bytree\": 0.85, \"clf__learning_rate\": 0.03, \"clf__max_depth\": 3, \"clf__n_estimators\": 450, \"clf__subsample\": 0.85}": 3, "{\"clf__colsample_bytree\": 0.85, \"clf__learning_rate\": 0.03, \"clf__max_depth\": 5, \"clf__n_estimators\": 250, \"clf__subsample\": 0.85}": 7, "{\"clf__colsample_bytree\": 0.85, \"clf__learning_rate\": 0.03, \"clf__max_depth\": 5, \"clf__n_estimators\": 450, \"clf__subsample\": 0.85}": 8, "{\"clf__colsample_bytree\": 0.85, \"clf__learning_rate\": 0.08, \"clf__max_depth\": 3, \"clf__n_estimators\": 250, \"clf__subsample\": 0.85}": 1, "{\"clf__colsample_bytree\": 0.85, \"clf__learning_rate\": 0.08, \"clf__max_depth\": 3, \"clf__n_estimators\": 450, \"clf__subsample\": 0.85}": 1, "{\"clf__colsample_bytree\": 0.85, \"clf__learning_rate\": 0.08, \"clf__max_depth\": 5, \"clf__n_estimators\": 250, \"clf__subsample\": 0.85}": 5, "{\"clf__colsample_bytree\": 0.85, \"clf__learning_rate\": 0.08, \"clf__max_depth\": 5, \"clf__n_estimators\": 450, \"clf__subsample\": 0.85}": 4}</t>
  </si>
  <si>
    <t>nested__physiological_features__valence__regression__xgboost__aggregated__hvg__emognition_features_w60_o30</t>
  </si>
  <si>
    <t>{"{\"clf__colsample_bytree\": 0.85, \"clf__learning_rate\": 0.03, \"clf__max_depth\": 3, \"clf__n_estimators\": 250, \"clf__subsample\": 0.85}": 3, "{\"clf__colsample_bytree\": 0.85, \"clf__learning_rate\": 0.03, \"clf__max_depth\": 3, \"clf__n_estimators\": 450, \"clf__subsample\": 0.85}": 2, "{\"clf__colsample_bytree\": 0.85, \"clf__learning_rate\": 0.03, \"clf__max_depth\": 5, \"clf__n_estimators\": 250, \"clf__subsample\": 0.85}": 12, "{\"clf__colsample_bytree\": 0.85, \"clf__learning_rate\": 0.03, \"clf__max_depth\": 5, \"clf__n_estimators\": 450, \"clf__subsample\": 0.85}": 11, "{\"clf__colsample_bytree\": 0.85, \"clf__learning_rate\": 0.08, \"clf__max_depth\": 3, \"clf__n_estimators\": 250, \"clf__subsample\": 0.85}": 2, "{\"clf__colsample_bytree\": 0.85, \"clf__learning_rate\": 0.08, \"clf__max_depth\": 5, \"clf__n_estimators\": 250, \"clf__subsample\": 0.85}": 9, "{\"clf__colsample_bytree\": 0.85, \"clf__learning_rate\": 0.08, \"clf__max_depth\": 5, \"clf__n_estimators\": 450, \"clf__subsample\": 0.85}": 3}</t>
  </si>
  <si>
    <t>nested__physiological_features__valence__regression__xgboost__aggregated__hc+nvg__emognition_features_w60_o30</t>
  </si>
  <si>
    <t>{"{\"clf__colsample_bytree\": 0.85, \"clf__learning_rate\": 0.03, \"clf__max_depth\": 3, \"clf__n_estimators\": 250, \"clf__subsample\": 0.85}": 3, "{\"clf__colsample_bytree\": 0.85, \"clf__learning_rate\": 0.03, \"clf__max_depth\": 3, \"clf__n_estimators\": 450, \"clf__subsample\": 0.85}": 5, "{\"clf__colsample_bytree\": 0.85, \"clf__learning_rate\": 0.03, \"clf__max_depth\": 5, \"clf__n_estimators\": 250, \"clf__subsample\": 0.85}": 8, "{\"clf__colsample_bytree\": 0.85, \"clf__learning_rate\": 0.03, \"clf__max_depth\": 5, \"clf__n_estimators\": 450, \"clf__subsample\": 0.85}": 11, "{\"clf__colsample_bytree\": 0.85, \"clf__learning_rate\": 0.08, \"clf__max_depth\": 3, \"clf__n_estimators\": 250, \"clf__subsample\": 0.85}": 2, "{\"clf__colsample_bytree\": 0.85, \"clf__learning_rate\": 0.08, \"clf__max_depth\": 3, \"clf__n_estimators\": 450, \"clf__subsample\": 0.85}": 6, "{\"clf__colsample_bytree\": 0.85, \"clf__learning_rate\": 0.08, \"clf__max_depth\": 5, \"clf__n_estimators\": 250, \"clf__subsample\": 0.85}": 4, "{\"clf__colsample_bytree\": 0.85, \"clf__learning_rate\": 0.08, \"clf__max_depth\": 5, \"clf__n_estimators\": 450, \"clf__subsample\": 0.85}": 3}</t>
  </si>
  <si>
    <t>nested__physiological_features__valence__regression__xgboost__aggregated__hc+hvg__emognition_features_w60_o30</t>
  </si>
  <si>
    <t>{"{\"clf__colsample_bytree\": 0.85, \"clf__learning_rate\": 0.03, \"clf__max_depth\": 3, \"clf__n_estimators\": 250, \"clf__subsample\": 0.85}": 1, "{\"clf__colsample_bytree\": 0.85, \"clf__learning_rate\": 0.03, \"clf__max_depth\": 3, \"clf__n_estimators\": 450, \"clf__subsample\": 0.85}": 5, "{\"clf__colsample_bytree\": 0.85, \"clf__learning_rate\": 0.03, \"clf__max_depth\": 5, \"clf__n_estimators\": 250, \"clf__subsample\": 0.85}": 6, "{\"clf__colsample_bytree\": 0.85, \"clf__learning_rate\": 0.03, \"clf__max_depth\": 5, \"clf__n_estimators\": 450, \"clf__subsample\": 0.85}": 12, "{\"clf__colsample_bytree\": 0.85, \"clf__learning_rate\": 0.08, \"clf__max_depth\": 3, \"clf__n_estimators\": 250, \"clf__subsample\": 0.85}": 1, "{\"clf__colsample_bytree\": 0.85, \"clf__learning_rate\": 0.08, \"clf__max_depth\": 3, \"clf__n_estimators\": 450, \"clf__subsample\": 0.85}": 2, "{\"clf__colsample_bytree\": 0.85, \"clf__learning_rate\": 0.08, \"clf__max_depth\": 5, \"clf__n_estimators\": 250, \"clf__subsample\": 0.85}": 9, "{\"clf__colsample_bytree\": 0.85, \"clf__learning_rate\": 0.08, \"clf__max_depth\": 5, \"clf__n_estimators\": 450, \"clf__subsample\": 0.85}": 6}</t>
  </si>
  <si>
    <t>nested__physiological_features__arousal__regression__xgboost__windowed__hc__emognition_features_w60_o30</t>
  </si>
  <si>
    <t>{"{\"clf__colsample_bytree\": 0.85, \"clf__learning_rate\": 0.03, \"clf__max_depth\": 3, \"clf__n_estimators\": 250, \"clf__subsample\": 0.85}": 32, "{\"clf__colsample_bytree\": 0.85, \"clf__learning_rate\": 0.03, \"clf__max_depth\": 3, \"clf__n_estimators\": 450, \"clf__subsample\": 0.85}": 1, "{\"clf__colsample_bytree\": 0.85, \"clf__learning_rate\": 0.03, \"clf__max_depth\": 5, \"clf__n_estimators\": 250, \"clf__subsample\": 0.85}": 6, "{\"clf__colsample_bytree\": 0.85, \"clf__learning_rate\": 0.08, \"clf__max_depth\": 3, \"clf__n_estimators\": 250, \"clf__subsample\": 0.85}": 1, "{\"clf__colsample_bytree\": 0.85, \"clf__learning_rate\": 0.08, \"clf__max_depth\": 5, \"clf__n_estimators\": 250, \"clf__subsample\": 0.85}": 1, "{\"clf__colsample_bytree\": 0.85, \"clf__learning_rate\": 0.08, \"clf__max_depth\": 5, \"clf__n_estimators\": 450, \"clf__subsample\": 0.85}": 1}</t>
  </si>
  <si>
    <t>nested__physiological_features__arousal__regression__xgboost__windowed__nvg__emognition_features_w60_o30</t>
  </si>
  <si>
    <t>{"{\"clf__colsample_bytree\": 0.85, \"clf__learning_rate\": 0.03, \"clf__max_depth\": 3, \"clf__n_estimators\": 250, \"clf__subsample\": 0.85}": 26, "{\"clf__colsample_bytree\": 0.85, \"clf__learning_rate\": 0.03, \"clf__max_depth\": 3, \"clf__n_estimators\": 450, \"clf__subsample\": 0.85}": 4, "{\"clf__colsample_bytree\": 0.85, \"clf__learning_rate\": 0.03, \"clf__max_depth\": 5, \"clf__n_estimators\": 250, \"clf__subsample\": 0.85}": 4, "{\"clf__colsample_bytree\": 0.85, \"clf__learning_rate\": 0.08, \"clf__max_depth\": 3, \"clf__n_estimators\": 250, \"clf__subsample\": 0.85}": 3, "{\"clf__colsample_bytree\": 0.85, \"clf__learning_rate\": 0.08, \"clf__max_depth\": 3, \"clf__n_estimators\": 450, \"clf__subsample\": 0.85}": 1, "{\"clf__colsample_bytree\": 0.85, \"clf__learning_rate\": 0.08, \"clf__max_depth\": 5, \"clf__n_estimators\": 250, \"clf__subsample\": 0.85}": 2, "{\"clf__colsample_bytree\": 0.85, \"clf__learning_rate\": 0.08, \"clf__max_depth\": 5, \"clf__n_estimators\": 450, \"clf__subsample\": 0.85}": 2}</t>
  </si>
  <si>
    <t>nested__physiological_features__arousal__regression__xgboost__windowed__hvg__emognition_features_w60_o30</t>
  </si>
  <si>
    <t>{"{\"clf__colsample_bytree\": 0.85, \"clf__learning_rate\": 0.03, \"clf__max_depth\": 3, \"clf__n_estimators\": 250, \"clf__subsample\": 0.85}": 33, "{\"clf__colsample_bytree\": 0.85, \"clf__learning_rate\": 0.03, \"clf__max_depth\": 3, \"clf__n_estimators\": 450, \"clf__subsample\": 0.85}": 3, "{\"clf__colsample_bytree\": 0.85, \"clf__learning_rate\": 0.03, \"clf__max_depth\": 5, \"clf__n_estimators\": 250, \"clf__subsample\": 0.85}": 3, "{\"clf__colsample_bytree\": 0.85, \"clf__learning_rate\": 0.08, \"clf__max_depth\": 3, \"clf__n_estimators\": 250, \"clf__subsample\": 0.85}": 2, "{\"clf__colsample_bytree\": 0.85, \"clf__learning_rate\": 0.08, \"clf__max_depth\": 3, \"clf__n_estimators\": 450, \"clf__subsample\": 0.85}": 1}</t>
  </si>
  <si>
    <t>nested__physiological_features__arousal__regression__xgboost__windowed__hc+nvg__emognition_features_w60_o30</t>
  </si>
  <si>
    <t>{"{\"clf__colsample_bytree\": 0.85, \"clf__learning_rate\": 0.03, \"clf__max_depth\": 3, \"clf__n_estimators\": 250, \"clf__subsample\": 0.85}": 28, "{\"clf__colsample_bytree\": 0.85, \"clf__learning_rate\": 0.03, \"clf__max_depth\": 3, \"clf__n_estimators\": 450, \"clf__subsample\": 0.85}": 3, "{\"clf__colsample_bytree\": 0.85, \"clf__learning_rate\": 0.03, \"clf__max_depth\": 5, \"clf__n_estimators\": 250, \"clf__subsample\": 0.85}": 3, "{\"clf__colsample_bytree\": 0.85, \"clf__learning_rate\": 0.03, \"clf__max_depth\": 5, \"clf__n_estimators\": 450, \"clf__subsample\": 0.85}": 2, "{\"clf__colsample_bytree\": 0.85, \"clf__learning_rate\": 0.08, \"clf__max_depth\": 3, \"clf__n_estimators\": 250, \"clf__subsample\": 0.85}": 2, "{\"clf__colsample_bytree\": 0.85, \"clf__learning_rate\": 0.08, \"clf__max_depth\": 5, \"clf__n_estimators\": 250, \"clf__subsample\": 0.85}": 1, "{\"clf__colsample_bytree\": 0.85, \"clf__learning_rate\": 0.08, \"clf__max_depth\": 5, \"clf__n_estimators\": 450, \"clf__subsample\": 0.85}": 3}</t>
  </si>
  <si>
    <t>nested__physiological_features__arousal__regression__xgboost__windowed__hc+hvg__emognition_features_w60_o30</t>
  </si>
  <si>
    <t>{"{\"clf__colsample_bytree\": 0.85, \"clf__learning_rate\": 0.03, \"clf__max_depth\": 3, \"clf__n_estimators\": 250, \"clf__subsample\": 0.85}": 38, "{\"clf__colsample_bytree\": 0.85, \"clf__learning_rate\": 0.03, \"clf__max_depth\": 3, \"clf__n_estimators\": 450, \"clf__subsample\": 0.85}": 1, "{\"clf__colsample_bytree\": 0.85, \"clf__learning_rate\": 0.03, \"clf__max_depth\": 5, \"clf__n_estimators\": 450, \"clf__subsample\": 0.85}": 1, "{\"clf__colsample_bytree\": 0.85, \"clf__learning_rate\": 0.08, \"clf__max_depth\": 5, \"clf__n_estimators\": 250, \"clf__subsample\": 0.85}": 1, "{\"clf__colsample_bytree\": 0.85, \"clf__learning_rate\": 0.08, \"clf__max_depth\": 5, \"clf__n_estimators\": 450, \"clf__subsample\": 0.85}": 1}</t>
  </si>
  <si>
    <t>nested__physiological_features__arousal__regression__xgboost__aggregated__hc__emognition_features_w60_o30</t>
  </si>
  <si>
    <t>{"{\"clf__colsample_bytree\": 0.85, \"clf__learning_rate\": 0.03, \"clf__max_depth\": 3, \"clf__n_estimators\": 250, \"clf__subsample\": 0.85}": 10, "{\"clf__colsample_bytree\": 0.85, \"clf__learning_rate\": 0.03, \"clf__max_depth\": 3, \"clf__n_estimators\": 450, \"clf__subsample\": 0.85}": 2, "{\"clf__colsample_bytree\": 0.85, \"clf__learning_rate\": 0.03, \"clf__max_depth\": 5, \"clf__n_estimators\": 250, \"clf__subsample\": 0.85}": 12, "{\"clf__colsample_bytree\": 0.85, \"clf__learning_rate\": 0.03, \"clf__max_depth\": 5, \"clf__n_estimators\": 450, \"clf__subsample\": 0.85}": 8, "{\"clf__colsample_bytree\": 0.85, \"clf__learning_rate\": 0.08, \"clf__max_depth\": 3, \"clf__n_estimators\": 250, \"clf__subsample\": 0.85}": 1, "{\"clf__colsample_bytree\": 0.85, \"clf__learning_rate\": 0.08, \"clf__max_depth\": 5, \"clf__n_estimators\": 250, \"clf__subsample\": 0.85}": 6, "{\"clf__colsample_bytree\": 0.85, \"clf__learning_rate\": 0.08, \"clf__max_depth\": 5, \"clf__n_estimators\": 450, \"clf__subsample\": 0.85}": 3}</t>
  </si>
  <si>
    <t>nested__physiological_features__arousal__regression__xgboost__aggregated__nvg__emognition_features_w60_o30</t>
  </si>
  <si>
    <t>{"{\"clf__colsample_bytree\": 0.85, \"clf__learning_rate\": 0.03, \"clf__max_depth\": 3, \"clf__n_estimators\": 250, \"clf__subsample\": 0.85}": 1, "{\"clf__colsample_bytree\": 0.85, \"clf__learning_rate\": 0.03, \"clf__max_depth\": 5, \"clf__n_estimators\": 250, \"clf__subsample\": 0.85}": 16, "{\"clf__colsample_bytree\": 0.85, \"clf__learning_rate\": 0.03, \"clf__max_depth\": 5, \"clf__n_estimators\": 450, \"clf__subsample\": 0.85}": 13, "{\"clf__colsample_bytree\": 0.85, \"clf__learning_rate\": 0.08, \"clf__max_depth\": 5, \"clf__n_estimators\": 250, \"clf__subsample\": 0.85}": 6, "{\"clf__colsample_bytree\": 0.85, \"clf__learning_rate\": 0.08, \"clf__max_depth\": 5, \"clf__n_estimators\": 450, \"clf__subsample\": 0.85}": 6}</t>
  </si>
  <si>
    <t>nested__physiological_features__arousal__regression__xgboost__aggregated__hvg__emognition_features_w60_o30</t>
  </si>
  <si>
    <t>{"{\"clf__colsample_bytree\": 0.85, \"clf__learning_rate\": 0.03, \"clf__max_depth\": 3, \"clf__n_estimators\": 250, \"clf__subsample\": 0.85}": 21, "{\"clf__colsample_bytree\": 0.85, \"clf__learning_rate\": 0.03, \"clf__max_depth\": 3, \"clf__n_estimators\": 450, \"clf__subsample\": 0.85}": 2, "{\"clf__colsample_bytree\": 0.85, \"clf__learning_rate\": 0.03, \"clf__max_depth\": 5, \"clf__n_estimators\": 250, \"clf__subsample\": 0.85}": 7, "{\"clf__colsample_bytree\": 0.85, \"clf__learning_rate\": 0.03, \"clf__max_depth\": 5, \"clf__n_estimators\": 450, \"clf__subsample\": 0.85}": 1, "{\"clf__colsample_bytree\": 0.85, \"clf__learning_rate\": 0.08, \"clf__max_depth\": 5, \"clf__n_estimators\": 250, \"clf__subsample\": 0.85}": 5, "{\"clf__colsample_bytree\": 0.85, \"clf__learning_rate\": 0.08, \"clf__max_depth\": 5, \"clf__n_estimators\": 450, \"clf__subsample\": 0.85}": 6}</t>
  </si>
  <si>
    <t>nested__physiological_features__arousal__regression__xgboost__aggregated__hc+nvg__emognition_features_w60_o30</t>
  </si>
  <si>
    <t>{"{\"clf__colsample_bytree\": 0.85, \"clf__learning_rate\": 0.03, \"clf__max_depth\": 3, \"clf__n_estimators\": 250, \"clf__subsample\": 0.85}": 4, "{\"clf__colsample_bytree\": 0.85, \"clf__learning_rate\": 0.03, \"clf__max_depth\": 3, \"clf__n_estimators\": 450, \"clf__subsample\": 0.85}": 4, "{\"clf__colsample_bytree\": 0.85, \"clf__learning_rate\": 0.03, \"clf__max_depth\": 5, \"clf__n_estimators\": 250, \"clf__subsample\": 0.85}": 9, "{\"clf__colsample_bytree\": 0.85, \"clf__learning_rate\": 0.03, \"clf__max_depth\": 5, \"clf__n_estimators\": 450, \"clf__subsample\": 0.85}": 7, "{\"clf__colsample_bytree\": 0.85, \"clf__learning_rate\": 0.08, \"clf__max_depth\": 3, \"clf__n_estimators\": 250, \"clf__subsample\": 0.85}": 3, "{\"clf__colsample_bytree\": 0.85, \"clf__learning_rate\": 0.08, \"clf__max_depth\": 3, \"clf__n_estimators\": 450, \"clf__subsample\": 0.85}": 1, "{\"clf__colsample_bytree\": 0.85, \"clf__learning_rate\": 0.08, \"clf__max_depth\": 5, \"clf__n_estimators\": 250, \"clf__subsample\": 0.85}": 10, "{\"clf__colsample_bytree\": 0.85, \"clf__learning_rate\": 0.08, \"clf__max_depth\": 5, \"clf__n_estimators\": 450, \"clf__subsample\": 0.85}": 4}</t>
  </si>
  <si>
    <t>{"clf__colsample_bytree": 0.85, "clf__learning_rate": 0.08, "clf__max_depth": 5, "clf__n_estimators": 250, "clf__subsample": 0.85}</t>
  </si>
  <si>
    <t>nested__physiological_features__arousal__regression__xgboost__aggregated__hc+hvg__emognition_features_w60_o30</t>
  </si>
  <si>
    <t>{"{\"clf__colsample_bytree\": 0.85, \"clf__learning_rate\": 0.03, \"clf__max_depth\": 3, \"clf__n_estimators\": 250, \"clf__subsample\": 0.85}": 8, "{\"clf__colsample_bytree\": 0.85, \"clf__learning_rate\": 0.03, \"clf__max_depth\": 3, \"clf__n_estimators\": 450, \"clf__subsample\": 0.85}": 2, "{\"clf__colsample_bytree\": 0.85, \"clf__learning_rate\": 0.03, \"clf__max_depth\": 5, \"clf__n_estimators\": 250, \"clf__subsample\": 0.85}": 9, "{\"clf__colsample_bytree\": 0.85, \"clf__learning_rate\": 0.03, \"clf__max_depth\": 5, \"clf__n_estimators\": 450, \"clf__subsample\": 0.85}": 10, "{\"clf__colsample_bytree\": 0.85, \"clf__learning_rate\": 0.08, \"clf__max_depth\": 3, \"clf__n_estimators\": 450, \"clf__subsample\": 0.85}": 1, "{\"clf__colsample_bytree\": 0.85, \"clf__learning_rate\": 0.08, \"clf__max_depth\": 5, \"clf__n_estimators\": 250, \"clf__subsample\": 0.85}": 8, "{\"clf__colsample_bytree\": 0.85, \"clf__learning_rate\": 0.08, \"clf__max_depth\": 5, \"clf__n_estimators\": 450, \"clf__subsample\": 0.85}": 4}</t>
  </si>
  <si>
    <t>nested__physiological_features__valence__ternary__xgboost__windowed__hc__emognition_features_w60_o30</t>
  </si>
  <si>
    <t>{"{\"clf__estimator__colsample_bytree\": 0.85, \"clf__estimator__learning_rate\": 0.03, \"clf__estimator__max_depth\": 3, \"clf__estimator__n_estimators\": 250, \"clf__estimator__subsample\": 0.85}": 9, "{\"clf__estimator__colsample_bytree\": 0.85, \"clf__estimator__learning_rate\": 0.03, \"clf__estimator__max_depth\": 3, \"clf__estimator__n_estimators\": 450, \"clf__estimator__subsample\": 0.85}": 5, "{\"clf__estimator__colsample_bytree\": 0.85, \"clf__estimator__learning_rate\": 0.03, \"clf__estimator__max_depth\": 5, \"clf__estimator__n_estimators\": 250, \"clf__estimator__subsample\": 0.85}": 8, "{\"clf__estimator__colsample_bytree\": 0.85, \"clf__estimator__learning_rate\": 0.03, \"clf__estimator__max_depth\": 5, \"clf__estimator__n_estimators\": 450, \"clf__estimator__subsample\": 0.85}": 3, "{\"clf__estimator__colsample_bytree\": 0.85, \"clf__estimator__learning_rate\": 0.08, \"clf__estimator__max_depth\": 3, \"clf__estimator__n_estimators\": 250, \"clf__estimator__subsample\": 0.85}": 1, "{\"clf__estimator__colsample_bytree\": 0.85, \"clf__estimator__learning_rate\": 0.08, \"clf__estimator__max_depth\": 3, \"clf__estimator__n_estimators\": 450, \"clf__estimator__subsample\": 0.85}": 6, "{\"clf__estimator__colsample_bytree\": 0.85, \"clf__estimator__learning_rate\": 0.08, \"clf__estimator__max_depth\": 5, \"clf__estimator__n_estimators\": 250, \"clf__estimator__subsample\": 0.85}": 5, "{\"clf__estimator__colsample_bytree\": 0.85, \"clf__estimator__learning_rate\": 0.08, \"clf__estimator__max_depth\": 5, \"clf__estimator__n_estimators\": 450, \"clf__estimator__subsample\": 0.85}": 5}</t>
  </si>
  <si>
    <t>[[32, 29, 43], [30, 34, 45], [34, 35, 50]]</t>
  </si>
  <si>
    <t>nested__physiological_features__valence__ternary__xgboost__windowed__nvg__emognition_features_w60_o30</t>
  </si>
  <si>
    <t>{"{\"clf__estimator__colsample_bytree\": 0.85, \"clf__estimator__learning_rate\": 0.03, \"clf__estimator__max_depth\": 3, \"clf__estimator__n_estimators\": 250, \"clf__estimator__subsample\": 0.85}": 6, "{\"clf__estimator__colsample_bytree\": 0.85, \"clf__estimator__learning_rate\": 0.03, \"clf__estimator__max_depth\": 3, \"clf__estimator__n_estimators\": 450, \"clf__estimator__subsample\": 0.85}": 5, "{\"clf__estimator__colsample_bytree\": 0.85, \"clf__estimator__learning_rate\": 0.03, \"clf__estimator__max_depth\": 5, \"clf__estimator__n_estimators\": 250, \"clf__estimator__subsample\": 0.85}": 11, "{\"clf__estimator__colsample_bytree\": 0.85, \"clf__estimator__learning_rate\": 0.03, \"clf__estimator__max_depth\": 5, \"clf__estimator__n_estimators\": 450, \"clf__estimator__subsample\": 0.85}": 8, "{\"clf__estimator__colsample_bytree\": 0.85, \"clf__estimator__learning_rate\": 0.08, \"clf__estimator__max_depth\": 3, \"clf__estimator__n_estimators\": 250, \"clf__estimator__subsample\": 0.85}": 4, "{\"clf__estimator__colsample_bytree\": 0.85, \"clf__estimator__learning_rate\": 0.08, \"clf__estimator__max_depth\": 3, \"clf__estimator__n_estimators\": 450, \"clf__estimator__subsample\": 0.85}": 2, "{\"clf__estimator__colsample_bytree\": 0.85, \"clf__estimator__learning_rate\": 0.08, \"clf__estimator__max_depth\": 5, \"clf__estimator__n_estimators\": 250, \"clf__estimator__subsample\": 0.85}": 4, "{\"clf__estimator__colsample_bytree\": 0.85, \"clf__estimator__learning_rate\": 0.08, \"clf__estimator__max_depth\": 5, \"clf__estimator__n_estimators\": 450, \"clf__estimator__subsample\": 0.85}": 2}</t>
  </si>
  <si>
    <t>[[39, 28, 37], [28, 41, 40], [28, 42, 49]]</t>
  </si>
  <si>
    <t>nested__physiological_features__valence__ternary__xgboost__windowed__hvg__emognition_features_w60_o30</t>
  </si>
  <si>
    <t>{"{\"clf__estimator__colsample_bytree\": 0.85, \"clf__estimator__learning_rate\": 0.03, \"clf__estimator__max_depth\": 3, \"clf__estimator__n_estimators\": 250, \"clf__estimator__subsample\": 0.85}": 9, "{\"clf__estimator__colsample_bytree\": 0.85, \"clf__estimator__learning_rate\": 0.03, \"clf__estimator__max_depth\": 3, \"clf__estimator__n_estimators\": 450, \"clf__estimator__subsample\": 0.85}": 5, "{\"clf__estimator__colsample_bytree\": 0.85, \"clf__estimator__learning_rate\": 0.03, \"clf__estimator__max_depth\": 5, \"clf__estimator__n_estimators\": 250, \"clf__estimator__subsample\": 0.85}": 6, "{\"clf__estimator__colsample_bytree\": 0.85, \"clf__estimator__learning_rate\": 0.03, \"clf__estimator__max_depth\": 5, \"clf__estimator__n_estimators\": 450, \"clf__estimator__subsample\": 0.85}": 3, "{\"clf__estimator__colsample_bytree\": 0.85, \"clf__estimator__learning_rate\": 0.08, \"clf__estimator__max_depth\": 3, \"clf__estimator__n_estimators\": 250, \"clf__estimator__subsample\": 0.85}": 9, "{\"clf__estimator__colsample_bytree\": 0.85, \"clf__estimator__learning_rate\": 0.08, \"clf__estimator__max_depth\": 3, \"clf__estimator__n_estimators\": 450, \"clf__estimator__subsample\": 0.85}": 3, "{\"clf__estimator__colsample_bytree\": 0.85, \"clf__estimator__learning_rate\": 0.08, \"clf__estimator__max_depth\": 5, \"clf__estimator__n_estimators\": 250, \"clf__estimator__subsample\": 0.85}": 5, "{\"clf__estimator__colsample_bytree\": 0.85, \"clf__estimator__learning_rate\": 0.08, \"clf__estimator__max_depth\": 5, \"clf__estimator__n_estimators\": 450, \"clf__estimator__subsample\": 0.85}": 2}</t>
  </si>
  <si>
    <t>[[41, 25, 38], [27, 43, 39], [37, 36, 46]]</t>
  </si>
  <si>
    <t>nested__physiological_features__valence__ternary__xgboost__windowed__hc+nvg__emognition_features_w60_o30</t>
  </si>
  <si>
    <t>{"{\"clf__estimator__colsample_bytree\": 0.85, \"clf__estimator__learning_rate\": 0.03, \"clf__estimator__max_depth\": 3, \"clf__estimator__n_estimators\": 250, \"clf__estimator__subsample\": 0.85}": 4, "{\"clf__estimator__colsample_bytree\": 0.85, \"clf__estimator__learning_rate\": 0.03, \"clf__estimator__max_depth\": 3, \"clf__estimator__n_estimators\": 450, \"clf__estimator__subsample\": 0.85}": 2, "{\"clf__estimator__colsample_bytree\": 0.85, \"clf__estimator__learning_rate\": 0.03, \"clf__estimator__max_depth\": 5, \"clf__estimator__n_estimators\": 250, \"clf__estimator__subsample\": 0.85}": 6, "{\"clf__estimator__colsample_bytree\": 0.85, \"clf__estimator__learning_rate\": 0.03, \"clf__estimator__max_depth\": 5, \"clf__estimator__n_estimators\": 450, \"clf__estimator__subsample\": 0.85}": 8, "{\"clf__estimator__colsample_bytree\": 0.85, \"clf__estimator__learning_rate\": 0.08, \"clf__estimator__max_depth\": 3, \"clf__estimator__n_estimators\": 250, \"clf__estimator__subsample\": 0.85}": 3, "{\"clf__estimator__colsample_bytree\": 0.85, \"clf__estimator__learning_rate\": 0.08, \"clf__estimator__max_depth\": 3, \"clf__estimator__n_estimators\": 450, \"clf__estimator__subsample\": 0.85}": 8, "{\"clf__estimator__colsample_bytree\": 0.85, \"clf__estimator__learning_rate\": 0.08, \"clf__estimator__max_depth\": 5, \"clf__estimator__n_estimators\": 250, \"clf__estimator__subsample\": 0.85}": 4, "{\"clf__estimator__colsample_bytree\": 0.85, \"clf__estimator__learning_rate\": 0.08, \"clf__estimator__max_depth\": 5, \"clf__estimator__n_estimators\": 450, \"clf__estimator__subsample\": 0.85}": 7}</t>
  </si>
  <si>
    <t>[[41, 25, 38], [33, 25, 51], [36, 33, 50]]</t>
  </si>
  <si>
    <t>nested__physiological_features__valence__ternary__xgboost__windowed__hc+hvg__emognition_features_w60_o30</t>
  </si>
  <si>
    <t>{"{\"clf__estimator__colsample_bytree\": 0.85, \"clf__estimator__learning_rate\": 0.03, \"clf__estimator__max_depth\": 3, \"clf__estimator__n_estimators\": 250, \"clf__estimator__subsample\": 0.85}": 5, "{\"clf__estimator__colsample_bytree\": 0.85, \"clf__estimator__learning_rate\": 0.03, \"clf__estimator__max_depth\": 3, \"clf__estimator__n_estimators\": 450, \"clf__estimator__subsample\": 0.85}": 5, "{\"clf__estimator__colsample_bytree\": 0.85, \"clf__estimator__learning_rate\": 0.03, \"clf__estimator__max_depth\": 5, \"clf__estimator__n_estimators\": 250, \"clf__estimator__subsample\": 0.85}": 2, "{\"clf__estimator__colsample_bytree\": 0.85, \"clf__estimator__learning_rate\": 0.03, \"clf__estimator__max_depth\": 5, \"clf__estimator__n_estimators\": 450, \"clf__estimator__subsample\": 0.85}": 3, "{\"clf__estimator__colsample_bytree\": 0.85, \"clf__estimator__learning_rate\": 0.08, \"clf__estimator__max_depth\": 3, \"clf__estimator__n_estimators\": 250, \"clf__estimator__subsample\": 0.85}": 8, "{\"clf__estimator__colsample_bytree\": 0.85, \"clf__estimator__learning_rate\": 0.08, \"clf__estimator__max_depth\": 3, \"clf__estimator__n_estimators\": 450, \"clf__estimator__subsample\": 0.85}": 8, "{\"clf__estimator__colsample_bytree\": 0.85, \"clf__estimator__learning_rate\": 0.08, \"clf__estimator__max_depth\": 5, \"clf__estimator__n_estimators\": 250, \"clf__estimator__subsample\": 0.85}": 7, "{\"clf__estimator__colsample_bytree\": 0.85, \"clf__estimator__learning_rate\": 0.08, \"clf__estimator__max_depth\": 5, \"clf__estimator__n_estimators\": 450, \"clf__estimator__subsample\": 0.85}": 4}</t>
  </si>
  <si>
    <t>[[38, 27, 39], [25, 41, 43], [31, 37, 51]]</t>
  </si>
  <si>
    <t>nested__physiological_features__valence__ternary__xgboost__aggregated__hc__emognition_features_w60_o30</t>
  </si>
  <si>
    <t>{"{\"clf__estimator__colsample_bytree\": 0.85, \"clf__estimator__learning_rate\": 0.03, \"clf__estimator__max_depth\": 3, \"clf__estimator__n_estimators\": 250, \"clf__estimator__subsample\": 0.85}": 7, "{\"clf__estimator__colsample_bytree\": 0.85, \"clf__estimator__learning_rate\": 0.03, \"clf__estimator__max_depth\": 3, \"clf__estimator__n_estimators\": 450, \"clf__estimator__subsample\": 0.85}": 4, "{\"clf__estimator__colsample_bytree\": 0.85, \"clf__estimator__learning_rate\": 0.03, \"clf__estimator__max_depth\": 5, \"clf__estimator__n_estimators\": 250, \"clf__estimator__subsample\": 0.85}": 5, "{\"clf__estimator__colsample_bytree\": 0.85, \"clf__estimator__learning_rate\": 0.03, \"clf__estimator__max_depth\": 5, \"clf__estimator__n_estimators\": 450, \"clf__estimator__subsample\": 0.85}": 6, "{\"clf__estimator__colsample_bytree\": 0.85, \"clf__estimator__learning_rate\": 0.08, \"clf__estimator__max_depth\": 3, \"clf__estimator__n_estimators\": 250, \"clf__estimator__subsample\": 0.85}": 2, "{\"clf__estimator__colsample_bytree\": 0.85, \"clf__estimator__learning_rate\": 0.08, \"clf__estimator__max_depth\": 3, \"clf__estimator__n_estimators\": 450, \"clf__estimator__subsample\": 0.85}": 2, "{\"clf__estimator__colsample_bytree\": 0.85, \"clf__estimator__learning_rate\": 0.08, \"clf__estimator__max_depth\": 5, \"clf__estimator__n_estimators\": 250, \"clf__estimator__subsample\": 0.85}": 8, "{\"clf__estimator__colsample_bytree\": 0.85, \"clf__estimator__learning_rate\": 0.08, \"clf__estimator__max_depth\": 5, \"clf__estimator__n_estimators\": 450, \"clf__estimator__subsample\": 0.85}": 8}</t>
  </si>
  <si>
    <t>[[36, 34, 34], [28, 38, 43], [27, 42, 50]]</t>
  </si>
  <si>
    <t>nested__physiological_features__valence__ternary__xgboost__aggregated__nvg__emognition_features_w60_o30</t>
  </si>
  <si>
    <t>{"{\"clf__estimator__colsample_bytree\": 0.85, \"clf__estimator__learning_rate\": 0.03, \"clf__estimator__max_depth\": 3, \"clf__estimator__n_estimators\": 250, \"clf__estimator__subsample\": 0.85}": 4, "{\"clf__estimator__colsample_bytree\": 0.85, \"clf__estimator__learning_rate\": 0.03, \"clf__estimator__max_depth\": 3, \"clf__estimator__n_estimators\": 450, \"clf__estimator__subsample\": 0.85}": 3, "{\"clf__estimator__colsample_bytree\": 0.85, \"clf__estimator__learning_rate\": 0.03, \"clf__estimator__max_depth\": 5, \"clf__estimator__n_estimators\": 250, \"clf__estimator__subsample\": 0.85}": 4, "{\"clf__estimator__colsample_bytree\": 0.85, \"clf__estimator__learning_rate\": 0.03, \"clf__estimator__max_depth\": 5, \"clf__estimator__n_estimators\": 450, \"clf__estimator__subsample\": 0.85}": 4, "{\"clf__estimator__colsample_bytree\": 0.85, \"clf__estimator__learning_rate\": 0.08, \"clf__estimator__max_depth\": 3, \"clf__estimator__n_estimators\": 250, \"clf__estimator__subsample\": 0.85}": 9, "{\"clf__estimator__colsample_bytree\": 0.85, \"clf__estimator__learning_rate\": 0.08, \"clf__estimator__max_depth\": 3, \"clf__estimator__n_estimators\": 450, \"clf__estimator__subsample\": 0.85}": 3, "{\"clf__estimator__colsample_bytree\": 0.85, \"clf__estimator__learning_rate\": 0.08, \"clf__estimator__max_depth\": 5, \"clf__estimator__n_estimators\": 250, \"clf__estimator__subsample\": 0.85}": 5, "{\"clf__estimator__colsample_bytree\": 0.85, \"clf__estimator__learning_rate\": 0.08, \"clf__estimator__max_depth\": 5, \"clf__estimator__n_estimators\": 450, \"clf__estimator__subsample\": 0.85}": 10}</t>
  </si>
  <si>
    <t>[[51, 26, 27], [28, 42, 39], [31, 28, 60]]</t>
  </si>
  <si>
    <t>nested__physiological_features__valence__ternary__xgboost__aggregated__hvg__emognition_features_w60_o30</t>
  </si>
  <si>
    <t>{"{\"clf__estimator__colsample_bytree\": 0.85, \"clf__estimator__learning_rate\": 0.03, \"clf__estimator__max_depth\": 3, \"clf__estimator__n_estimators\": 250, \"clf__estimator__subsample\": 0.85}": 5, "{\"clf__estimator__colsample_bytree\": 0.85, \"clf__estimator__learning_rate\": 0.03, \"clf__estimator__max_depth\": 3, \"clf__estimator__n_estimators\": 450, \"clf__estimator__subsample\": 0.85}": 4, "{\"clf__estimator__colsample_bytree\": 0.85, \"clf__estimator__learning_rate\": 0.03, \"clf__estimator__max_depth\": 5, \"clf__estimator__n_estimators\": 250, \"clf__estimator__subsample\": 0.85}": 7, "{\"clf__estimator__colsample_bytree\": 0.85, \"clf__estimator__learning_rate\": 0.03, \"clf__estimator__max_depth\": 5, \"clf__estimator__n_estimators\": 450, \"clf__estimator__subsample\": 0.85}": 4, "{\"clf__estimator__colsample_bytree\": 0.85, \"clf__estimator__learning_rate\": 0.08, \"clf__estimator__max_depth\": 3, \"clf__estimator__n_estimators\": 250, \"clf__estimator__subsample\": 0.85}": 7, "{\"clf__estimator__colsample_bytree\": 0.85, \"clf__estimator__learning_rate\": 0.08, \"clf__estimator__max_depth\": 3, \"clf__estimator__n_estimators\": 450, \"clf__estimator__subsample\": 0.85}": 3, "{\"clf__estimator__colsample_bytree\": 0.85, \"clf__estimator__learning_rate\": 0.08, \"clf__estimator__max_depth\": 5, \"clf__estimator__n_estimators\": 250, \"clf__estimator__subsample\": 0.85}": 3, "{\"clf__estimator__colsample_bytree\": 0.85, \"clf__estimator__learning_rate\": 0.08, \"clf__estimator__max_depth\": 5, \"clf__estimator__n_estimators\": 450, \"clf__estimator__subsample\": 0.85}": 9}</t>
  </si>
  <si>
    <t>[[34, 37, 33], [34, 38, 37], [36, 34, 49]]</t>
  </si>
  <si>
    <t>nested__physiological_features__valence__ternary__xgboost__aggregated__hc+nvg__emognition_features_w60_o30</t>
  </si>
  <si>
    <t>{"{\"clf__estimator__colsample_bytree\": 0.85, \"clf__estimator__learning_rate\": 0.03, \"clf__estimator__max_depth\": 3, \"clf__estimator__n_estimators\": 250, \"clf__estimator__subsample\": 0.85}": 4, "{\"clf__estimator__colsample_bytree\": 0.85, \"clf__estimator__learning_rate\": 0.03, \"clf__estimator__max_depth\": 3, \"clf__estimator__n_estimators\": 450, \"clf__estimator__subsample\": 0.85}": 7, "{\"clf__estimator__colsample_bytree\": 0.85, \"clf__estimator__learning_rate\": 0.03, \"clf__estimator__max_depth\": 5, \"clf__estimator__n_estimators\": 250, \"clf__estimator__subsample\": 0.85}": 2, "{\"clf__estimator__colsample_bytree\": 0.85, \"clf__estimator__learning_rate\": 0.03, \"clf__estimator__max_depth\": 5, \"clf__estimator__n_estimators\": 450, \"clf__estimator__subsample\": 0.85}": 4, "{\"clf__estimator__colsample_bytree\": 0.85, \"clf__estimator__learning_rate\": 0.08, \"clf__estimator__max_depth\": 3, \"clf__estimator__n_estimators\": 250, \"clf__estimator__subsample\": 0.85}": 7, "{\"clf__estimator__colsample_bytree\": 0.85, \"clf__estimator__learning_rate\": 0.08, \"clf__estimator__max_depth\": 3, \"clf__estimator__n_estimators\": 450, \"clf__estimator__subsample\": 0.85}": 2, "{\"clf__estimator__colsample_bytree\": 0.85, \"clf__estimator__learning_rate\": 0.08, \"clf__estimator__max_depth\": 5, \"clf__estimator__n_estimators\": 250, \"clf__estimator__subsample\": 0.85}": 11, "{\"clf__estimator__colsample_bytree\": 0.85, \"clf__estimator__learning_rate\": 0.08, \"clf__estimator__max_depth\": 5, \"clf__estimator__n_estimators\": 450, \"clf__estimator__subsample\": 0.85}": 5}</t>
  </si>
  <si>
    <t>[[53, 32, 19], [27, 41, 41], [21, 35, 63]]</t>
  </si>
  <si>
    <t>nested__physiological_features__valence__ternary__xgboost__aggregated__hc+hvg__emognition_features_w60_o30</t>
  </si>
  <si>
    <t>{"{\"clf__estimator__colsample_bytree\": 0.85, \"clf__estimator__learning_rate\": 0.03, \"clf__estimator__max_depth\": 3, \"clf__estimator__n_estimators\": 250, \"clf__estimator__subsample\": 0.85}": 7, "{\"clf__estimator__colsample_bytree\": 0.85, \"clf__estimator__learning_rate\": 0.03, \"clf__estimator__max_depth\": 3, \"clf__estimator__n_estimators\": 450, \"clf__estimator__subsample\": 0.85}": 1, "{\"clf__estimator__colsample_bytree\": 0.85, \"clf__estimator__learning_rate\": 0.03, \"clf__estimator__max_depth\": 5, \"clf__estimator__n_estimators\": 250, \"clf__estimator__subsample\": 0.85}": 6, "{\"clf__estimator__colsample_bytree\": 0.85, \"clf__estimator__learning_rate\": 0.03, \"clf__estimator__max_depth\": 5, \"clf__estimator__n_estimators\": 450, \"clf__estimator__subsample\": 0.85}": 1, "{\"clf__estimator__colsample_bytree\": 0.85, \"clf__estimator__learning_rate\": 0.08, \"clf__estimator__max_depth\": 3, \"clf__estimator__n_estimators\": 250, \"clf__estimator__subsample\": 0.85}": 4, "{\"clf__estimator__colsample_bytree\": 0.85, \"clf__estimator__learning_rate\": 0.08, \"clf__estimator__max_depth\": 3, \"clf__estimator__n_estimators\": 450, \"clf__estimator__subsample\": 0.85}": 6, "{\"clf__estimator__colsample_bytree\": 0.85, \"clf__estimator__learning_rate\": 0.08, \"clf__estimator__max_depth\": 5, \"clf__estimator__n_estimators\": 250, \"clf__estimator__subsample\": 0.85}": 8, "{\"clf__estimator__colsample_bytree\": 0.85, \"clf__estimator__learning_rate\": 0.08, \"clf__estimator__max_depth\": 5, \"clf__estimator__n_estimators\": 450, \"clf__estimator__subsample\": 0.85}": 9}</t>
  </si>
  <si>
    <t>[[44, 23, 37], [31, 32, 46], [25, 40, 54]]</t>
  </si>
  <si>
    <t>nested__physiological_features__arousal__ternary__xgboost__windowed__hc__emognition_features_w60_o30</t>
  </si>
  <si>
    <t>{"{\"clf__estimator__colsample_bytree\": 0.85, \"clf__estimator__learning_rate\": 0.03, \"clf__estimator__max_depth\": 3, \"clf__estimator__n_estimators\": 250, \"clf__estimator__subsample\": 0.85}": 6, "{\"clf__estimator__colsample_bytree\": 0.85, \"clf__estimator__learning_rate\": 0.03, \"clf__estimator__max_depth\": 3, \"clf__estimator__n_estimators\": 450, \"clf__estimator__subsample\": 0.85}": 4, "{\"clf__estimator__colsample_bytree\": 0.85, \"clf__estimator__learning_rate\": 0.03, \"clf__estimator__max_depth\": 5, \"clf__estimator__n_estimators\": 250, \"clf__estimator__subsample\": 0.85}": 6, "{\"clf__estimator__colsample_bytree\": 0.85, \"clf__estimator__learning_rate\": 0.03, \"clf__estimator__max_depth\": 5, \"clf__estimator__n_estimators\": 450, \"clf__estimator__subsample\": 0.85}": 4, "{\"clf__estimator__colsample_bytree\": 0.85, \"clf__estimator__learning_rate\": 0.08, \"clf__estimator__max_depth\": 3, \"clf__estimator__n_estimators\": 250, \"clf__estimator__subsample\": 0.85}": 9, "{\"clf__estimator__colsample_bytree\": 0.85, \"clf__estimator__learning_rate\": 0.08, \"clf__estimator__max_depth\": 3, \"clf__estimator__n_estimators\": 450, \"clf__estimator__subsample\": 0.85}": 2, "{\"clf__estimator__colsample_bytree\": 0.85, \"clf__estimator__learning_rate\": 0.08, \"clf__estimator__max_depth\": 5, \"clf__estimator__n_estimators\": 250, \"clf__estimator__subsample\": 0.85}": 6, "{\"clf__estimator__colsample_bytree\": 0.85, \"clf__estimator__learning_rate\": 0.08, \"clf__estimator__max_depth\": 5, \"clf__estimator__n_estimators\": 450, \"clf__estimator__subsample\": 0.85}": 5}</t>
  </si>
  <si>
    <t>[[34, 46, 23], [37, 79, 32], [25, 46, 10]]</t>
  </si>
  <si>
    <t>nested__physiological_features__arousal__ternary__xgboost__windowed__nvg__emognition_features_w60_o30</t>
  </si>
  <si>
    <t>{"{\"clf__estimator__colsample_bytree\": 0.85, \"clf__estimator__learning_rate\": 0.03, \"clf__estimator__max_depth\": 3, \"clf__estimator__n_estimators\": 250, \"clf__estimator__subsample\": 0.85}": 11, "{\"clf__estimator__colsample_bytree\": 0.85, \"clf__estimator__learning_rate\": 0.03, \"clf__estimator__max_depth\": 3, \"clf__estimator__n_estimators\": 450, \"clf__estimator__subsample\": 0.85}": 7, "{\"clf__estimator__colsample_bytree\": 0.85, \"clf__estimator__learning_rate\": 0.03, \"clf__estimator__max_depth\": 5, \"clf__estimator__n_estimators\": 250, \"clf__estimator__subsample\": 0.85}": 3, "{\"clf__estimator__colsample_bytree\": 0.85, \"clf__estimator__learning_rate\": 0.08, \"clf__estimator__max_depth\": 3, \"clf__estimator__n_estimators\": 250, \"clf__estimator__subsample\": 0.85}": 5, "{\"clf__estimator__colsample_bytree\": 0.85, \"clf__estimator__learning_rate\": 0.08, \"clf__estimator__max_depth\": 3, \"clf__estimator__n_estimators\": 450, \"clf__estimator__subsample\": 0.85}": 7, "{\"clf__estimator__colsample_bytree\": 0.85, \"clf__estimator__learning_rate\": 0.08, \"clf__estimator__max_depth\": 5, \"clf__estimator__n_estimators\": 250, \"clf__estimator__subsample\": 0.85}": 4, "{\"clf__estimator__colsample_bytree\": 0.85, \"clf__estimator__learning_rate\": 0.08, \"clf__estimator__max_depth\": 5, \"clf__estimator__n_estimators\": 450, \"clf__estimator__subsample\": 0.85}": 5}</t>
  </si>
  <si>
    <t>[[39, 50, 14], [42, 73, 33], [25, 44, 12]]</t>
  </si>
  <si>
    <t>nested__physiological_features__arousal__ternary__xgboost__windowed__hvg__emognition_features_w60_o30</t>
  </si>
  <si>
    <t>{"{\"clf__estimator__colsample_bytree\": 0.85, \"clf__estimator__learning_rate\": 0.03, \"clf__estimator__max_depth\": 3, \"clf__estimator__n_estimators\": 250, \"clf__estimator__subsample\": 0.85}": 17, "{\"clf__estimator__colsample_bytree\": 0.85, \"clf__estimator__learning_rate\": 0.03, \"clf__estimator__max_depth\": 3, \"clf__estimator__n_estimators\": 450, \"clf__estimator__subsample\": 0.85}": 1, "{\"clf__estimator__colsample_bytree\": 0.85, \"clf__estimator__learning_rate\": 0.03, \"clf__estimator__max_depth\": 5, \"clf__estimator__n_estimators\": 250, \"clf__estimator__subsample\": 0.85}": 5, "{\"clf__estimator__colsample_bytree\": 0.85, \"clf__estimator__learning_rate\": 0.03, \"clf__estimator__max_depth\": 5, \"clf__estimator__n_estimators\": 450, \"clf__estimator__subsample\": 0.85}": 5, "{\"clf__estimator__colsample_bytree\": 0.85, \"clf__estimator__learning_rate\": 0.08, \"clf__estimator__max_depth\": 3, \"clf__estimator__n_estimators\": 250, \"clf__estimator__subsample\": 0.85}": 1, "{\"clf__estimator__colsample_bytree\": 0.85, \"clf__estimator__learning_rate\": 0.08, \"clf__estimator__max_depth\": 3, \"clf__estimator__n_estimators\": 450, \"clf__estimator__subsample\": 0.85}": 3, "{\"clf__estimator__colsample_bytree\": 0.85, \"clf__estimator__learning_rate\": 0.08, \"clf__estimator__max_depth\": 5, \"clf__estimator__n_estimators\": 250, \"clf__estimator__subsample\": 0.85}": 6, "{\"clf__estimator__colsample_bytree\": 0.85, \"clf__estimator__learning_rate\": 0.08, \"clf__estimator__max_depth\": 5, \"clf__estimator__n_estimators\": 450, \"clf__estimator__subsample\": 0.85}": 4}</t>
  </si>
  <si>
    <t>[[36, 53, 14], [52, 60, 36], [19, 51, 11]]</t>
  </si>
  <si>
    <t>nested__physiological_features__arousal__ternary__xgboost__windowed__hc+nvg__emognition_features_w60_o30</t>
  </si>
  <si>
    <t>{"{\"clf__estimator__colsample_bytree\": 0.85, \"clf__estimator__learning_rate\": 0.03, \"clf__estimator__max_depth\": 3, \"clf__estimator__n_estimators\": 250, \"clf__estimator__subsample\": 0.85}": 5, "{\"clf__estimator__colsample_bytree\": 0.85, \"clf__estimator__learning_rate\": 0.03, \"clf__estimator__max_depth\": 3, \"clf__estimator__n_estimators\": 450, \"clf__estimator__subsample\": 0.85}": 5, "{\"clf__estimator__colsample_bytree\": 0.85, \"clf__estimator__learning_rate\": 0.03, \"clf__estimator__max_depth\": 5, \"clf__estimator__n_estimators\": 250, \"clf__estimator__subsample\": 0.85}": 10, "{\"clf__estimator__colsample_bytree\": 0.85, \"clf__estimator__learning_rate\": 0.03, \"clf__estimator__max_depth\": 5, \"clf__estimator__n_estimators\": 450, \"clf__estimator__subsample\": 0.85}": 4, "{\"clf__estimator__colsample_bytree\": 0.85, \"clf__estimator__learning_rate\": 0.08, \"clf__estimator__max_depth\": 3, \"clf__estimator__n_estimators\": 250, \"clf__estimator__subsample\": 0.85}": 3, "{\"clf__estimator__colsample_bytree\": 0.85, \"clf__estimator__learning_rate\": 0.08, \"clf__estimator__max_depth\": 3, \"clf__estimator__n_estimators\": 450, \"clf__estimator__subsample\": 0.85}": 3, "{\"clf__estimator__colsample_bytree\": 0.85, \"clf__estimator__learning_rate\": 0.08, \"clf__estimator__max_depth\": 5, \"clf__estimator__n_estimators\": 250, \"clf__estimator__subsample\": 0.85}": 4, "{\"clf__estimator__colsample_bytree\": 0.85, \"clf__estimator__learning_rate\": 0.08, \"clf__estimator__max_depth\": 5, \"clf__estimator__n_estimators\": 450, \"clf__estimator__subsample\": 0.85}": 8}</t>
  </si>
  <si>
    <t>[[37, 46, 20], [41, 72, 35], [23, 50, 8]]</t>
  </si>
  <si>
    <t>nested__physiological_features__arousal__ternary__xgboost__windowed__hc+hvg__emognition_features_w60_o30</t>
  </si>
  <si>
    <t>{"{\"clf__estimator__colsample_bytree\": 0.85, \"clf__estimator__learning_rate\": 0.03, \"clf__estimator__max_depth\": 3, \"clf__estimator__n_estimators\": 250, \"clf__estimator__subsample\": 0.85}": 8, "{\"clf__estimator__colsample_bytree\": 0.85, \"clf__estimator__learning_rate\": 0.03, \"clf__estimator__max_depth\": 3, \"clf__estimator__n_estimators\": 450, \"clf__estimator__subsample\": 0.85}": 3, "{\"clf__estimator__colsample_bytree\": 0.85, \"clf__estimator__learning_rate\": 0.03, \"clf__estimator__max_depth\": 5, \"clf__estimator__n_estimators\": 250, \"clf__estimator__subsample\": 0.85}": 5, "{\"clf__estimator__colsample_bytree\": 0.85, \"clf__estimator__learning_rate\": 0.03, \"clf__estimator__max_depth\": 5, \"clf__estimator__n_estimators\": 450, \"clf__estimator__subsample\": 0.85}": 5, "{\"clf__estimator__colsample_bytree\": 0.85, \"clf__estimator__learning_rate\": 0.08, \"clf__estimator__max_depth\": 3, \"clf__estimator__n_estimators\": 250, \"clf__estimator__subsample\": 0.85}": 5, "{\"clf__estimator__colsample_bytree\": 0.85, \"clf__estimator__learning_rate\": 0.08, \"clf__estimator__max_depth\": 3, \"clf__estimator__n_estimators\": 450, \"clf__estimator__subsample\": 0.85}": 2, "{\"clf__estimator__colsample_bytree\": 0.85, \"clf__estimator__learning_rate\": 0.08, \"clf__estimator__max_depth\": 5, \"clf__estimator__n_estimators\": 250, \"clf__estimator__subsample\": 0.85}": 7, "{\"clf__estimator__colsample_bytree\": 0.85, \"clf__estimator__learning_rate\": 0.08, \"clf__estimator__max_depth\": 5, \"clf__estimator__n_estimators\": 450, \"clf__estimator__subsample\": 0.85}": 7}</t>
  </si>
  <si>
    <t>[[34, 48, 21], [44, 72, 32], [27, 48, 6]]</t>
  </si>
  <si>
    <t>nested__physiological_features__arousal__ternary__xgboost__aggregated__hc__emognition_features_w60_o30</t>
  </si>
  <si>
    <t>{"{\"clf__estimator__colsample_bytree\": 0.85, \"clf__estimator__learning_rate\": 0.03, \"clf__estimator__max_depth\": 3, \"clf__estimator__n_estimators\": 250, \"clf__estimator__subsample\": 0.85}": 4, "{\"clf__estimator__colsample_bytree\": 0.85, \"clf__estimator__learning_rate\": 0.03, \"clf__estimator__max_depth\": 3, \"clf__estimator__n_estimators\": 450, \"clf__estimator__subsample\": 0.85}": 1, "{\"clf__estimator__colsample_bytree\": 0.85, \"clf__estimator__learning_rate\": 0.03, \"clf__estimator__max_depth\": 5, \"clf__estimator__n_estimators\": 250, \"clf__estimator__subsample\": 0.85}": 2, "{\"clf__estimator__colsample_bytree\": 0.85, \"clf__estimator__learning_rate\": 0.03, \"clf__estimator__max_depth\": 5, \"clf__estimator__n_estimators\": 450, \"clf__estimator__subsample\": 0.85}": 5, "{\"clf__estimator__colsample_bytree\": 0.85, \"clf__estimator__learning_rate\": 0.08, \"clf__estimator__max_depth\": 3, \"clf__estimator__n_estimators\": 250, \"clf__estimator__subsample\": 0.85}": 6, "{\"clf__estimator__colsample_bytree\": 0.85, \"clf__estimator__learning_rate\": 0.08, \"clf__estimator__max_depth\": 3, \"clf__estimator__n_estimators\": 450, \"clf__estimator__subsample\": 0.85}": 8, "{\"clf__estimator__colsample_bytree\": 0.85, \"clf__estimator__learning_rate\": 0.08, \"clf__estimator__max_depth\": 5, \"clf__estimator__n_estimators\": 250, \"clf__estimator__subsample\": 0.85}": 7, "{\"clf__estimator__colsample_bytree\": 0.85, \"clf__estimator__learning_rate\": 0.08, \"clf__estimator__max_depth\": 5, \"clf__estimator__n_estimators\": 450, \"clf__estimator__subsample\": 0.85}": 9}</t>
  </si>
  <si>
    <t>[[31, 55, 17], [33, 77, 38], [16, 54, 11]]</t>
  </si>
  <si>
    <t>nested__physiological_features__arousal__ternary__xgboost__aggregated__nvg__emognition_features_w60_o30</t>
  </si>
  <si>
    <t>{"{\"clf__estimator__colsample_bytree\": 0.85, \"clf__estimator__learning_rate\": 0.03, \"clf__estimator__max_depth\": 3, \"clf__estimator__n_estimators\": 250, \"clf__estimator__subsample\": 0.85}": 3, "{\"clf__estimator__colsample_bytree\": 0.85, \"clf__estimator__learning_rate\": 0.03, \"clf__estimator__max_depth\": 3, \"clf__estimator__n_estimators\": 450, \"clf__estimator__subsample\": 0.85}": 5, "{\"clf__estimator__colsample_bytree\": 0.85, \"clf__estimator__learning_rate\": 0.03, \"clf__estimator__max_depth\": 5, \"clf__estimator__n_estimators\": 250, \"clf__estimator__subsample\": 0.85}": 5, "{\"clf__estimator__colsample_bytree\": 0.85, \"clf__estimator__learning_rate\": 0.03, \"clf__estimator__max_depth\": 5, \"clf__estimator__n_estimators\": 450, \"clf__estimator__subsample\": 0.85}": 4, "{\"clf__estimator__colsample_bytree\": 0.85, \"clf__estimator__learning_rate\": 0.08, \"clf__estimator__max_depth\": 3, \"clf__estimator__n_estimators\": 250, \"clf__estimator__subsample\": 0.85}": 10, "{\"clf__estimator__colsample_bytree\": 0.85, \"clf__estimator__learning_rate\": 0.08, \"clf__estimator__max_depth\": 3, \"clf__estimator__n_estimators\": 450, \"clf__estimator__subsample\": 0.85}": 6, "{\"clf__estimator__colsample_bytree\": 0.85, \"clf__estimator__learning_rate\": 0.08, \"clf__estimator__max_depth\": 5, \"clf__estimator__n_estimators\": 250, \"clf__estimator__subsample\": 0.85}": 4, "{\"clf__estimator__colsample_bytree\": 0.85, \"clf__estimator__learning_rate\": 0.08, \"clf__estimator__max_depth\": 5, \"clf__estimator__n_estimators\": 450, \"clf__estimator__subsample\": 0.85}": 5}</t>
  </si>
  <si>
    <t>[[36, 51, 16], [44, 77, 27], [21, 39, 21]]</t>
  </si>
  <si>
    <t>nested__physiological_features__arousal__ternary__xgboost__aggregated__hvg__emognition_features_w60_o30</t>
  </si>
  <si>
    <t>{"{\"clf__estimator__colsample_bytree\": 0.85, \"clf__estimator__learning_rate\": 0.03, \"clf__estimator__max_depth\": 3, \"clf__estimator__n_estimators\": 250, \"clf__estimator__subsample\": 0.85}": 2, "{\"clf__estimator__colsample_bytree\": 0.85, \"clf__estimator__learning_rate\": 0.03, \"clf__estimator__max_depth\": 3, \"clf__estimator__n_estimators\": 450, \"clf__estimator__subsample\": 0.85}": 8, "{\"clf__estimator__colsample_bytree\": 0.85, \"clf__estimator__learning_rate\": 0.03, \"clf__estimator__max_depth\": 5, \"clf__estimator__n_estimators\": 250, \"clf__estimator__subsample\": 0.85}": 6, "{\"clf__estimator__colsample_bytree\": 0.85, \"clf__estimator__learning_rate\": 0.03, \"clf__estimator__max_depth\": 5, \"clf__estimator__n_estimators\": 450, \"clf__estimator__subsample\": 0.85}": 6, "{\"clf__estimator__colsample_bytree\": 0.85, \"clf__estimator__learning_rate\": 0.08, \"clf__estimator__max_depth\": 3, \"clf__estimator__n_estimators\": 250, \"clf__estimator__subsample\": 0.85}": 5, "{\"clf__estimator__colsample_bytree\": 0.85, \"clf__estimator__learning_rate\": 0.08, \"clf__estimator__max_depth\": 3, \"clf__estimator__n_estimators\": 450, \"clf__estimator__subsample\": 0.85}": 6, "{\"clf__estimator__colsample_bytree\": 0.85, \"clf__estimator__learning_rate\": 0.08, \"clf__estimator__max_depth\": 5, \"clf__estimator__n_estimators\": 250, \"clf__estimator__subsample\": 0.85}": 4, "{\"clf__estimator__colsample_bytree\": 0.85, \"clf__estimator__learning_rate\": 0.08, \"clf__estimator__max_depth\": 5, \"clf__estimator__n_estimators\": 450, \"clf__estimator__subsample\": 0.85}": 5}</t>
  </si>
  <si>
    <t>{"clf__estimator__colsample_bytree": 0.85, "clf__estimator__learning_rate": 0.03, "clf__estimator__max_depth": 3, "clf__estimator__n_estimators": 450, "clf__estimator__subsample": 0.85}</t>
  </si>
  <si>
    <t>[[36, 47, 20], [39, 78, 31], [27, 40, 14]]</t>
  </si>
  <si>
    <t>nested__physiological_features__arousal__ternary__xgboost__aggregated__hc+nvg__emognition_features_w60_o30</t>
  </si>
  <si>
    <t>{"{\"clf__estimator__colsample_bytree\": 0.85, \"clf__estimator__learning_rate\": 0.03, \"clf__estimator__max_depth\": 3, \"clf__estimator__n_estimators\": 250, \"clf__estimator__subsample\": 0.85}": 8, "{\"clf__estimator__colsample_bytree\": 0.85, \"clf__estimator__learning_rate\": 0.03, \"clf__estimator__max_depth\": 3, \"clf__estimator__n_estimators\": 450, \"clf__estimator__subsample\": 0.85}": 1, "{\"clf__estimator__colsample_bytree\": 0.85, \"clf__estimator__learning_rate\": 0.03, \"clf__estimator__max_depth\": 5, \"clf__estimator__n_estimators\": 250, \"clf__estimator__subsample\": 0.85}": 7, "{\"clf__estimator__colsample_bytree\": 0.85, \"clf__estimator__learning_rate\": 0.03, \"clf__estimator__max_depth\": 5, \"clf__estimator__n_estimators\": 450, \"clf__estimator__subsample\": 0.85}": 4, "{\"clf__estimator__colsample_bytree\": 0.85, \"clf__estimator__learning_rate\": 0.08, \"clf__estimator__max_depth\": 3, \"clf__estimator__n_estimators\": 250, \"clf__estimator__subsample\": 0.85}": 8, "{\"clf__estimator__colsample_bytree\": 0.85, \"clf__estimator__learning_rate\": 0.08, \"clf__estimator__max_depth\": 3, \"clf__estimator__n_estimators\": 450, \"clf__estimator__subsample\": 0.85}": 3, "{\"clf__estimator__colsample_bytree\": 0.85, \"clf__estimator__learning_rate\": 0.08, \"clf__estimator__max_depth\": 5, \"clf__estimator__n_estimators\": 250, \"clf__estimator__subsample\": 0.85}": 6, "{\"clf__estimator__colsample_bytree\": 0.85, \"clf__estimator__learning_rate\": 0.08, \"clf__estimator__max_depth\": 5, \"clf__estimator__n_estimators\": 450, \"clf__estimator__subsample\": 0.85}": 5}</t>
  </si>
  <si>
    <t>[[26, 62, 15], [33, 80, 35], [23, 48, 10]]</t>
  </si>
  <si>
    <t>nested__physiological_features__arousal__ternary__xgboost__aggregated__hc+hvg__emognition_features_w60_o30</t>
  </si>
  <si>
    <t>{"{\"clf__estimator__colsample_bytree\": 0.85, \"clf__estimator__learning_rate\": 0.03, \"clf__estimator__max_depth\": 3, \"clf__estimator__n_estimators\": 250, \"clf__estimator__subsample\": 0.85}": 6, "{\"clf__estimator__colsample_bytree\": 0.85, \"clf__estimator__learning_rate\": 0.03, \"clf__estimator__max_depth\": 3, \"clf__estimator__n_estimators\": 450, \"clf__estimator__subsample\": 0.85}": 4, "{\"clf__estimator__colsample_bytree\": 0.85, \"clf__estimator__learning_rate\": 0.03, \"clf__estimator__max_depth\": 5, \"clf__estimator__n_estimators\": 250, \"clf__estimator__subsample\": 0.85}": 2, "{\"clf__estimator__colsample_bytree\": 0.85, \"clf__estimator__learning_rate\": 0.03, \"clf__estimator__max_depth\": 5, \"clf__estimator__n_estimators\": 450, \"clf__estimator__subsample\": 0.85}": 7, "{\"clf__estimator__colsample_bytree\": 0.85, \"clf__estimator__learning_rate\": 0.08, \"clf__estimator__max_depth\": 3, \"clf__estimator__n_estimators\": 250, \"clf__estimator__subsample\": 0.85}": 6, "{\"clf__estimator__colsample_bytree\": 0.85, \"clf__estimator__learning_rate\": 0.08, \"clf__estimator__max_depth\": 3, \"clf__estimator__n_estimators\": 450, \"clf__estimator__subsample\": 0.85}": 8, "{\"clf__estimator__colsample_bytree\": 0.85, \"clf__estimator__learning_rate\": 0.08, \"clf__estimator__max_depth\": 5, \"clf__estimator__n_estimators\": 250, \"clf__estimator__subsample\": 0.85}": 4, "{\"clf__estimator__colsample_bytree\": 0.85, \"clf__estimator__learning_rate\": 0.08, \"clf__estimator__max_depth\": 5, \"clf__estimator__n_estimators\": 450, \"clf__estimator__subsample\": 0.85}": 5}</t>
  </si>
  <si>
    <t>[[27, 57, 19], [34, 79, 35], [24, 46, 11]]</t>
  </si>
  <si>
    <t>nested__physiological_features__valence__regression__rf__windowed__hc__emognition_features_w60_o30</t>
  </si>
  <si>
    <t>{"{\"clf__max_depth\": 12, \"clf__max_features\": \"sqrt\", \"clf__min_samples_leaf\": 1, \"clf__n_estimators\": 300}": 12, "{\"clf__max_depth\": 12, \"clf__max_features\": \"sqrt\", \"clf__min_samples_leaf\": 3, \"clf__n_estimators\": 300}": 12, "{\"clf__max_depth\": null, \"clf__max_features\": \"sqrt\", \"clf__min_samples_leaf\": 1, \"clf__n_estimators\": 300}": 4, "{\"clf__max_depth\": null, \"clf__max_features\": \"sqrt\", \"clf__min_samples_leaf\": 3, \"clf__n_estimators\": 300}": 14}</t>
  </si>
  <si>
    <t>nested__physiological_features__valence__regression__rf__windowed__nvg__emognition_features_w60_o30</t>
  </si>
  <si>
    <t>{"{\"clf__max_depth\": 12, \"clf__max_features\": \"sqrt\", \"clf__min_samples_leaf\": 1, \"clf__n_estimators\": 300}": 6, "{\"clf__max_depth\": 12, \"clf__max_features\": \"sqrt\", \"clf__min_samples_leaf\": 3, \"clf__n_estimators\": 300}": 15, "{\"clf__max_depth\": null, \"clf__max_features\": \"sqrt\", \"clf__min_samples_leaf\": 1, \"clf__n_estimators\": 300}": 4, "{\"clf__max_depth\": null, \"clf__max_features\": \"sqrt\", \"clf__min_samples_leaf\": 3, \"clf__n_estimators\": 300}": 17}</t>
  </si>
  <si>
    <t>nested__physiological_features__valence__regression__rf__windowed__hvg__emognition_features_w60_o30</t>
  </si>
  <si>
    <t>{"{\"clf__max_depth\": 12, \"clf__max_features\": \"sqrt\", \"clf__min_samples_leaf\": 1, \"clf__n_estimators\": 300}": 12, "{\"clf__max_depth\": 12, \"clf__max_features\": \"sqrt\", \"clf__min_samples_leaf\": 3, \"clf__n_estimators\": 300}": 12, "{\"clf__max_depth\": null, \"clf__max_features\": \"sqrt\", \"clf__min_samples_leaf\": 1, \"clf__n_estimators\": 300}": 9, "{\"clf__max_depth\": null, \"clf__max_features\": \"sqrt\", \"clf__min_samples_leaf\": 3, \"clf__n_estimators\": 300}": 9}</t>
  </si>
  <si>
    <t>nested__physiological_features__valence__regression__rf__windowed__hc+nvg__emognition_features_w60_o30</t>
  </si>
  <si>
    <t>{"{\"clf__max_depth\": 12, \"clf__max_features\": \"sqrt\", \"clf__min_samples_leaf\": 1, \"clf__n_estimators\": 300}": 8, "{\"clf__max_depth\": 12, \"clf__max_features\": \"sqrt\", \"clf__min_samples_leaf\": 3, \"clf__n_estimators\": 300}": 17, "{\"clf__max_depth\": null, \"clf__max_features\": \"sqrt\", \"clf__min_samples_leaf\": 1, \"clf__n_estimators\": 300}": 13, "{\"clf__max_depth\": null, \"clf__max_features\": \"sqrt\", \"clf__min_samples_leaf\": 3, \"clf__n_estimators\": 300}": 4}</t>
  </si>
  <si>
    <t>nested__physiological_features__valence__regression__rf__windowed__hc+hvg__emognition_features_w60_o30</t>
  </si>
  <si>
    <t>{"{\"clf__max_depth\": 12, \"clf__max_features\": \"sqrt\", \"clf__min_samples_leaf\": 1, \"clf__n_estimators\": 300}": 6, "{\"clf__max_depth\": 12, \"clf__max_features\": \"sqrt\", \"clf__min_samples_leaf\": 3, \"clf__n_estimators\": 300}": 8, "{\"clf__max_depth\": null, \"clf__max_features\": \"sqrt\", \"clf__min_samples_leaf\": 1, \"clf__n_estimators\": 300}": 10, "{\"clf__max_depth\": null, \"clf__max_features\": \"sqrt\", \"clf__min_samples_leaf\": 3, \"clf__n_estimators\": 300}": 18}</t>
  </si>
  <si>
    <t>nested__physiological_features__valence__regression__rf__aggregated__hc__emognition_features_w60_o30</t>
  </si>
  <si>
    <t>{"{\"clf__max_depth\": 12, \"clf__max_features\": \"sqrt\", \"clf__min_samples_leaf\": 1, \"clf__n_estimators\": 300}": 3, "{\"clf__max_depth\": 12, \"clf__max_features\": \"sqrt\", \"clf__min_samples_leaf\": 3, \"clf__n_estimators\": 300}": 18, "{\"clf__max_depth\": null, \"clf__max_features\": \"sqrt\", \"clf__min_samples_leaf\": 1, \"clf__n_estimators\": 300}": 12, "{\"clf__max_depth\": null, \"clf__max_features\": \"sqrt\", \"clf__min_samples_leaf\": 3, \"clf__n_estimators\": 300}": 9}</t>
  </si>
  <si>
    <t>nested__physiological_features__valence__regression__rf__aggregated__nvg__emognition_features_w60_o30</t>
  </si>
  <si>
    <t>{"{\"clf__max_depth\": 12, \"clf__max_features\": \"sqrt\", \"clf__min_samples_leaf\": 1, \"clf__n_estimators\": 300}": 6, "{\"clf__max_depth\": 12, \"clf__max_features\": \"sqrt\", \"clf__min_samples_leaf\": 3, \"clf__n_estimators\": 300}": 17, "{\"clf__max_depth\": null, \"clf__max_features\": \"sqrt\", \"clf__min_samples_leaf\": 1, \"clf__n_estimators\": 300}": 7, "{\"clf__max_depth\": null, \"clf__max_features\": \"sqrt\", \"clf__min_samples_leaf\": 3, \"clf__n_estimators\": 300}": 12}</t>
  </si>
  <si>
    <t>nested__physiological_features__valence__regression__rf__aggregated__hvg__emognition_features_w60_o30</t>
  </si>
  <si>
    <t>{"{\"clf__max_depth\": 12, \"clf__max_features\": \"sqrt\", \"clf__min_samples_leaf\": 1, \"clf__n_estimators\": 300}": 14, "{\"clf__max_depth\": 12, \"clf__max_features\": \"sqrt\", \"clf__min_samples_leaf\": 3, \"clf__n_estimators\": 300}": 6, "{\"clf__max_depth\": null, \"clf__max_features\": \"sqrt\", \"clf__min_samples_leaf\": 1, \"clf__n_estimators\": 300}": 12, "{\"clf__max_depth\": null, \"clf__max_features\": \"sqrt\", \"clf__min_samples_leaf\": 3, \"clf__n_estimators\": 300}": 10}</t>
  </si>
  <si>
    <t>nested__physiological_features__valence__regression__rf__aggregated__hc+nvg__emognition_features_w60_o30</t>
  </si>
  <si>
    <t>{"{\"clf__max_depth\": 12, \"clf__max_features\": \"sqrt\", \"clf__min_samples_leaf\": 1, \"clf__n_estimators\": 300}": 5, "{\"clf__max_depth\": 12, \"clf__max_features\": \"sqrt\", \"clf__min_samples_leaf\": 3, \"clf__n_estimators\": 300}": 17, "{\"clf__max_depth\": null, \"clf__max_features\": \"sqrt\", \"clf__min_samples_leaf\": 1, \"clf__n_estimators\": 300}": 7, "{\"clf__max_depth\": null, \"clf__max_features\": \"sqrt\", \"clf__min_samples_leaf\": 3, \"clf__n_estimators\": 300}": 13}</t>
  </si>
  <si>
    <t>nested__physiological_features__valence__regression__rf__aggregated__hc+hvg__emognition_features_w60_o30</t>
  </si>
  <si>
    <t>{"{\"clf__max_depth\": 12, \"clf__max_features\": \"sqrt\", \"clf__min_samples_leaf\": 1, \"clf__n_estimators\": 300}": 16, "{\"clf__max_depth\": 12, \"clf__max_features\": \"sqrt\", \"clf__min_samples_leaf\": 3, \"clf__n_estimators\": 300}": 9, "{\"clf__max_depth\": null, \"clf__max_features\": \"sqrt\", \"clf__min_samples_leaf\": 1, \"clf__n_estimators\": 300}": 14, "{\"clf__max_depth\": null, \"clf__max_features\": \"sqrt\", \"clf__min_samples_leaf\": 3, \"clf__n_estimators\": 300}": 3}</t>
  </si>
  <si>
    <t>nested__physiological_features__arousal__regression__rf__windowed__hc__emognition_features_w60_o30</t>
  </si>
  <si>
    <t>{"{\"clf__max_depth\": 12, \"clf__max_features\": \"sqrt\", \"clf__min_samples_leaf\": 1, \"clf__n_estimators\": 300}": 10, "{\"clf__max_depth\": 12, \"clf__max_features\": \"sqrt\", \"clf__min_samples_leaf\": 3, \"clf__n_estimators\": 300}": 19, "{\"clf__max_depth\": null, \"clf__max_features\": \"sqrt\", \"clf__min_samples_leaf\": 1, \"clf__n_estimators\": 300}": 5, "{\"clf__max_depth\": null, \"clf__max_features\": \"sqrt\", \"clf__min_samples_leaf\": 3, \"clf__n_estimators\": 300}": 8}</t>
  </si>
  <si>
    <t>nested__physiological_features__arousal__regression__rf__windowed__nvg__emognition_features_w60_o30</t>
  </si>
  <si>
    <t>{"{\"clf__max_depth\": 12, \"clf__max_features\": \"sqrt\", \"clf__min_samples_leaf\": 1, \"clf__n_estimators\": 300}": 5, "{\"clf__max_depth\": 12, \"clf__max_features\": \"sqrt\", \"clf__min_samples_leaf\": 3, \"clf__n_estimators\": 300}": 11, "{\"clf__max_depth\": null, \"clf__max_features\": \"sqrt\", \"clf__min_samples_leaf\": 1, \"clf__n_estimators\": 300}": 7, "{\"clf__max_depth\": null, \"clf__max_features\": \"sqrt\", \"clf__min_samples_leaf\": 3, \"clf__n_estimators\": 300}": 19}</t>
  </si>
  <si>
    <t>nested__physiological_features__arousal__regression__rf__windowed__hvg__emognition_features_w60_o30</t>
  </si>
  <si>
    <t>{"{\"clf__max_depth\": 12, \"clf__max_features\": \"sqrt\", \"clf__min_samples_leaf\": 1, \"clf__n_estimators\": 300}": 11, "{\"clf__max_depth\": 12, \"clf__max_features\": \"sqrt\", \"clf__min_samples_leaf\": 3, \"clf__n_estimators\": 300}": 15, "{\"clf__max_depth\": null, \"clf__max_features\": \"sqrt\", \"clf__min_samples_leaf\": 1, \"clf__n_estimators\": 300}": 5, "{\"clf__max_depth\": null, \"clf__max_features\": \"sqrt\", \"clf__min_samples_leaf\": 3, \"clf__n_estimators\": 300}": 11}</t>
  </si>
  <si>
    <t>nested__physiological_features__arousal__regression__rf__windowed__hc+nvg__emognition_features_w60_o30</t>
  </si>
  <si>
    <t>{"{\"clf__max_depth\": 12, \"clf__max_features\": \"sqrt\", \"clf__min_samples_leaf\": 1, \"clf__n_estimators\": 300}": 6, "{\"clf__max_depth\": 12, \"clf__max_features\": \"sqrt\", \"clf__min_samples_leaf\": 3, \"clf__n_estimators\": 300}": 9, "{\"clf__max_depth\": null, \"clf__max_features\": \"sqrt\", \"clf__min_samples_leaf\": 1, \"clf__n_estimators\": 300}": 16, "{\"clf__max_depth\": null, \"clf__max_features\": \"sqrt\", \"clf__min_samples_leaf\": 3, \"clf__n_estimators\": 300}": 11}</t>
  </si>
  <si>
    <t>nested__physiological_features__arousal__regression__rf__windowed__hc+hvg__emognition_features_w60_o30</t>
  </si>
  <si>
    <t>{"{\"clf__max_depth\": 12, \"clf__max_features\": \"sqrt\", \"clf__min_samples_leaf\": 1, \"clf__n_estimators\": 300}": 9, "{\"clf__max_depth\": 12, \"clf__max_features\": \"sqrt\", \"clf__min_samples_leaf\": 3, \"clf__n_estimators\": 300}": 15, "{\"clf__max_depth\": null, \"clf__max_features\": \"sqrt\", \"clf__min_samples_leaf\": 1, \"clf__n_estimators\": 300}": 9, "{\"clf__max_depth\": null, \"clf__max_features\": \"sqrt\", \"clf__min_samples_leaf\": 3, \"clf__n_estimators\": 300}": 9}</t>
  </si>
  <si>
    <t>nested__physiological_features__arousal__regression__rf__aggregated__hc__emognition_features_w60_o30</t>
  </si>
  <si>
    <t>{"{\"clf__max_depth\": 12, \"clf__max_features\": \"sqrt\", \"clf__min_samples_leaf\": 1, \"clf__n_estimators\": 300}": 11, "{\"clf__max_depth\": 12, \"clf__max_features\": \"sqrt\", \"clf__min_samples_leaf\": 3, \"clf__n_estimators\": 300}": 17, "{\"clf__max_depth\": null, \"clf__max_features\": \"sqrt\", \"clf__min_samples_leaf\": 1, \"clf__n_estimators\": 300}": 4, "{\"clf__max_depth\": null, \"clf__max_features\": \"sqrt\", \"clf__min_samples_leaf\": 3, \"clf__n_estimators\": 300}": 10}</t>
  </si>
  <si>
    <t>nested__physiological_features__arousal__regression__rf__aggregated__nvg__emognition_features_w60_o30</t>
  </si>
  <si>
    <t>{"{\"clf__max_depth\": 12, \"clf__max_features\": \"sqrt\", \"clf__min_samples_leaf\": 1, \"clf__n_estimators\": 300}": 13, "{\"clf__max_depth\": 12, \"clf__max_features\": \"sqrt\", \"clf__min_samples_leaf\": 3, \"clf__n_estimators\": 300}": 8, "{\"clf__max_depth\": null, \"clf__max_features\": \"sqrt\", \"clf__min_samples_leaf\": 1, \"clf__n_estimators\": 300}": 13, "{\"clf__max_depth\": null, \"clf__max_features\": \"sqrt\", \"clf__min_samples_leaf\": 3, \"clf__n_estimators\": 300}": 8}</t>
  </si>
  <si>
    <t>nested__physiological_features__arousal__regression__rf__aggregated__hvg__emognition_features_w60_o30</t>
  </si>
  <si>
    <t>{"{\"clf__max_depth\": 12, \"clf__max_features\": \"sqrt\", \"clf__min_samples_leaf\": 1, \"clf__n_estimators\": 300}": 11, "{\"clf__max_depth\": 12, \"clf__max_features\": \"sqrt\", \"clf__min_samples_leaf\": 3, \"clf__n_estimators\": 300}": 6, "{\"clf__max_depth\": null, \"clf__max_features\": \"sqrt\", \"clf__min_samples_leaf\": 1, \"clf__n_estimators\": 300}": 14, "{\"clf__max_depth\": null, \"clf__max_features\": \"sqrt\", \"clf__min_samples_leaf\": 3, \"clf__n_estimators\": 300}": 11}</t>
  </si>
  <si>
    <t>nested__physiological_features__arousal__regression__rf__aggregated__hc+nvg__emognition_features_w60_o30</t>
  </si>
  <si>
    <t>{"{\"clf__max_depth\": 12, \"clf__max_features\": \"sqrt\", \"clf__min_samples_leaf\": 1, \"clf__n_estimators\": 300}": 13, "{\"clf__max_depth\": 12, \"clf__max_features\": \"sqrt\", \"clf__min_samples_leaf\": 3, \"clf__n_estimators\": 300}": 11, "{\"clf__max_depth\": null, \"clf__max_features\": \"sqrt\", \"clf__min_samples_leaf\": 1, \"clf__n_estimators\": 300}": 15, "{\"clf__max_depth\": null, \"clf__max_features\": \"sqrt\", \"clf__min_samples_leaf\": 3, \"clf__n_estimators\": 300}": 3}</t>
  </si>
  <si>
    <t>nested__physiological_features__arousal__regression__rf__aggregated__hc+hvg__emognition_features_w60_o30</t>
  </si>
  <si>
    <t>{"{\"clf__max_depth\": 12, \"clf__max_features\": \"sqrt\", \"clf__min_samples_leaf\": 1, \"clf__n_estimators\": 300}": 6, "{\"clf__max_depth\": 12, \"clf__max_features\": \"sqrt\", \"clf__min_samples_leaf\": 3, \"clf__n_estimators\": 300}": 14, "{\"clf__max_depth\": null, \"clf__max_features\": \"sqrt\", \"clf__min_samples_leaf\": 1, \"clf__n_estimators\": 300}": 7, "{\"clf__max_depth\": null, \"clf__max_features\": \"sqrt\", \"clf__min_samples_leaf\": 3, \"clf__n_estimators\": 300}": 15}</t>
  </si>
  <si>
    <t>recall/rmse</t>
  </si>
  <si>
    <t>Avg</t>
  </si>
  <si>
    <t>nested__physiological_features__valence__regression__gcn__windowed__hc__emognition_features_w60_o30</t>
  </si>
  <si>
    <t>nested__physiological_features__valence__regression__gcn__windowed__nvg__emognition_features_w60_o30</t>
  </si>
  <si>
    <t>nested__physiological_features__valence__regression__gcn__windowed__hvg__emognition_features_w60_o30</t>
  </si>
  <si>
    <t>{"{\"clf__dropout\": 0.2, \"clf__hidden_channels\": 32, \"clf__learning_rate\": 0.0003, \"clf__weight_decay\": 0.0}": 1, "{\"clf__dropout\": 0.2, \"clf__hidden_channels\": 32, \"clf__learning_rate\": 0.001, \"clf__weight_decay\": 0.0}": 41}</t>
  </si>
  <si>
    <t>nested__physiological_features__valence__regression__gcn__windowed__hc+nvg__emognition_features_w60_o30</t>
  </si>
  <si>
    <t>nested__physiological_features__valence__regression__gcn__windowed__hc+hvg__emognition_features_w60_o30</t>
  </si>
  <si>
    <t>nested__physiological_features__valence__regression__gcn__aggregated__hc__emognition_features_w60_o30</t>
  </si>
  <si>
    <t>nested__physiological_features__valence__regression__gcn__aggregated__nvg__emognition_features_w60_o30</t>
  </si>
  <si>
    <t>nested__physiological_features__valence__regression__gcn__aggregated__hvg__emognition_features_w60_o30</t>
  </si>
  <si>
    <t>nested__physiological_features__valence__regression__gcn__aggregated__hc+nvg__emognition_features_w60_o30</t>
  </si>
  <si>
    <t>nested__physiological_features__valence__regression__gcn__aggregated__hc+hvg__emognition_features_w60_o30</t>
  </si>
  <si>
    <t>nested__physiological_features__arousal__regression__gcn__windowed__hc__emognition_features_w60_o30</t>
  </si>
  <si>
    <t>{"{\"clf__dropout\": 0.2, \"clf__hidden_channels\": 32, \"clf__learning_rate\": 0.0003, \"clf__weight_decay\": 0.0}": 12, "{\"clf__dropout\": 0.2, \"clf__hidden_channels\": 32, \"clf__learning_rate\": 0.001, \"clf__weight_decay\": 0.0}": 30}</t>
  </si>
  <si>
    <t>nested__physiological_features__arousal__regression__gcn__windowed__nvg__emognition_features_w60_o30</t>
  </si>
  <si>
    <t>{"{\"clf__dropout\": 0.2, \"clf__hidden_channels\": 32, \"clf__learning_rate\": 0.0003, \"clf__weight_decay\": 0.0}": 9, "{\"clf__dropout\": 0.2, \"clf__hidden_channels\": 32, \"clf__learning_rate\": 0.001, \"clf__weight_decay\": 0.0}": 33}</t>
  </si>
  <si>
    <t>nested__physiological_features__arousal__regression__gcn__windowed__hvg__emognition_features_w60_o30</t>
  </si>
  <si>
    <t>{"{\"clf__dropout\": 0.2, \"clf__hidden_channels\": 32, \"clf__learning_rate\": 0.0003, \"clf__weight_decay\": 0.0}": 14, "{\"clf__dropout\": 0.2, \"clf__hidden_channels\": 32, \"clf__learning_rate\": 0.001, \"clf__weight_decay\": 0.0}": 28}</t>
  </si>
  <si>
    <t>nested__physiological_features__arousal__regression__gcn__windowed__hc+nvg__emognition_features_w60_o30</t>
  </si>
  <si>
    <t>{"{\"clf__dropout\": 0.2, \"clf__hidden_channels\": 32, \"clf__learning_rate\": 0.0003, \"clf__weight_decay\": 0.0}": 10, "{\"clf__dropout\": 0.2, \"clf__hidden_channels\": 32, \"clf__learning_rate\": 0.001, \"clf__weight_decay\": 0.0}": 32}</t>
  </si>
  <si>
    <t>nested__physiological_features__arousal__regression__gcn__windowed__hc+hvg__emognition_features_w60_o30</t>
  </si>
  <si>
    <t>nested__physiological_features__arousal__regression__gcn__aggregated__hc__emognition_features_w60_o30</t>
  </si>
  <si>
    <t>nested__physiological_features__arousal__regression__gcn__aggregated__nvg__emognition_features_w60_o30</t>
  </si>
  <si>
    <t>nested__physiological_features__arousal__regression__gcn__aggregated__hvg__emognition_features_w60_o30</t>
  </si>
  <si>
    <t>nested__physiological_features__arousal__regression__gcn__aggregated__hc+nvg__emognition_features_w60_o30</t>
  </si>
  <si>
    <t>nested__physiological_features__arousal__regression__gcn__aggregated__hc+hvg__emognition_features_w60_o30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</si>
</sst>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0" fontId="0" fillId="0" borderId="2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/>
    <xf numFmtId="0" fontId="0" fillId="0" borderId="11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1" fontId="0" fillId="0" borderId="0" xfId="0" applyNumberFormat="1"/>
    <xf numFmtId="0" fontId="0" fillId="0" borderId="12" xfId="0" applyBorder="1" applyAlignment="1">
      <alignment horizontal="center" vertical="center"/>
    </xf>
    <xf numFmtId="10" fontId="0" fillId="0" borderId="13" xfId="1" applyNumberFormat="1" applyFont="1" applyBorder="1" applyAlignment="1">
      <alignment horizontal="center" vertical="center"/>
    </xf>
    <xf numFmtId="10" fontId="0" fillId="0" borderId="14" xfId="1" applyNumberFormat="1" applyFont="1" applyBorder="1" applyAlignment="1">
      <alignment horizontal="center" vertical="center"/>
    </xf>
    <xf numFmtId="10" fontId="0" fillId="0" borderId="15" xfId="1" applyNumberFormat="1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10" fontId="0" fillId="0" borderId="10" xfId="1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numFmt numFmtId="164" formatCode="0.000"/>
    </dxf>
    <dxf>
      <font>
        <color theme="0" tint="-0.34998626667073579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fmlaLink="C2" fmlaRange="$BQ$2:$BQ$10" noThreeD="1" sel="1" val="0"/>
</file>

<file path=xl/ctrlProps/ctrlProp2.xml><?xml version="1.0" encoding="utf-8"?>
<formControlPr xmlns="http://schemas.microsoft.com/office/spreadsheetml/2009/9/main" objectType="Drop" dropLines="2" dropStyle="combo" dx="22" fmlaLink="C4" fmlaRange="$BS$2:$BS$3" noThreeD="1" sel="2" val="0"/>
</file>

<file path=xl/ctrlProps/ctrlProp3.xml><?xml version="1.0" encoding="utf-8"?>
<formControlPr xmlns="http://schemas.microsoft.com/office/spreadsheetml/2009/9/main" objectType="Drop" dropLines="2" dropStyle="combo" dx="22" fmlaLink="C6" fmlaRange="$BU$2:$BU$3" noThreeD="1" sel="2" val="0"/>
</file>

<file path=xl/ctrlProps/ctrlProp4.xml><?xml version="1.0" encoding="utf-8"?>
<formControlPr xmlns="http://schemas.microsoft.com/office/spreadsheetml/2009/9/main" objectType="Drop" dropLines="2" dropStyle="combo" dx="22" fmlaLink="$C$8" fmlaRange="$BW$2:$BW$3" noThreeD="1" sel="2" val="0"/>
</file>

<file path=xl/ctrlProps/ctrlProp5.xml><?xml version="1.0" encoding="utf-8"?>
<formControlPr xmlns="http://schemas.microsoft.com/office/spreadsheetml/2009/9/main" objectType="Drop" dropLines="10" dropStyle="combo" dx="22" fmlaLink="$C$10" fmlaRange="$BY$2:$BY$6" noThreeD="1" sel="2" val="0"/>
</file>

<file path=xl/ctrlProps/ctrlProp6.xml><?xml version="1.0" encoding="utf-8"?>
<formControlPr xmlns="http://schemas.microsoft.com/office/spreadsheetml/2009/9/main" objectType="Drop" dropLines="10" dropStyle="combo" dx="22" fmlaLink="$C$12" fmlaRange="$CA$2:$CA$4" noThreeD="1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7620</xdr:colOff>
          <xdr:row>1</xdr:row>
          <xdr:rowOff>7620</xdr:rowOff>
        </xdr:from>
        <xdr:to>
          <xdr:col>5</xdr:col>
          <xdr:colOff>609600</xdr:colOff>
          <xdr:row>2</xdr:row>
          <xdr:rowOff>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7620</xdr:colOff>
          <xdr:row>3</xdr:row>
          <xdr:rowOff>7620</xdr:rowOff>
        </xdr:from>
        <xdr:to>
          <xdr:col>5</xdr:col>
          <xdr:colOff>609600</xdr:colOff>
          <xdr:row>4</xdr:row>
          <xdr:rowOff>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7620</xdr:colOff>
          <xdr:row>5</xdr:row>
          <xdr:rowOff>7620</xdr:rowOff>
        </xdr:from>
        <xdr:to>
          <xdr:col>5</xdr:col>
          <xdr:colOff>601980</xdr:colOff>
          <xdr:row>6</xdr:row>
          <xdr:rowOff>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7620</xdr:colOff>
          <xdr:row>7</xdr:row>
          <xdr:rowOff>7620</xdr:rowOff>
        </xdr:from>
        <xdr:to>
          <xdr:col>5</xdr:col>
          <xdr:colOff>601980</xdr:colOff>
          <xdr:row>8</xdr:row>
          <xdr:rowOff>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7620</xdr:colOff>
          <xdr:row>9</xdr:row>
          <xdr:rowOff>7620</xdr:rowOff>
        </xdr:from>
        <xdr:to>
          <xdr:col>5</xdr:col>
          <xdr:colOff>601980</xdr:colOff>
          <xdr:row>10</xdr:row>
          <xdr:rowOff>0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7620</xdr:colOff>
          <xdr:row>11</xdr:row>
          <xdr:rowOff>7620</xdr:rowOff>
        </xdr:from>
        <xdr:to>
          <xdr:col>5</xdr:col>
          <xdr:colOff>601980</xdr:colOff>
          <xdr:row>12</xdr:row>
          <xdr:rowOff>0</xdr:rowOff>
        </xdr:to>
        <xdr:sp macro="" textlink="">
          <xdr:nvSpPr>
            <xdr:cNvPr id="2055" name="Drop Dow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070E-B702-4F8C-BFEE-B3EDE451ACAF}">
  <dimension ref="A1:BK440"/>
  <sheetViews>
    <sheetView topLeftCell="A397" workbookViewId="0">
      <selection activeCell="A420" sqref="A420:XFD440"/>
    </sheetView>
  </sheetViews>
  <sheetFormatPr defaultRowHeight="14.4" x14ac:dyDescent="0.3"/>
  <cols>
    <col min="1" max="1" width="93.6640625" bestFit="1" customWidth="1"/>
  </cols>
  <sheetData>
    <row r="1" spans="1:63" x14ac:dyDescent="0.3">
      <c r="A1" t="s">
        <v>0</v>
      </c>
      <c r="B1" t="s">
        <v>69</v>
      </c>
      <c r="C1" t="s">
        <v>2</v>
      </c>
      <c r="D1" t="s">
        <v>70</v>
      </c>
      <c r="E1" t="s">
        <v>71</v>
      </c>
      <c r="F1" t="s">
        <v>72</v>
      </c>
      <c r="G1" t="s">
        <v>1</v>
      </c>
      <c r="H1" t="s">
        <v>3</v>
      </c>
      <c r="I1" t="s">
        <v>4</v>
      </c>
      <c r="J1" t="s">
        <v>5</v>
      </c>
      <c r="K1" t="s">
        <v>73</v>
      </c>
      <c r="L1" t="s">
        <v>74</v>
      </c>
      <c r="M1" t="s">
        <v>75</v>
      </c>
      <c r="N1" t="s">
        <v>6</v>
      </c>
      <c r="O1" t="s">
        <v>7</v>
      </c>
      <c r="P1" t="s">
        <v>8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9</v>
      </c>
      <c r="Y1" t="s">
        <v>83</v>
      </c>
      <c r="Z1" t="s">
        <v>84</v>
      </c>
      <c r="AA1" t="s">
        <v>85</v>
      </c>
      <c r="AB1" t="s">
        <v>10</v>
      </c>
      <c r="AC1" t="s">
        <v>86</v>
      </c>
      <c r="AD1" t="s">
        <v>11</v>
      </c>
      <c r="AE1" t="s">
        <v>87</v>
      </c>
      <c r="AF1" t="s">
        <v>88</v>
      </c>
      <c r="AG1" t="s">
        <v>89</v>
      </c>
      <c r="AH1" t="s">
        <v>90</v>
      </c>
      <c r="AI1" t="s">
        <v>12</v>
      </c>
      <c r="AJ1" t="s">
        <v>91</v>
      </c>
      <c r="AK1" t="s">
        <v>17</v>
      </c>
      <c r="AL1" t="s">
        <v>18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13</v>
      </c>
      <c r="AV1" t="s">
        <v>14</v>
      </c>
      <c r="AW1" t="s">
        <v>15</v>
      </c>
      <c r="AX1" t="s">
        <v>16</v>
      </c>
      <c r="AY1" t="s">
        <v>19</v>
      </c>
      <c r="AZ1" t="s">
        <v>20</v>
      </c>
      <c r="BA1" t="s">
        <v>21</v>
      </c>
      <c r="BB1" t="s">
        <v>100</v>
      </c>
      <c r="BC1" t="s">
        <v>101</v>
      </c>
      <c r="BD1" t="s">
        <v>102</v>
      </c>
      <c r="BE1" t="s">
        <v>103</v>
      </c>
      <c r="BF1" t="s">
        <v>22</v>
      </c>
      <c r="BG1" t="s">
        <v>23</v>
      </c>
      <c r="BH1" t="s">
        <v>104</v>
      </c>
      <c r="BI1" t="s">
        <v>105</v>
      </c>
      <c r="BJ1" t="s">
        <v>106</v>
      </c>
      <c r="BK1" t="s">
        <v>107</v>
      </c>
    </row>
    <row r="2" spans="1:63" x14ac:dyDescent="0.3">
      <c r="A2" t="s">
        <v>108</v>
      </c>
      <c r="B2" t="s">
        <v>109</v>
      </c>
      <c r="C2" t="s">
        <v>25</v>
      </c>
      <c r="D2" t="s">
        <v>66</v>
      </c>
      <c r="E2" t="s">
        <v>110</v>
      </c>
      <c r="F2">
        <v>0</v>
      </c>
      <c r="G2" t="s">
        <v>24</v>
      </c>
      <c r="H2" t="s">
        <v>26</v>
      </c>
      <c r="I2" t="s">
        <v>27</v>
      </c>
      <c r="J2" t="s">
        <v>30</v>
      </c>
      <c r="K2" t="s">
        <v>111</v>
      </c>
      <c r="L2">
        <v>10</v>
      </c>
      <c r="M2">
        <v>304</v>
      </c>
      <c r="N2">
        <v>42</v>
      </c>
      <c r="O2">
        <v>42</v>
      </c>
      <c r="P2" t="b">
        <v>1</v>
      </c>
      <c r="Q2" t="s">
        <v>112</v>
      </c>
      <c r="R2">
        <v>0.47142511476135102</v>
      </c>
      <c r="S2">
        <v>42</v>
      </c>
      <c r="T2">
        <v>0</v>
      </c>
      <c r="U2" t="s">
        <v>113</v>
      </c>
      <c r="V2" t="s">
        <v>114</v>
      </c>
      <c r="W2">
        <v>0.35714285714285698</v>
      </c>
      <c r="X2" t="b">
        <v>0</v>
      </c>
      <c r="Y2">
        <v>5.8496912978589499</v>
      </c>
      <c r="Z2">
        <v>0.37499829940497797</v>
      </c>
      <c r="AA2">
        <v>680.89589300006605</v>
      </c>
      <c r="AB2">
        <v>304</v>
      </c>
      <c r="AC2">
        <v>2</v>
      </c>
      <c r="AD2">
        <v>0.47039473684210498</v>
      </c>
      <c r="AE2">
        <v>0.47099303135888498</v>
      </c>
      <c r="AF2">
        <v>0.47116258930504401</v>
      </c>
      <c r="AG2">
        <v>0.47099303135888498</v>
      </c>
      <c r="AH2">
        <v>0.46993014566524</v>
      </c>
      <c r="AI2">
        <v>-5.7844130824813302E-2</v>
      </c>
      <c r="AJ2" t="s">
        <v>115</v>
      </c>
      <c r="AK2">
        <v>0.47689459930313499</v>
      </c>
      <c r="AL2">
        <v>0.52855781002110802</v>
      </c>
      <c r="AM2">
        <v>140</v>
      </c>
      <c r="AN2">
        <v>0.43225806451612903</v>
      </c>
      <c r="AO2">
        <v>0.47857142857142798</v>
      </c>
      <c r="AP2">
        <v>0.454237288135593</v>
      </c>
      <c r="AQ2">
        <v>164</v>
      </c>
      <c r="AR2">
        <v>0.510067114093959</v>
      </c>
      <c r="AS2">
        <v>0.46341463414634099</v>
      </c>
      <c r="AT2">
        <v>0.48562300319488799</v>
      </c>
      <c r="AU2">
        <v>67</v>
      </c>
      <c r="AV2">
        <v>73</v>
      </c>
      <c r="AW2">
        <v>88</v>
      </c>
      <c r="AX2">
        <v>76</v>
      </c>
      <c r="AY2">
        <v>1000</v>
      </c>
      <c r="AZ2">
        <v>0.41209764702209301</v>
      </c>
      <c r="BA2">
        <v>0.52921951302224601</v>
      </c>
      <c r="BB2">
        <v>0.410248422665903</v>
      </c>
      <c r="BC2">
        <v>0.53075672589657696</v>
      </c>
      <c r="BD2">
        <v>0.40916975948598899</v>
      </c>
      <c r="BE2">
        <v>0.52779129298860905</v>
      </c>
      <c r="BF2">
        <v>-0.17847111562926701</v>
      </c>
      <c r="BG2">
        <v>6.1271943834285601E-2</v>
      </c>
      <c r="BH2">
        <v>1000</v>
      </c>
      <c r="BI2">
        <v>0.41027585932747002</v>
      </c>
      <c r="BJ2">
        <v>0.52986395594823199</v>
      </c>
      <c r="BK2">
        <v>8</v>
      </c>
    </row>
    <row r="3" spans="1:63" x14ac:dyDescent="0.3">
      <c r="A3" t="s">
        <v>116</v>
      </c>
      <c r="B3" t="s">
        <v>109</v>
      </c>
      <c r="C3" t="s">
        <v>25</v>
      </c>
      <c r="D3" t="s">
        <v>66</v>
      </c>
      <c r="E3" t="s">
        <v>117</v>
      </c>
      <c r="F3">
        <v>1</v>
      </c>
      <c r="G3" t="s">
        <v>24</v>
      </c>
      <c r="H3" t="s">
        <v>26</v>
      </c>
      <c r="I3" t="s">
        <v>32</v>
      </c>
      <c r="J3" t="s">
        <v>30</v>
      </c>
      <c r="K3" t="s">
        <v>111</v>
      </c>
      <c r="L3">
        <v>10</v>
      </c>
      <c r="M3">
        <v>304</v>
      </c>
      <c r="N3">
        <v>42</v>
      </c>
      <c r="O3">
        <v>42</v>
      </c>
      <c r="P3" t="b">
        <v>1</v>
      </c>
      <c r="Q3" t="s">
        <v>112</v>
      </c>
      <c r="R3">
        <v>0.533641668049333</v>
      </c>
      <c r="S3">
        <v>42</v>
      </c>
      <c r="T3">
        <v>0</v>
      </c>
      <c r="U3" t="s">
        <v>118</v>
      </c>
      <c r="V3" t="s">
        <v>119</v>
      </c>
      <c r="W3">
        <v>0.452380952380952</v>
      </c>
      <c r="X3" t="b">
        <v>0</v>
      </c>
      <c r="Y3">
        <v>6.0303092997055501</v>
      </c>
      <c r="Z3">
        <v>0.398831198923289</v>
      </c>
      <c r="AA3">
        <v>742.63453669985699</v>
      </c>
      <c r="AB3">
        <v>304</v>
      </c>
      <c r="AC3">
        <v>2</v>
      </c>
      <c r="AD3">
        <v>0.52631578947368396</v>
      </c>
      <c r="AE3">
        <v>0.52282229965156701</v>
      </c>
      <c r="AF3">
        <v>0.52287410511611598</v>
      </c>
      <c r="AG3">
        <v>0.52282229965156701</v>
      </c>
      <c r="AH3">
        <v>0.52282537606278601</v>
      </c>
      <c r="AI3">
        <v>4.5696375402059002E-2</v>
      </c>
      <c r="AJ3" t="s">
        <v>120</v>
      </c>
      <c r="AK3">
        <v>0.54272648083623698</v>
      </c>
      <c r="AL3">
        <v>0.60380213478950995</v>
      </c>
      <c r="AM3">
        <v>140</v>
      </c>
      <c r="AN3">
        <v>0.48550724637681097</v>
      </c>
      <c r="AO3">
        <v>0.47857142857142798</v>
      </c>
      <c r="AP3">
        <v>0.48201438848920802</v>
      </c>
      <c r="AQ3">
        <v>164</v>
      </c>
      <c r="AR3">
        <v>0.56024096385542099</v>
      </c>
      <c r="AS3">
        <v>0.56707317073170704</v>
      </c>
      <c r="AT3">
        <v>0.56363636363636305</v>
      </c>
      <c r="AU3">
        <v>67</v>
      </c>
      <c r="AV3">
        <v>73</v>
      </c>
      <c r="AW3">
        <v>71</v>
      </c>
      <c r="AX3">
        <v>93</v>
      </c>
      <c r="AY3">
        <v>1000</v>
      </c>
      <c r="AZ3">
        <v>0.46864686468646799</v>
      </c>
      <c r="BA3">
        <v>0.58118944961790597</v>
      </c>
      <c r="BB3">
        <v>0.46508352858920898</v>
      </c>
      <c r="BC3">
        <v>0.57727793863907795</v>
      </c>
      <c r="BD3">
        <v>0.46435661141046702</v>
      </c>
      <c r="BE3">
        <v>0.57677258010224597</v>
      </c>
      <c r="BF3">
        <v>-7.0042291022823597E-2</v>
      </c>
      <c r="BG3">
        <v>0.15506528879102199</v>
      </c>
      <c r="BH3">
        <v>1000</v>
      </c>
      <c r="BI3">
        <v>0.47585418344969499</v>
      </c>
      <c r="BJ3">
        <v>0.588876133786848</v>
      </c>
      <c r="BK3">
        <v>3</v>
      </c>
    </row>
    <row r="4" spans="1:63" x14ac:dyDescent="0.3">
      <c r="A4" t="s">
        <v>121</v>
      </c>
      <c r="B4" t="s">
        <v>109</v>
      </c>
      <c r="C4" t="s">
        <v>25</v>
      </c>
      <c r="D4" t="s">
        <v>66</v>
      </c>
      <c r="E4" t="s">
        <v>122</v>
      </c>
      <c r="F4">
        <v>2</v>
      </c>
      <c r="G4" t="s">
        <v>24</v>
      </c>
      <c r="H4" t="s">
        <v>26</v>
      </c>
      <c r="I4" t="s">
        <v>33</v>
      </c>
      <c r="J4" t="s">
        <v>30</v>
      </c>
      <c r="K4" t="s">
        <v>111</v>
      </c>
      <c r="L4">
        <v>10</v>
      </c>
      <c r="M4">
        <v>304</v>
      </c>
      <c r="N4">
        <v>42</v>
      </c>
      <c r="O4">
        <v>42</v>
      </c>
      <c r="P4" t="b">
        <v>1</v>
      </c>
      <c r="Q4" t="s">
        <v>112</v>
      </c>
      <c r="R4">
        <v>0.466868536032299</v>
      </c>
      <c r="S4">
        <v>42</v>
      </c>
      <c r="T4">
        <v>0</v>
      </c>
      <c r="U4" t="s">
        <v>123</v>
      </c>
      <c r="V4" t="s">
        <v>114</v>
      </c>
      <c r="W4">
        <v>0.42857142857142799</v>
      </c>
      <c r="X4" t="b">
        <v>0</v>
      </c>
      <c r="Y4">
        <v>6.1542986999265796</v>
      </c>
      <c r="Z4">
        <v>0.40243829973042</v>
      </c>
      <c r="AA4">
        <v>786.07024849997799</v>
      </c>
      <c r="AB4">
        <v>304</v>
      </c>
      <c r="AC4">
        <v>2</v>
      </c>
      <c r="AD4">
        <v>0.49342105263157798</v>
      </c>
      <c r="AE4">
        <v>0.48449477351916298</v>
      </c>
      <c r="AF4">
        <v>0.48377984326590101</v>
      </c>
      <c r="AG4">
        <v>0.48449477351916298</v>
      </c>
      <c r="AH4">
        <v>0.481550387596899</v>
      </c>
      <c r="AI4">
        <v>-3.1717326729525097E-2</v>
      </c>
      <c r="AJ4" t="s">
        <v>124</v>
      </c>
      <c r="AK4">
        <v>0.48834930313588798</v>
      </c>
      <c r="AL4">
        <v>0.54615283618199295</v>
      </c>
      <c r="AM4">
        <v>140</v>
      </c>
      <c r="AN4">
        <v>0.44067796610169402</v>
      </c>
      <c r="AO4">
        <v>0.371428571428571</v>
      </c>
      <c r="AP4">
        <v>0.403100775193798</v>
      </c>
      <c r="AQ4">
        <v>164</v>
      </c>
      <c r="AR4">
        <v>0.52688172043010695</v>
      </c>
      <c r="AS4">
        <v>0.59756097560975596</v>
      </c>
      <c r="AT4">
        <v>0.56000000000000005</v>
      </c>
      <c r="AU4">
        <v>52</v>
      </c>
      <c r="AV4">
        <v>88</v>
      </c>
      <c r="AW4">
        <v>66</v>
      </c>
      <c r="AX4">
        <v>98</v>
      </c>
      <c r="AY4">
        <v>1000</v>
      </c>
      <c r="AZ4">
        <v>0.45236710963455101</v>
      </c>
      <c r="BA4">
        <v>0.53770491803278597</v>
      </c>
      <c r="BB4">
        <v>0.44039866885725698</v>
      </c>
      <c r="BC4">
        <v>0.53242807462333797</v>
      </c>
      <c r="BD4">
        <v>0.43627227441428101</v>
      </c>
      <c r="BE4">
        <v>0.52990331695244097</v>
      </c>
      <c r="BF4">
        <v>-0.122685067134614</v>
      </c>
      <c r="BG4">
        <v>6.5733193520423006E-2</v>
      </c>
      <c r="BH4">
        <v>1000</v>
      </c>
      <c r="BI4">
        <v>0.42162287414965899</v>
      </c>
      <c r="BJ4">
        <v>0.51666666666666605</v>
      </c>
      <c r="BK4">
        <v>9</v>
      </c>
    </row>
    <row r="5" spans="1:63" x14ac:dyDescent="0.3">
      <c r="A5" t="s">
        <v>125</v>
      </c>
      <c r="B5" t="s">
        <v>109</v>
      </c>
      <c r="C5" t="s">
        <v>25</v>
      </c>
      <c r="D5" t="s">
        <v>66</v>
      </c>
      <c r="E5" t="s">
        <v>126</v>
      </c>
      <c r="F5">
        <v>3</v>
      </c>
      <c r="G5" t="s">
        <v>24</v>
      </c>
      <c r="H5" t="s">
        <v>26</v>
      </c>
      <c r="I5" t="s">
        <v>34</v>
      </c>
      <c r="J5" t="s">
        <v>30</v>
      </c>
      <c r="K5" t="s">
        <v>111</v>
      </c>
      <c r="L5">
        <v>10</v>
      </c>
      <c r="M5">
        <v>304</v>
      </c>
      <c r="N5">
        <v>42</v>
      </c>
      <c r="O5">
        <v>42</v>
      </c>
      <c r="P5" t="b">
        <v>1</v>
      </c>
      <c r="Q5" t="s">
        <v>112</v>
      </c>
      <c r="R5">
        <v>0.520892788009512</v>
      </c>
      <c r="S5">
        <v>42</v>
      </c>
      <c r="T5">
        <v>0</v>
      </c>
      <c r="U5" t="s">
        <v>127</v>
      </c>
      <c r="V5" t="s">
        <v>119</v>
      </c>
      <c r="W5">
        <v>0.59523809523809501</v>
      </c>
      <c r="X5" t="b">
        <v>0</v>
      </c>
      <c r="Y5">
        <v>6.7945370012894202</v>
      </c>
      <c r="Z5">
        <v>0.45577739994041599</v>
      </c>
      <c r="AA5">
        <v>845.41797959990799</v>
      </c>
      <c r="AB5">
        <v>304</v>
      </c>
      <c r="AC5">
        <v>2</v>
      </c>
      <c r="AD5">
        <v>0.51315789473684204</v>
      </c>
      <c r="AE5">
        <v>0.51167247386759496</v>
      </c>
      <c r="AF5">
        <v>0.51161782555921598</v>
      </c>
      <c r="AG5">
        <v>0.51167247386759496</v>
      </c>
      <c r="AH5">
        <v>0.51144507666246797</v>
      </c>
      <c r="AI5">
        <v>2.3290235313387302E-2</v>
      </c>
      <c r="AJ5" t="s">
        <v>128</v>
      </c>
      <c r="AK5">
        <v>0.52676393728223003</v>
      </c>
      <c r="AL5">
        <v>0.55977956469188805</v>
      </c>
      <c r="AM5">
        <v>140</v>
      </c>
      <c r="AN5">
        <v>0.47260273972602701</v>
      </c>
      <c r="AO5">
        <v>0.49285714285714199</v>
      </c>
      <c r="AP5">
        <v>0.482517482517482</v>
      </c>
      <c r="AQ5">
        <v>164</v>
      </c>
      <c r="AR5">
        <v>0.550632911392405</v>
      </c>
      <c r="AS5">
        <v>0.53048780487804803</v>
      </c>
      <c r="AT5">
        <v>0.54037267080745299</v>
      </c>
      <c r="AU5">
        <v>69</v>
      </c>
      <c r="AV5">
        <v>71</v>
      </c>
      <c r="AW5">
        <v>77</v>
      </c>
      <c r="AX5">
        <v>87</v>
      </c>
      <c r="AY5">
        <v>1000</v>
      </c>
      <c r="AZ5">
        <v>0.45846830011074102</v>
      </c>
      <c r="BA5">
        <v>0.56351791530944595</v>
      </c>
      <c r="BB5">
        <v>0.45520850452796602</v>
      </c>
      <c r="BC5">
        <v>0.56362701840776297</v>
      </c>
      <c r="BD5">
        <v>0.45404258217731902</v>
      </c>
      <c r="BE5">
        <v>0.56171134511471299</v>
      </c>
      <c r="BF5">
        <v>-8.9783489351203699E-2</v>
      </c>
      <c r="BG5">
        <v>0.127239567900438</v>
      </c>
      <c r="BH5">
        <v>1000</v>
      </c>
      <c r="BI5">
        <v>0.46870864230620302</v>
      </c>
      <c r="BJ5">
        <v>0.56870535714285697</v>
      </c>
      <c r="BK5">
        <v>7</v>
      </c>
    </row>
    <row r="6" spans="1:63" x14ac:dyDescent="0.3">
      <c r="A6" t="s">
        <v>129</v>
      </c>
      <c r="B6" t="s">
        <v>109</v>
      </c>
      <c r="C6" t="s">
        <v>25</v>
      </c>
      <c r="D6" t="s">
        <v>66</v>
      </c>
      <c r="E6" t="s">
        <v>130</v>
      </c>
      <c r="F6">
        <v>4</v>
      </c>
      <c r="G6" t="s">
        <v>24</v>
      </c>
      <c r="H6" t="s">
        <v>26</v>
      </c>
      <c r="I6" t="s">
        <v>35</v>
      </c>
      <c r="J6" t="s">
        <v>30</v>
      </c>
      <c r="K6" t="s">
        <v>111</v>
      </c>
      <c r="L6">
        <v>10</v>
      </c>
      <c r="M6">
        <v>304</v>
      </c>
      <c r="N6">
        <v>42</v>
      </c>
      <c r="O6">
        <v>42</v>
      </c>
      <c r="P6" t="b">
        <v>1</v>
      </c>
      <c r="Q6" t="s">
        <v>112</v>
      </c>
      <c r="R6">
        <v>0.463217604114816</v>
      </c>
      <c r="S6">
        <v>42</v>
      </c>
      <c r="T6">
        <v>0</v>
      </c>
      <c r="U6" t="s">
        <v>131</v>
      </c>
      <c r="V6" t="s">
        <v>114</v>
      </c>
      <c r="W6">
        <v>0.476190476190476</v>
      </c>
      <c r="X6" t="b">
        <v>0</v>
      </c>
      <c r="Y6">
        <v>6.8704602953512204</v>
      </c>
      <c r="Z6">
        <v>0.50612749974243298</v>
      </c>
      <c r="AA6">
        <v>897.13150050002105</v>
      </c>
      <c r="AB6">
        <v>304</v>
      </c>
      <c r="AC6">
        <v>2</v>
      </c>
      <c r="AD6">
        <v>0.45065789473684198</v>
      </c>
      <c r="AE6">
        <v>0.44538327526132399</v>
      </c>
      <c r="AF6">
        <v>0.44486215538847101</v>
      </c>
      <c r="AG6">
        <v>0.44538327526132399</v>
      </c>
      <c r="AH6">
        <v>0.44488546279591001</v>
      </c>
      <c r="AI6">
        <v>-0.109753332192362</v>
      </c>
      <c r="AJ6" t="s">
        <v>132</v>
      </c>
      <c r="AK6">
        <v>0.42665505226480799</v>
      </c>
      <c r="AL6">
        <v>0.488937805624163</v>
      </c>
      <c r="AM6">
        <v>140</v>
      </c>
      <c r="AN6">
        <v>0.39849624060150302</v>
      </c>
      <c r="AO6">
        <v>0.378571428571428</v>
      </c>
      <c r="AP6">
        <v>0.38827838827838801</v>
      </c>
      <c r="AQ6">
        <v>164</v>
      </c>
      <c r="AR6">
        <v>0.49122807017543801</v>
      </c>
      <c r="AS6">
        <v>0.51219512195121897</v>
      </c>
      <c r="AT6">
        <v>0.50149253731343202</v>
      </c>
      <c r="AU6">
        <v>53</v>
      </c>
      <c r="AV6">
        <v>87</v>
      </c>
      <c r="AW6">
        <v>80</v>
      </c>
      <c r="AX6">
        <v>84</v>
      </c>
      <c r="AY6">
        <v>1000</v>
      </c>
      <c r="AZ6">
        <v>0.39794505750182801</v>
      </c>
      <c r="BA6">
        <v>0.50485596052840997</v>
      </c>
      <c r="BB6">
        <v>0.391412640986394</v>
      </c>
      <c r="BC6">
        <v>0.50015647924052997</v>
      </c>
      <c r="BD6">
        <v>0.39004787722616902</v>
      </c>
      <c r="BE6">
        <v>0.49874068269830801</v>
      </c>
      <c r="BF6">
        <v>-0.21703842184494199</v>
      </c>
      <c r="BG6">
        <v>3.1813045591863202E-4</v>
      </c>
      <c r="BH6">
        <v>1000</v>
      </c>
      <c r="BI6">
        <v>0.408715277777777</v>
      </c>
      <c r="BJ6">
        <v>0.52083955533432802</v>
      </c>
      <c r="BK6">
        <v>10</v>
      </c>
    </row>
    <row r="7" spans="1:63" x14ac:dyDescent="0.3">
      <c r="A7" t="s">
        <v>133</v>
      </c>
      <c r="B7" t="s">
        <v>109</v>
      </c>
      <c r="C7" t="s">
        <v>25</v>
      </c>
      <c r="D7" t="s">
        <v>66</v>
      </c>
      <c r="E7" t="s">
        <v>134</v>
      </c>
      <c r="F7">
        <v>5</v>
      </c>
      <c r="G7" t="s">
        <v>24</v>
      </c>
      <c r="H7" t="s">
        <v>36</v>
      </c>
      <c r="I7" t="s">
        <v>27</v>
      </c>
      <c r="J7" t="s">
        <v>30</v>
      </c>
      <c r="K7" t="s">
        <v>111</v>
      </c>
      <c r="L7">
        <v>10</v>
      </c>
      <c r="M7">
        <v>304</v>
      </c>
      <c r="N7">
        <v>42</v>
      </c>
      <c r="O7">
        <v>42</v>
      </c>
      <c r="P7" t="b">
        <v>1</v>
      </c>
      <c r="Q7" t="s">
        <v>112</v>
      </c>
      <c r="R7">
        <v>0.52210193020297502</v>
      </c>
      <c r="S7">
        <v>42</v>
      </c>
      <c r="T7">
        <v>0</v>
      </c>
      <c r="U7" t="s">
        <v>135</v>
      </c>
      <c r="V7" t="s">
        <v>136</v>
      </c>
      <c r="W7">
        <v>0.38095238095237999</v>
      </c>
      <c r="X7" t="b">
        <v>0</v>
      </c>
      <c r="Y7">
        <v>5.3781355004757598</v>
      </c>
      <c r="Z7">
        <v>0.35692950035445298</v>
      </c>
      <c r="AA7">
        <v>958.74227120005503</v>
      </c>
      <c r="AB7">
        <v>304</v>
      </c>
      <c r="AC7">
        <v>2</v>
      </c>
      <c r="AD7">
        <v>0.51315789473684204</v>
      </c>
      <c r="AE7">
        <v>0.51324041811846599</v>
      </c>
      <c r="AF7">
        <v>0.51315789473684204</v>
      </c>
      <c r="AG7">
        <v>0.51324041811846599</v>
      </c>
      <c r="AH7">
        <v>0.51239812727587997</v>
      </c>
      <c r="AI7">
        <v>2.6398183867422698E-2</v>
      </c>
      <c r="AJ7" t="s">
        <v>137</v>
      </c>
      <c r="AK7">
        <v>0.52182055749128897</v>
      </c>
      <c r="AL7">
        <v>0.55200206302946697</v>
      </c>
      <c r="AM7">
        <v>140</v>
      </c>
      <c r="AN7">
        <v>0.47368421052631499</v>
      </c>
      <c r="AO7">
        <v>0.51428571428571401</v>
      </c>
      <c r="AP7">
        <v>0.49315068493150599</v>
      </c>
      <c r="AQ7">
        <v>164</v>
      </c>
      <c r="AR7">
        <v>0.55263157894736803</v>
      </c>
      <c r="AS7">
        <v>0.51219512195121897</v>
      </c>
      <c r="AT7">
        <v>0.531645569620253</v>
      </c>
      <c r="AU7">
        <v>72</v>
      </c>
      <c r="AV7">
        <v>68</v>
      </c>
      <c r="AW7">
        <v>80</v>
      </c>
      <c r="AX7">
        <v>84</v>
      </c>
      <c r="AY7">
        <v>1000</v>
      </c>
      <c r="AZ7">
        <v>0.45832661290322502</v>
      </c>
      <c r="BA7">
        <v>0.56903526793357295</v>
      </c>
      <c r="BB7">
        <v>0.45855879603337102</v>
      </c>
      <c r="BC7">
        <v>0.57071247082751098</v>
      </c>
      <c r="BD7">
        <v>0.45796288722295603</v>
      </c>
      <c r="BE7">
        <v>0.56818582786346705</v>
      </c>
      <c r="BF7">
        <v>-8.2755851981553399E-2</v>
      </c>
      <c r="BG7">
        <v>0.14019177987915599</v>
      </c>
      <c r="BH7">
        <v>1000</v>
      </c>
      <c r="BI7">
        <v>0.46420558873956003</v>
      </c>
      <c r="BJ7">
        <v>0.58170838864000796</v>
      </c>
      <c r="BK7">
        <v>6</v>
      </c>
    </row>
    <row r="8" spans="1:63" x14ac:dyDescent="0.3">
      <c r="A8" t="s">
        <v>138</v>
      </c>
      <c r="B8" t="s">
        <v>109</v>
      </c>
      <c r="C8" t="s">
        <v>25</v>
      </c>
      <c r="D8" t="s">
        <v>66</v>
      </c>
      <c r="E8" t="s">
        <v>139</v>
      </c>
      <c r="F8">
        <v>6</v>
      </c>
      <c r="G8" t="s">
        <v>24</v>
      </c>
      <c r="H8" t="s">
        <v>36</v>
      </c>
      <c r="I8" t="s">
        <v>32</v>
      </c>
      <c r="J8" t="s">
        <v>30</v>
      </c>
      <c r="K8" t="s">
        <v>111</v>
      </c>
      <c r="L8">
        <v>10</v>
      </c>
      <c r="M8">
        <v>304</v>
      </c>
      <c r="N8">
        <v>42</v>
      </c>
      <c r="O8">
        <v>42</v>
      </c>
      <c r="P8" t="b">
        <v>1</v>
      </c>
      <c r="Q8" t="s">
        <v>112</v>
      </c>
      <c r="R8">
        <v>0.55079918146120199</v>
      </c>
      <c r="S8">
        <v>42</v>
      </c>
      <c r="T8">
        <v>0</v>
      </c>
      <c r="U8" t="s">
        <v>140</v>
      </c>
      <c r="V8" t="s">
        <v>141</v>
      </c>
      <c r="W8">
        <v>0.452380952380952</v>
      </c>
      <c r="X8" t="b">
        <v>0</v>
      </c>
      <c r="Y8">
        <v>5.9101732994895402</v>
      </c>
      <c r="Z8">
        <v>0.41041149944067001</v>
      </c>
      <c r="AA8">
        <v>1017.33474279986</v>
      </c>
      <c r="AB8">
        <v>304</v>
      </c>
      <c r="AC8">
        <v>2</v>
      </c>
      <c r="AD8">
        <v>0.54934210526315697</v>
      </c>
      <c r="AE8">
        <v>0.54991289198606197</v>
      </c>
      <c r="AF8">
        <v>0.54960394753927999</v>
      </c>
      <c r="AG8">
        <v>0.54991289198606197</v>
      </c>
      <c r="AH8">
        <v>0.54875128663524497</v>
      </c>
      <c r="AI8">
        <v>9.9516359973834095E-2</v>
      </c>
      <c r="AJ8" t="s">
        <v>142</v>
      </c>
      <c r="AK8">
        <v>0.54394599303135804</v>
      </c>
      <c r="AL8">
        <v>0.56112358155126896</v>
      </c>
      <c r="AM8">
        <v>140</v>
      </c>
      <c r="AN8">
        <v>0.50980392156862697</v>
      </c>
      <c r="AO8">
        <v>0.55714285714285705</v>
      </c>
      <c r="AP8">
        <v>0.53242320819112599</v>
      </c>
      <c r="AQ8">
        <v>164</v>
      </c>
      <c r="AR8">
        <v>0.58940397350993301</v>
      </c>
      <c r="AS8">
        <v>0.542682926829268</v>
      </c>
      <c r="AT8">
        <v>0.56507936507936496</v>
      </c>
      <c r="AU8">
        <v>78</v>
      </c>
      <c r="AV8">
        <v>62</v>
      </c>
      <c r="AW8">
        <v>75</v>
      </c>
      <c r="AX8">
        <v>89</v>
      </c>
      <c r="AY8">
        <v>1000</v>
      </c>
      <c r="AZ8">
        <v>0.5</v>
      </c>
      <c r="BA8">
        <v>0.59731654373491005</v>
      </c>
      <c r="BB8">
        <v>0.49916833798595001</v>
      </c>
      <c r="BC8">
        <v>0.59790912382882699</v>
      </c>
      <c r="BD8">
        <v>0.49855098269242198</v>
      </c>
      <c r="BE8">
        <v>0.59573059486952595</v>
      </c>
      <c r="BF8">
        <v>-1.6550064735354E-3</v>
      </c>
      <c r="BG8">
        <v>0.19536696968320699</v>
      </c>
      <c r="BH8">
        <v>1000</v>
      </c>
      <c r="BI8">
        <v>0.49327278980697897</v>
      </c>
      <c r="BJ8">
        <v>0.600191503684807</v>
      </c>
      <c r="BK8">
        <v>1</v>
      </c>
    </row>
    <row r="9" spans="1:63" x14ac:dyDescent="0.3">
      <c r="A9" t="s">
        <v>143</v>
      </c>
      <c r="B9" t="s">
        <v>109</v>
      </c>
      <c r="C9" t="s">
        <v>25</v>
      </c>
      <c r="D9" t="s">
        <v>66</v>
      </c>
      <c r="E9" t="s">
        <v>144</v>
      </c>
      <c r="F9">
        <v>7</v>
      </c>
      <c r="G9" t="s">
        <v>24</v>
      </c>
      <c r="H9" t="s">
        <v>36</v>
      </c>
      <c r="I9" t="s">
        <v>33</v>
      </c>
      <c r="J9" t="s">
        <v>30</v>
      </c>
      <c r="K9" t="s">
        <v>111</v>
      </c>
      <c r="L9">
        <v>10</v>
      </c>
      <c r="M9">
        <v>304</v>
      </c>
      <c r="N9">
        <v>42</v>
      </c>
      <c r="O9">
        <v>42</v>
      </c>
      <c r="P9" t="b">
        <v>1</v>
      </c>
      <c r="Q9" t="s">
        <v>112</v>
      </c>
      <c r="R9">
        <v>0.53207095846468599</v>
      </c>
      <c r="S9">
        <v>42</v>
      </c>
      <c r="T9">
        <v>0</v>
      </c>
      <c r="U9" t="s">
        <v>145</v>
      </c>
      <c r="V9" t="s">
        <v>146</v>
      </c>
      <c r="W9">
        <v>0.35714285714285698</v>
      </c>
      <c r="X9" t="b">
        <v>0</v>
      </c>
      <c r="Y9">
        <v>5.8893300998024598</v>
      </c>
      <c r="Z9">
        <v>0.399889899883419</v>
      </c>
      <c r="AA9">
        <v>1063.1133478998599</v>
      </c>
      <c r="AB9">
        <v>304</v>
      </c>
      <c r="AC9">
        <v>2</v>
      </c>
      <c r="AD9">
        <v>0.52631578947368396</v>
      </c>
      <c r="AE9">
        <v>0.52020905923344896</v>
      </c>
      <c r="AF9">
        <v>0.52059659090909005</v>
      </c>
      <c r="AG9">
        <v>0.52020905923344896</v>
      </c>
      <c r="AH9">
        <v>0.51957857769973603</v>
      </c>
      <c r="AI9">
        <v>4.0803809904906903E-2</v>
      </c>
      <c r="AJ9" t="s">
        <v>147</v>
      </c>
      <c r="AK9">
        <v>0.51023519163762998</v>
      </c>
      <c r="AL9">
        <v>0.53211825408969404</v>
      </c>
      <c r="AM9">
        <v>140</v>
      </c>
      <c r="AN9">
        <v>0.484375</v>
      </c>
      <c r="AO9">
        <v>0.44285714285714201</v>
      </c>
      <c r="AP9">
        <v>0.462686567164179</v>
      </c>
      <c r="AQ9">
        <v>164</v>
      </c>
      <c r="AR9">
        <v>0.55681818181818099</v>
      </c>
      <c r="AS9">
        <v>0.59756097560975596</v>
      </c>
      <c r="AT9">
        <v>0.57647058823529396</v>
      </c>
      <c r="AU9">
        <v>62</v>
      </c>
      <c r="AV9">
        <v>78</v>
      </c>
      <c r="AW9">
        <v>66</v>
      </c>
      <c r="AX9">
        <v>98</v>
      </c>
      <c r="AY9">
        <v>1000</v>
      </c>
      <c r="AZ9">
        <v>0.47058823529411697</v>
      </c>
      <c r="BA9">
        <v>0.58646612966381295</v>
      </c>
      <c r="BB9">
        <v>0.464039362327483</v>
      </c>
      <c r="BC9">
        <v>0.58041073421606304</v>
      </c>
      <c r="BD9">
        <v>0.46157706169415702</v>
      </c>
      <c r="BE9">
        <v>0.57953966012102398</v>
      </c>
      <c r="BF9">
        <v>-7.3633345273674197E-2</v>
      </c>
      <c r="BG9">
        <v>0.16422468338073701</v>
      </c>
      <c r="BH9">
        <v>1000</v>
      </c>
      <c r="BI9">
        <v>0.47464486200984402</v>
      </c>
      <c r="BJ9">
        <v>0.58992834328853405</v>
      </c>
      <c r="BK9">
        <v>4</v>
      </c>
    </row>
    <row r="10" spans="1:63" x14ac:dyDescent="0.3">
      <c r="A10" t="s">
        <v>148</v>
      </c>
      <c r="B10" t="s">
        <v>109</v>
      </c>
      <c r="C10" t="s">
        <v>25</v>
      </c>
      <c r="D10" t="s">
        <v>66</v>
      </c>
      <c r="E10" t="s">
        <v>149</v>
      </c>
      <c r="F10">
        <v>8</v>
      </c>
      <c r="G10" t="s">
        <v>24</v>
      </c>
      <c r="H10" t="s">
        <v>36</v>
      </c>
      <c r="I10" t="s">
        <v>34</v>
      </c>
      <c r="J10" t="s">
        <v>30</v>
      </c>
      <c r="K10" t="s">
        <v>111</v>
      </c>
      <c r="L10">
        <v>10</v>
      </c>
      <c r="M10">
        <v>304</v>
      </c>
      <c r="N10">
        <v>42</v>
      </c>
      <c r="O10">
        <v>42</v>
      </c>
      <c r="P10" t="b">
        <v>1</v>
      </c>
      <c r="Q10" t="s">
        <v>112</v>
      </c>
      <c r="R10">
        <v>0.53718129528234004</v>
      </c>
      <c r="S10">
        <v>42</v>
      </c>
      <c r="T10">
        <v>0</v>
      </c>
      <c r="U10" t="s">
        <v>150</v>
      </c>
      <c r="V10" t="s">
        <v>136</v>
      </c>
      <c r="W10">
        <v>0.40476190476190399</v>
      </c>
      <c r="X10" t="b">
        <v>0</v>
      </c>
      <c r="Y10">
        <v>6.82614250062033</v>
      </c>
      <c r="Z10">
        <v>0.45072390022687597</v>
      </c>
      <c r="AA10">
        <v>1096.6942344000499</v>
      </c>
      <c r="AB10">
        <v>304</v>
      </c>
      <c r="AC10">
        <v>2</v>
      </c>
      <c r="AD10">
        <v>0.52960526315789402</v>
      </c>
      <c r="AE10">
        <v>0.52534843205574899</v>
      </c>
      <c r="AF10">
        <v>0.52550953320184002</v>
      </c>
      <c r="AG10">
        <v>0.52534843205574899</v>
      </c>
      <c r="AH10">
        <v>0.52528528528528495</v>
      </c>
      <c r="AI10">
        <v>5.0857710099481999E-2</v>
      </c>
      <c r="AJ10" t="s">
        <v>151</v>
      </c>
      <c r="AK10">
        <v>0.52865853658536499</v>
      </c>
      <c r="AL10">
        <v>0.55425093182598195</v>
      </c>
      <c r="AM10">
        <v>140</v>
      </c>
      <c r="AN10">
        <v>0.48888888888888798</v>
      </c>
      <c r="AO10">
        <v>0.47142857142857097</v>
      </c>
      <c r="AP10">
        <v>0.48</v>
      </c>
      <c r="AQ10">
        <v>164</v>
      </c>
      <c r="AR10">
        <v>0.562130177514792</v>
      </c>
      <c r="AS10">
        <v>0.57926829268292601</v>
      </c>
      <c r="AT10">
        <v>0.57057057057057003</v>
      </c>
      <c r="AU10">
        <v>66</v>
      </c>
      <c r="AV10">
        <v>74</v>
      </c>
      <c r="AW10">
        <v>69</v>
      </c>
      <c r="AX10">
        <v>95</v>
      </c>
      <c r="AY10">
        <v>1000</v>
      </c>
      <c r="AZ10">
        <v>0.48219774833180401</v>
      </c>
      <c r="BA10">
        <v>0.576798243160073</v>
      </c>
      <c r="BB10">
        <v>0.47781501122435399</v>
      </c>
      <c r="BC10">
        <v>0.57434899007958995</v>
      </c>
      <c r="BD10">
        <v>0.47550365757165097</v>
      </c>
      <c r="BE10">
        <v>0.57244113760606896</v>
      </c>
      <c r="BF10">
        <v>-4.4619730233210003E-2</v>
      </c>
      <c r="BG10">
        <v>0.14861589643661899</v>
      </c>
      <c r="BH10">
        <v>1000</v>
      </c>
      <c r="BI10">
        <v>0.48712939342403599</v>
      </c>
      <c r="BJ10">
        <v>0.58833120748299295</v>
      </c>
      <c r="BK10">
        <v>2</v>
      </c>
    </row>
    <row r="11" spans="1:63" x14ac:dyDescent="0.3">
      <c r="A11" t="s">
        <v>152</v>
      </c>
      <c r="B11" t="s">
        <v>109</v>
      </c>
      <c r="C11" t="s">
        <v>25</v>
      </c>
      <c r="D11" t="s">
        <v>66</v>
      </c>
      <c r="E11" t="s">
        <v>153</v>
      </c>
      <c r="F11">
        <v>9</v>
      </c>
      <c r="G11" t="s">
        <v>24</v>
      </c>
      <c r="H11" t="s">
        <v>36</v>
      </c>
      <c r="I11" t="s">
        <v>35</v>
      </c>
      <c r="J11" t="s">
        <v>30</v>
      </c>
      <c r="K11" t="s">
        <v>111</v>
      </c>
      <c r="L11">
        <v>10</v>
      </c>
      <c r="M11">
        <v>304</v>
      </c>
      <c r="N11">
        <v>42</v>
      </c>
      <c r="O11">
        <v>42</v>
      </c>
      <c r="P11" t="b">
        <v>1</v>
      </c>
      <c r="Q11" t="s">
        <v>112</v>
      </c>
      <c r="R11">
        <v>0.53057560422542904</v>
      </c>
      <c r="S11">
        <v>42</v>
      </c>
      <c r="T11">
        <v>0</v>
      </c>
      <c r="U11" t="s">
        <v>154</v>
      </c>
      <c r="V11" t="s">
        <v>141</v>
      </c>
      <c r="W11">
        <v>0.38095238095237999</v>
      </c>
      <c r="X11" t="b">
        <v>0</v>
      </c>
      <c r="Y11">
        <v>6.6845980973448604</v>
      </c>
      <c r="Z11">
        <v>0.435889300424605</v>
      </c>
      <c r="AA11">
        <v>1130.26864729984</v>
      </c>
      <c r="AB11">
        <v>304</v>
      </c>
      <c r="AC11">
        <v>2</v>
      </c>
      <c r="AD11">
        <v>0.53947368421052599</v>
      </c>
      <c r="AE11">
        <v>0.53188153310104502</v>
      </c>
      <c r="AF11">
        <v>0.53296703296703296</v>
      </c>
      <c r="AG11">
        <v>0.53188153310104502</v>
      </c>
      <c r="AH11">
        <v>0.53051228875259204</v>
      </c>
      <c r="AI11">
        <v>6.4839480342819306E-2</v>
      </c>
      <c r="AJ11" t="s">
        <v>155</v>
      </c>
      <c r="AK11">
        <v>0.49185540069686401</v>
      </c>
      <c r="AL11">
        <v>0.52302380211801902</v>
      </c>
      <c r="AM11">
        <v>140</v>
      </c>
      <c r="AN11">
        <v>0.5</v>
      </c>
      <c r="AO11">
        <v>0.435714285714285</v>
      </c>
      <c r="AP11">
        <v>0.465648854961832</v>
      </c>
      <c r="AQ11">
        <v>164</v>
      </c>
      <c r="AR11">
        <v>0.56593406593406503</v>
      </c>
      <c r="AS11">
        <v>0.62804878048780399</v>
      </c>
      <c r="AT11">
        <v>0.59537572254335203</v>
      </c>
      <c r="AU11">
        <v>61</v>
      </c>
      <c r="AV11">
        <v>79</v>
      </c>
      <c r="AW11">
        <v>61</v>
      </c>
      <c r="AX11">
        <v>103</v>
      </c>
      <c r="AY11">
        <v>1000</v>
      </c>
      <c r="AZ11">
        <v>0.49009511795264799</v>
      </c>
      <c r="BA11">
        <v>0.58363047835743997</v>
      </c>
      <c r="BB11">
        <v>0.482039639449788</v>
      </c>
      <c r="BC11">
        <v>0.57883979704103405</v>
      </c>
      <c r="BD11">
        <v>0.47880729830518498</v>
      </c>
      <c r="BE11">
        <v>0.57755690667715398</v>
      </c>
      <c r="BF11">
        <v>-3.6587434025135097E-2</v>
      </c>
      <c r="BG11">
        <v>0.159846758156962</v>
      </c>
      <c r="BH11">
        <v>1000</v>
      </c>
      <c r="BI11">
        <v>0.47714994331065702</v>
      </c>
      <c r="BJ11">
        <v>0.58572420634920597</v>
      </c>
      <c r="BK11">
        <v>5</v>
      </c>
    </row>
    <row r="12" spans="1:63" x14ac:dyDescent="0.3">
      <c r="A12" t="s">
        <v>156</v>
      </c>
      <c r="B12" t="s">
        <v>109</v>
      </c>
      <c r="C12" t="s">
        <v>37</v>
      </c>
      <c r="D12" t="s">
        <v>66</v>
      </c>
      <c r="E12" t="s">
        <v>110</v>
      </c>
      <c r="F12">
        <v>0</v>
      </c>
      <c r="G12" t="s">
        <v>24</v>
      </c>
      <c r="H12" t="s">
        <v>26</v>
      </c>
      <c r="I12" t="s">
        <v>27</v>
      </c>
      <c r="J12" t="s">
        <v>30</v>
      </c>
      <c r="K12" t="s">
        <v>111</v>
      </c>
      <c r="L12">
        <v>10</v>
      </c>
      <c r="M12">
        <v>278</v>
      </c>
      <c r="N12">
        <v>42</v>
      </c>
      <c r="O12">
        <v>42</v>
      </c>
      <c r="P12" t="b">
        <v>1</v>
      </c>
      <c r="Q12" t="s">
        <v>112</v>
      </c>
      <c r="R12">
        <v>0.452039300568712</v>
      </c>
      <c r="S12">
        <v>42</v>
      </c>
      <c r="T12">
        <v>0</v>
      </c>
      <c r="U12" t="s">
        <v>157</v>
      </c>
      <c r="V12" t="s">
        <v>146</v>
      </c>
      <c r="W12">
        <v>0.30952380952380898</v>
      </c>
      <c r="X12" t="b">
        <v>0</v>
      </c>
      <c r="Y12">
        <v>5.7497002000454804</v>
      </c>
      <c r="Z12">
        <v>0.34584230021573598</v>
      </c>
      <c r="AA12">
        <v>652.25572640006396</v>
      </c>
      <c r="AB12">
        <v>278</v>
      </c>
      <c r="AC12">
        <v>2</v>
      </c>
      <c r="AD12">
        <v>0.402877697841726</v>
      </c>
      <c r="AE12">
        <v>0.39276216300776901</v>
      </c>
      <c r="AF12">
        <v>0.38836110960317</v>
      </c>
      <c r="AG12">
        <v>0.39276216300776901</v>
      </c>
      <c r="AH12">
        <v>0.38893008474576202</v>
      </c>
      <c r="AI12">
        <v>-0.21883247592958999</v>
      </c>
      <c r="AJ12" t="s">
        <v>158</v>
      </c>
      <c r="AK12">
        <v>0.36522918078948702</v>
      </c>
      <c r="AL12">
        <v>0.37354665192854802</v>
      </c>
      <c r="AM12">
        <v>151</v>
      </c>
      <c r="AN12">
        <v>0.45562130177514698</v>
      </c>
      <c r="AO12">
        <v>0.50993377483443703</v>
      </c>
      <c r="AP12">
        <v>0.48125000000000001</v>
      </c>
      <c r="AQ12">
        <v>127</v>
      </c>
      <c r="AR12">
        <v>0.32110091743119201</v>
      </c>
      <c r="AS12">
        <v>0.27559055118110198</v>
      </c>
      <c r="AT12">
        <v>0.29661016949152502</v>
      </c>
      <c r="AU12">
        <v>77</v>
      </c>
      <c r="AV12">
        <v>74</v>
      </c>
      <c r="AW12">
        <v>92</v>
      </c>
      <c r="AX12">
        <v>35</v>
      </c>
      <c r="AY12">
        <v>1000</v>
      </c>
      <c r="AZ12">
        <v>0.33695652173912999</v>
      </c>
      <c r="BA12">
        <v>0.469350986886994</v>
      </c>
      <c r="BB12">
        <v>0.33675323390501799</v>
      </c>
      <c r="BC12">
        <v>0.45783274785968398</v>
      </c>
      <c r="BD12">
        <v>0.32557036745822798</v>
      </c>
      <c r="BE12">
        <v>0.453004266437397</v>
      </c>
      <c r="BF12">
        <v>-0.33639612572066702</v>
      </c>
      <c r="BG12">
        <v>-8.6203536861694893E-2</v>
      </c>
      <c r="BH12">
        <v>1000</v>
      </c>
      <c r="BI12">
        <v>0.37667744632974498</v>
      </c>
      <c r="BJ12">
        <v>0.52188940611117995</v>
      </c>
      <c r="BK12">
        <v>9</v>
      </c>
    </row>
    <row r="13" spans="1:63" x14ac:dyDescent="0.3">
      <c r="A13" t="s">
        <v>159</v>
      </c>
      <c r="B13" t="s">
        <v>109</v>
      </c>
      <c r="C13" t="s">
        <v>37</v>
      </c>
      <c r="D13" t="s">
        <v>66</v>
      </c>
      <c r="E13" t="s">
        <v>117</v>
      </c>
      <c r="F13">
        <v>1</v>
      </c>
      <c r="G13" t="s">
        <v>24</v>
      </c>
      <c r="H13" t="s">
        <v>26</v>
      </c>
      <c r="I13" t="s">
        <v>32</v>
      </c>
      <c r="J13" t="s">
        <v>30</v>
      </c>
      <c r="K13" t="s">
        <v>111</v>
      </c>
      <c r="L13">
        <v>10</v>
      </c>
      <c r="M13">
        <v>278</v>
      </c>
      <c r="N13">
        <v>42</v>
      </c>
      <c r="O13">
        <v>42</v>
      </c>
      <c r="P13" t="b">
        <v>1</v>
      </c>
      <c r="Q13" t="s">
        <v>112</v>
      </c>
      <c r="R13">
        <v>0.455742296918767</v>
      </c>
      <c r="S13">
        <v>42</v>
      </c>
      <c r="T13">
        <v>0</v>
      </c>
      <c r="U13" t="s">
        <v>160</v>
      </c>
      <c r="V13" t="s">
        <v>141</v>
      </c>
      <c r="W13">
        <v>0.42857142857142799</v>
      </c>
      <c r="X13" t="b">
        <v>0</v>
      </c>
      <c r="Y13">
        <v>5.97766249720007</v>
      </c>
      <c r="Z13">
        <v>0.375453399727121</v>
      </c>
      <c r="AA13">
        <v>706.57729019992905</v>
      </c>
      <c r="AB13">
        <v>278</v>
      </c>
      <c r="AC13">
        <v>2</v>
      </c>
      <c r="AD13">
        <v>0.46762589928057502</v>
      </c>
      <c r="AE13">
        <v>0.45674505918548203</v>
      </c>
      <c r="AF13">
        <v>0.45433526011560599</v>
      </c>
      <c r="AG13">
        <v>0.45674505918548203</v>
      </c>
      <c r="AH13">
        <v>0.45263942103022498</v>
      </c>
      <c r="AI13">
        <v>-8.8887020897536001E-2</v>
      </c>
      <c r="AJ13" t="s">
        <v>161</v>
      </c>
      <c r="AK13">
        <v>0.43158471085153999</v>
      </c>
      <c r="AL13">
        <v>0.41139422157751998</v>
      </c>
      <c r="AM13">
        <v>151</v>
      </c>
      <c r="AN13">
        <v>0.50867052023121295</v>
      </c>
      <c r="AO13">
        <v>0.58278145695364203</v>
      </c>
      <c r="AP13">
        <v>0.54320987654320896</v>
      </c>
      <c r="AQ13">
        <v>127</v>
      </c>
      <c r="AR13">
        <v>0.4</v>
      </c>
      <c r="AS13">
        <v>0.33070866141732203</v>
      </c>
      <c r="AT13">
        <v>0.36206896551724099</v>
      </c>
      <c r="AU13">
        <v>88</v>
      </c>
      <c r="AV13">
        <v>63</v>
      </c>
      <c r="AW13">
        <v>85</v>
      </c>
      <c r="AX13">
        <v>42</v>
      </c>
      <c r="AY13">
        <v>1000</v>
      </c>
      <c r="AZ13">
        <v>0.39923096976016598</v>
      </c>
      <c r="BA13">
        <v>0.53003633199606703</v>
      </c>
      <c r="BB13">
        <v>0.39902612315515001</v>
      </c>
      <c r="BC13">
        <v>0.51624689566529203</v>
      </c>
      <c r="BD13">
        <v>0.39308124138009598</v>
      </c>
      <c r="BE13">
        <v>0.50996318758538095</v>
      </c>
      <c r="BF13">
        <v>-0.202533133069252</v>
      </c>
      <c r="BG13">
        <v>3.3156558760866803E-2</v>
      </c>
      <c r="BH13">
        <v>1000</v>
      </c>
      <c r="BI13">
        <v>0.39564785538987002</v>
      </c>
      <c r="BJ13">
        <v>0.51661760477072405</v>
      </c>
      <c r="BK13">
        <v>8</v>
      </c>
    </row>
    <row r="14" spans="1:63" x14ac:dyDescent="0.3">
      <c r="A14" t="s">
        <v>162</v>
      </c>
      <c r="B14" t="s">
        <v>109</v>
      </c>
      <c r="C14" t="s">
        <v>37</v>
      </c>
      <c r="D14" t="s">
        <v>66</v>
      </c>
      <c r="E14" t="s">
        <v>122</v>
      </c>
      <c r="F14">
        <v>2</v>
      </c>
      <c r="G14" t="s">
        <v>24</v>
      </c>
      <c r="H14" t="s">
        <v>26</v>
      </c>
      <c r="I14" t="s">
        <v>33</v>
      </c>
      <c r="J14" t="s">
        <v>30</v>
      </c>
      <c r="K14" t="s">
        <v>111</v>
      </c>
      <c r="L14">
        <v>10</v>
      </c>
      <c r="M14">
        <v>278</v>
      </c>
      <c r="N14">
        <v>42</v>
      </c>
      <c r="O14">
        <v>42</v>
      </c>
      <c r="P14" t="b">
        <v>1</v>
      </c>
      <c r="Q14" t="s">
        <v>112</v>
      </c>
      <c r="R14">
        <v>0.50562452253628698</v>
      </c>
      <c r="S14">
        <v>42</v>
      </c>
      <c r="T14">
        <v>0</v>
      </c>
      <c r="U14" t="s">
        <v>163</v>
      </c>
      <c r="V14" t="s">
        <v>141</v>
      </c>
      <c r="W14">
        <v>0.33333333333333298</v>
      </c>
      <c r="X14" t="b">
        <v>0</v>
      </c>
      <c r="Y14">
        <v>6.1107085049152303</v>
      </c>
      <c r="Z14">
        <v>0.39873779984190999</v>
      </c>
      <c r="AA14">
        <v>752.803555799881</v>
      </c>
      <c r="AB14">
        <v>278</v>
      </c>
      <c r="AC14">
        <v>2</v>
      </c>
      <c r="AD14">
        <v>0.51079136690647398</v>
      </c>
      <c r="AE14">
        <v>0.50148615529019103</v>
      </c>
      <c r="AF14">
        <v>0.501547147277563</v>
      </c>
      <c r="AG14">
        <v>0.50148615529019103</v>
      </c>
      <c r="AH14">
        <v>0.49936440677966099</v>
      </c>
      <c r="AI14">
        <v>3.03268930901693E-3</v>
      </c>
      <c r="AJ14" t="s">
        <v>164</v>
      </c>
      <c r="AK14">
        <v>0.528706262710538</v>
      </c>
      <c r="AL14">
        <v>0.49291858515542197</v>
      </c>
      <c r="AM14">
        <v>151</v>
      </c>
      <c r="AN14">
        <v>0.54437869822485196</v>
      </c>
      <c r="AO14">
        <v>0.60927152317880795</v>
      </c>
      <c r="AP14">
        <v>0.57499999999999996</v>
      </c>
      <c r="AQ14">
        <v>127</v>
      </c>
      <c r="AR14">
        <v>0.45871559633027498</v>
      </c>
      <c r="AS14">
        <v>0.39370078740157399</v>
      </c>
      <c r="AT14">
        <v>0.42372881355932202</v>
      </c>
      <c r="AU14">
        <v>92</v>
      </c>
      <c r="AV14">
        <v>59</v>
      </c>
      <c r="AW14">
        <v>77</v>
      </c>
      <c r="AX14">
        <v>50</v>
      </c>
      <c r="AY14">
        <v>1000</v>
      </c>
      <c r="AZ14">
        <v>0.43596780015434</v>
      </c>
      <c r="BA14">
        <v>0.58487177891198805</v>
      </c>
      <c r="BB14">
        <v>0.43722433196300098</v>
      </c>
      <c r="BC14">
        <v>0.56702584786970001</v>
      </c>
      <c r="BD14">
        <v>0.42891727135775298</v>
      </c>
      <c r="BE14">
        <v>0.56340360883240104</v>
      </c>
      <c r="BF14">
        <v>-0.12706366968983901</v>
      </c>
      <c r="BG14">
        <v>0.13412857027792699</v>
      </c>
      <c r="BH14">
        <v>1000</v>
      </c>
      <c r="BI14">
        <v>0.430096038357757</v>
      </c>
      <c r="BJ14">
        <v>0.58008600232232999</v>
      </c>
      <c r="BK14">
        <v>3</v>
      </c>
    </row>
    <row r="15" spans="1:63" x14ac:dyDescent="0.3">
      <c r="A15" t="s">
        <v>165</v>
      </c>
      <c r="B15" t="s">
        <v>109</v>
      </c>
      <c r="C15" t="s">
        <v>37</v>
      </c>
      <c r="D15" t="s">
        <v>66</v>
      </c>
      <c r="E15" t="s">
        <v>126</v>
      </c>
      <c r="F15">
        <v>3</v>
      </c>
      <c r="G15" t="s">
        <v>24</v>
      </c>
      <c r="H15" t="s">
        <v>26</v>
      </c>
      <c r="I15" t="s">
        <v>34</v>
      </c>
      <c r="J15" t="s">
        <v>30</v>
      </c>
      <c r="K15" t="s">
        <v>111</v>
      </c>
      <c r="L15">
        <v>10</v>
      </c>
      <c r="M15">
        <v>278</v>
      </c>
      <c r="N15">
        <v>42</v>
      </c>
      <c r="O15">
        <v>42</v>
      </c>
      <c r="P15" t="b">
        <v>1</v>
      </c>
      <c r="Q15" t="s">
        <v>112</v>
      </c>
      <c r="R15">
        <v>0.48313332908921103</v>
      </c>
      <c r="S15">
        <v>42</v>
      </c>
      <c r="T15">
        <v>0</v>
      </c>
      <c r="U15" t="s">
        <v>166</v>
      </c>
      <c r="V15" t="s">
        <v>136</v>
      </c>
      <c r="W15">
        <v>0.28571428571428498</v>
      </c>
      <c r="X15" t="b">
        <v>0</v>
      </c>
      <c r="Y15">
        <v>6.7145114010199896</v>
      </c>
      <c r="Z15">
        <v>0.446256400551646</v>
      </c>
      <c r="AA15">
        <v>786.33784079993995</v>
      </c>
      <c r="AB15">
        <v>278</v>
      </c>
      <c r="AC15">
        <v>2</v>
      </c>
      <c r="AD15">
        <v>0.49640287769784103</v>
      </c>
      <c r="AE15">
        <v>0.481983626218908</v>
      </c>
      <c r="AF15">
        <v>0.47991862830572501</v>
      </c>
      <c r="AG15">
        <v>0.481983626218908</v>
      </c>
      <c r="AH15">
        <v>0.47348484848484801</v>
      </c>
      <c r="AI15">
        <v>-3.8041740153736202E-2</v>
      </c>
      <c r="AJ15" t="s">
        <v>167</v>
      </c>
      <c r="AK15">
        <v>0.43713823851488698</v>
      </c>
      <c r="AL15">
        <v>0.43952397609823102</v>
      </c>
      <c r="AM15">
        <v>151</v>
      </c>
      <c r="AN15">
        <v>0.52972972972972898</v>
      </c>
      <c r="AO15">
        <v>0.64900662251655605</v>
      </c>
      <c r="AP15">
        <v>0.58333333333333304</v>
      </c>
      <c r="AQ15">
        <v>127</v>
      </c>
      <c r="AR15">
        <v>0.43010752688171999</v>
      </c>
      <c r="AS15">
        <v>0.31496062992125901</v>
      </c>
      <c r="AT15">
        <v>0.36363636363636298</v>
      </c>
      <c r="AU15">
        <v>98</v>
      </c>
      <c r="AV15">
        <v>53</v>
      </c>
      <c r="AW15">
        <v>87</v>
      </c>
      <c r="AX15">
        <v>40</v>
      </c>
      <c r="AY15">
        <v>1000</v>
      </c>
      <c r="AZ15">
        <v>0.42904020735708998</v>
      </c>
      <c r="BA15">
        <v>0.56479033556371605</v>
      </c>
      <c r="BB15">
        <v>0.42490972905685698</v>
      </c>
      <c r="BC15">
        <v>0.54112423913296004</v>
      </c>
      <c r="BD15">
        <v>0.40762934785384403</v>
      </c>
      <c r="BE15">
        <v>0.53326373515650005</v>
      </c>
      <c r="BF15">
        <v>-0.15788921821839699</v>
      </c>
      <c r="BG15">
        <v>8.7261073169405498E-2</v>
      </c>
      <c r="BH15">
        <v>1000</v>
      </c>
      <c r="BI15">
        <v>0.41890079541848202</v>
      </c>
      <c r="BJ15">
        <v>0.55093202589141499</v>
      </c>
      <c r="BK15">
        <v>5</v>
      </c>
    </row>
    <row r="16" spans="1:63" x14ac:dyDescent="0.3">
      <c r="A16" t="s">
        <v>168</v>
      </c>
      <c r="B16" t="s">
        <v>109</v>
      </c>
      <c r="C16" t="s">
        <v>37</v>
      </c>
      <c r="D16" t="s">
        <v>66</v>
      </c>
      <c r="E16" t="s">
        <v>130</v>
      </c>
      <c r="F16">
        <v>4</v>
      </c>
      <c r="G16" t="s">
        <v>24</v>
      </c>
      <c r="H16" t="s">
        <v>26</v>
      </c>
      <c r="I16" t="s">
        <v>35</v>
      </c>
      <c r="J16" t="s">
        <v>30</v>
      </c>
      <c r="K16" t="s">
        <v>111</v>
      </c>
      <c r="L16">
        <v>10</v>
      </c>
      <c r="M16">
        <v>278</v>
      </c>
      <c r="N16">
        <v>42</v>
      </c>
      <c r="O16">
        <v>42</v>
      </c>
      <c r="P16" t="b">
        <v>1</v>
      </c>
      <c r="Q16" t="s">
        <v>112</v>
      </c>
      <c r="R16">
        <v>0.49127514642220499</v>
      </c>
      <c r="S16">
        <v>42</v>
      </c>
      <c r="T16">
        <v>0</v>
      </c>
      <c r="U16" t="s">
        <v>169</v>
      </c>
      <c r="V16" t="s">
        <v>146</v>
      </c>
      <c r="W16">
        <v>0.35714285714285698</v>
      </c>
      <c r="X16" t="b">
        <v>0</v>
      </c>
      <c r="Y16">
        <v>6.7121062953956399</v>
      </c>
      <c r="Z16">
        <v>0.46263249940238799</v>
      </c>
      <c r="AA16">
        <v>819.89320200006398</v>
      </c>
      <c r="AB16">
        <v>278</v>
      </c>
      <c r="AC16">
        <v>2</v>
      </c>
      <c r="AD16">
        <v>0.46402877697841699</v>
      </c>
      <c r="AE16">
        <v>0.45093080252385598</v>
      </c>
      <c r="AF16">
        <v>0.44665532879818498</v>
      </c>
      <c r="AG16">
        <v>0.45093080252385598</v>
      </c>
      <c r="AH16">
        <v>0.44381336018798201</v>
      </c>
      <c r="AI16">
        <v>-0.102324585618545</v>
      </c>
      <c r="AJ16" t="s">
        <v>170</v>
      </c>
      <c r="AK16">
        <v>0.43028106586014397</v>
      </c>
      <c r="AL16">
        <v>0.423750209836883</v>
      </c>
      <c r="AM16">
        <v>151</v>
      </c>
      <c r="AN16">
        <v>0.50555555555555498</v>
      </c>
      <c r="AO16">
        <v>0.60264900662251597</v>
      </c>
      <c r="AP16">
        <v>0.54984894259818695</v>
      </c>
      <c r="AQ16">
        <v>127</v>
      </c>
      <c r="AR16">
        <v>0.38775510204081598</v>
      </c>
      <c r="AS16">
        <v>0.29921259842519599</v>
      </c>
      <c r="AT16">
        <v>0.33777777777777701</v>
      </c>
      <c r="AU16">
        <v>91</v>
      </c>
      <c r="AV16">
        <v>60</v>
      </c>
      <c r="AW16">
        <v>89</v>
      </c>
      <c r="AX16">
        <v>38</v>
      </c>
      <c r="AY16">
        <v>1000</v>
      </c>
      <c r="AZ16">
        <v>0.38514541995107299</v>
      </c>
      <c r="BA16">
        <v>0.54646043664815702</v>
      </c>
      <c r="BB16">
        <v>0.38033504855862399</v>
      </c>
      <c r="BC16">
        <v>0.52435368995571197</v>
      </c>
      <c r="BD16">
        <v>0.36684916821875102</v>
      </c>
      <c r="BE16">
        <v>0.52039677148033103</v>
      </c>
      <c r="BF16">
        <v>-0.24999668191366201</v>
      </c>
      <c r="BG16">
        <v>5.02118909696515E-2</v>
      </c>
      <c r="BH16">
        <v>1000</v>
      </c>
      <c r="BI16">
        <v>0.415083195233585</v>
      </c>
      <c r="BJ16">
        <v>0.56627274073504996</v>
      </c>
      <c r="BK16">
        <v>4</v>
      </c>
    </row>
    <row r="17" spans="1:63" x14ac:dyDescent="0.3">
      <c r="A17" t="s">
        <v>171</v>
      </c>
      <c r="B17" t="s">
        <v>109</v>
      </c>
      <c r="C17" t="s">
        <v>37</v>
      </c>
      <c r="D17" t="s">
        <v>66</v>
      </c>
      <c r="E17" t="s">
        <v>134</v>
      </c>
      <c r="F17">
        <v>5</v>
      </c>
      <c r="G17" t="s">
        <v>24</v>
      </c>
      <c r="H17" t="s">
        <v>36</v>
      </c>
      <c r="I17" t="s">
        <v>27</v>
      </c>
      <c r="J17" t="s">
        <v>30</v>
      </c>
      <c r="K17" t="s">
        <v>111</v>
      </c>
      <c r="L17">
        <v>10</v>
      </c>
      <c r="M17">
        <v>278</v>
      </c>
      <c r="N17">
        <v>42</v>
      </c>
      <c r="O17">
        <v>42</v>
      </c>
      <c r="P17" t="b">
        <v>1</v>
      </c>
      <c r="Q17" t="s">
        <v>112</v>
      </c>
      <c r="R17">
        <v>0.47956932773109201</v>
      </c>
      <c r="S17">
        <v>42</v>
      </c>
      <c r="T17">
        <v>0</v>
      </c>
      <c r="U17" t="s">
        <v>172</v>
      </c>
      <c r="V17" t="s">
        <v>141</v>
      </c>
      <c r="W17">
        <v>0.40476190476190399</v>
      </c>
      <c r="X17" t="b">
        <v>0</v>
      </c>
      <c r="Y17">
        <v>5.3948851954191896</v>
      </c>
      <c r="Z17">
        <v>0.35321359988301898</v>
      </c>
      <c r="AA17">
        <v>853.31901389989002</v>
      </c>
      <c r="AB17">
        <v>278</v>
      </c>
      <c r="AC17">
        <v>2</v>
      </c>
      <c r="AD17">
        <v>0.44244604316546698</v>
      </c>
      <c r="AE17">
        <v>0.43544350002607202</v>
      </c>
      <c r="AF17">
        <v>0.43442796610169399</v>
      </c>
      <c r="AG17">
        <v>0.43544350002607202</v>
      </c>
      <c r="AH17">
        <v>0.43447732790865501</v>
      </c>
      <c r="AI17">
        <v>-0.13012457115619999</v>
      </c>
      <c r="AJ17" t="s">
        <v>173</v>
      </c>
      <c r="AK17">
        <v>0.45283412421129399</v>
      </c>
      <c r="AL17">
        <v>0.44079673643262801</v>
      </c>
      <c r="AM17">
        <v>151</v>
      </c>
      <c r="AN17">
        <v>0.48749999999999999</v>
      </c>
      <c r="AO17">
        <v>0.51655629139072801</v>
      </c>
      <c r="AP17">
        <v>0.50160771704179996</v>
      </c>
      <c r="AQ17">
        <v>127</v>
      </c>
      <c r="AR17">
        <v>0.38135593220338898</v>
      </c>
      <c r="AS17">
        <v>0.35433070866141703</v>
      </c>
      <c r="AT17">
        <v>0.36734693877551</v>
      </c>
      <c r="AU17">
        <v>78</v>
      </c>
      <c r="AV17">
        <v>73</v>
      </c>
      <c r="AW17">
        <v>82</v>
      </c>
      <c r="AX17">
        <v>45</v>
      </c>
      <c r="AY17">
        <v>1000</v>
      </c>
      <c r="AZ17">
        <v>0.37496756055363301</v>
      </c>
      <c r="BA17">
        <v>0.51602001618767401</v>
      </c>
      <c r="BB17">
        <v>0.37017295234820902</v>
      </c>
      <c r="BC17">
        <v>0.51151676552603098</v>
      </c>
      <c r="BD17">
        <v>0.36748902135842698</v>
      </c>
      <c r="BE17">
        <v>0.50395824972696901</v>
      </c>
      <c r="BF17">
        <v>-0.26191192909616201</v>
      </c>
      <c r="BG17">
        <v>2.3205005872364501E-2</v>
      </c>
      <c r="BH17">
        <v>1000</v>
      </c>
      <c r="BI17">
        <v>0.40145587652674702</v>
      </c>
      <c r="BJ17">
        <v>0.55951996710846497</v>
      </c>
      <c r="BK17">
        <v>6</v>
      </c>
    </row>
    <row r="18" spans="1:63" x14ac:dyDescent="0.3">
      <c r="A18" t="s">
        <v>174</v>
      </c>
      <c r="B18" t="s">
        <v>109</v>
      </c>
      <c r="C18" t="s">
        <v>37</v>
      </c>
      <c r="D18" t="s">
        <v>66</v>
      </c>
      <c r="E18" t="s">
        <v>139</v>
      </c>
      <c r="F18">
        <v>6</v>
      </c>
      <c r="G18" t="s">
        <v>24</v>
      </c>
      <c r="H18" t="s">
        <v>36</v>
      </c>
      <c r="I18" t="s">
        <v>32</v>
      </c>
      <c r="J18" t="s">
        <v>30</v>
      </c>
      <c r="K18" t="s">
        <v>111</v>
      </c>
      <c r="L18">
        <v>10</v>
      </c>
      <c r="M18">
        <v>278</v>
      </c>
      <c r="N18">
        <v>42</v>
      </c>
      <c r="O18">
        <v>42</v>
      </c>
      <c r="P18" t="b">
        <v>1</v>
      </c>
      <c r="Q18" t="s">
        <v>112</v>
      </c>
      <c r="R18">
        <v>0.50821502843561595</v>
      </c>
      <c r="S18">
        <v>42</v>
      </c>
      <c r="T18">
        <v>0</v>
      </c>
      <c r="U18" t="s">
        <v>175</v>
      </c>
      <c r="V18" t="s">
        <v>141</v>
      </c>
      <c r="W18">
        <v>0.452380952380952</v>
      </c>
      <c r="X18" t="b">
        <v>0</v>
      </c>
      <c r="Y18">
        <v>5.9963170946575701</v>
      </c>
      <c r="Z18">
        <v>0.401716401102021</v>
      </c>
      <c r="AA18">
        <v>895.56168909999496</v>
      </c>
      <c r="AB18">
        <v>278</v>
      </c>
      <c r="AC18">
        <v>2</v>
      </c>
      <c r="AD18">
        <v>0.514388489208633</v>
      </c>
      <c r="AE18">
        <v>0.50730041195181697</v>
      </c>
      <c r="AF18">
        <v>0.50744997871434605</v>
      </c>
      <c r="AG18">
        <v>0.50730041195181697</v>
      </c>
      <c r="AH18">
        <v>0.50656727014554404</v>
      </c>
      <c r="AI18">
        <v>1.47496323543334E-2</v>
      </c>
      <c r="AJ18" t="s">
        <v>176</v>
      </c>
      <c r="AK18">
        <v>0.497027689419617</v>
      </c>
      <c r="AL18">
        <v>0.46268692294889802</v>
      </c>
      <c r="AM18">
        <v>151</v>
      </c>
      <c r="AN18">
        <v>0.54938271604938205</v>
      </c>
      <c r="AO18">
        <v>0.58940397350993301</v>
      </c>
      <c r="AP18">
        <v>0.56869009584664498</v>
      </c>
      <c r="AQ18">
        <v>127</v>
      </c>
      <c r="AR18">
        <v>0.46551724137931</v>
      </c>
      <c r="AS18">
        <v>0.42519685039369998</v>
      </c>
      <c r="AT18">
        <v>0.44444444444444398</v>
      </c>
      <c r="AU18">
        <v>89</v>
      </c>
      <c r="AV18">
        <v>62</v>
      </c>
      <c r="AW18">
        <v>73</v>
      </c>
      <c r="AX18">
        <v>54</v>
      </c>
      <c r="AY18">
        <v>1000</v>
      </c>
      <c r="AZ18">
        <v>0.45291035793474799</v>
      </c>
      <c r="BA18">
        <v>0.57706837086630103</v>
      </c>
      <c r="BB18">
        <v>0.45211976954834299</v>
      </c>
      <c r="BC18">
        <v>0.55988215744701897</v>
      </c>
      <c r="BD18">
        <v>0.44763476950976899</v>
      </c>
      <c r="BE18">
        <v>0.55834926475177504</v>
      </c>
      <c r="BF18">
        <v>-9.6060002890595297E-2</v>
      </c>
      <c r="BG18">
        <v>0.120212950199069</v>
      </c>
      <c r="BH18">
        <v>1000</v>
      </c>
      <c r="BI18">
        <v>0.44558185653293497</v>
      </c>
      <c r="BJ18">
        <v>0.57055663098572695</v>
      </c>
      <c r="BK18">
        <v>2</v>
      </c>
    </row>
    <row r="19" spans="1:63" x14ac:dyDescent="0.3">
      <c r="A19" t="s">
        <v>177</v>
      </c>
      <c r="B19" t="s">
        <v>109</v>
      </c>
      <c r="C19" t="s">
        <v>37</v>
      </c>
      <c r="D19" t="s">
        <v>66</v>
      </c>
      <c r="E19" t="s">
        <v>144</v>
      </c>
      <c r="F19">
        <v>7</v>
      </c>
      <c r="G19" t="s">
        <v>24</v>
      </c>
      <c r="H19" t="s">
        <v>36</v>
      </c>
      <c r="I19" t="s">
        <v>33</v>
      </c>
      <c r="J19" t="s">
        <v>30</v>
      </c>
      <c r="K19" t="s">
        <v>111</v>
      </c>
      <c r="L19">
        <v>10</v>
      </c>
      <c r="M19">
        <v>278</v>
      </c>
      <c r="N19">
        <v>42</v>
      </c>
      <c r="O19">
        <v>42</v>
      </c>
      <c r="P19" t="b">
        <v>1</v>
      </c>
      <c r="Q19" t="s">
        <v>112</v>
      </c>
      <c r="R19">
        <v>0.456792717086834</v>
      </c>
      <c r="S19">
        <v>42</v>
      </c>
      <c r="T19">
        <v>0</v>
      </c>
      <c r="U19" t="s">
        <v>178</v>
      </c>
      <c r="V19" t="s">
        <v>136</v>
      </c>
      <c r="W19">
        <v>0.452380952380952</v>
      </c>
      <c r="X19" t="b">
        <v>0</v>
      </c>
      <c r="Y19">
        <v>6.1213859007693801</v>
      </c>
      <c r="Z19">
        <v>0.36659610015340099</v>
      </c>
      <c r="AA19">
        <v>945.79253660002701</v>
      </c>
      <c r="AB19">
        <v>278</v>
      </c>
      <c r="AC19">
        <v>2</v>
      </c>
      <c r="AD19">
        <v>0.45683453237409999</v>
      </c>
      <c r="AE19">
        <v>0.45432027950148601</v>
      </c>
      <c r="AF19">
        <v>0.45454545454545398</v>
      </c>
      <c r="AG19">
        <v>0.45432027950148601</v>
      </c>
      <c r="AH19">
        <v>0.45428545428545403</v>
      </c>
      <c r="AI19">
        <v>-9.1133987770768102E-2</v>
      </c>
      <c r="AJ19" t="s">
        <v>179</v>
      </c>
      <c r="AK19">
        <v>0.42191166501538202</v>
      </c>
      <c r="AL19">
        <v>0.40692364355907901</v>
      </c>
      <c r="AM19">
        <v>151</v>
      </c>
      <c r="AN19">
        <v>0.5</v>
      </c>
      <c r="AO19">
        <v>0.48344370860927099</v>
      </c>
      <c r="AP19">
        <v>0.49158249158249101</v>
      </c>
      <c r="AQ19">
        <v>127</v>
      </c>
      <c r="AR19">
        <v>0.40909090909090901</v>
      </c>
      <c r="AS19">
        <v>0.42519685039369998</v>
      </c>
      <c r="AT19">
        <v>0.41698841698841699</v>
      </c>
      <c r="AU19">
        <v>73</v>
      </c>
      <c r="AV19">
        <v>78</v>
      </c>
      <c r="AW19">
        <v>73</v>
      </c>
      <c r="AX19">
        <v>54</v>
      </c>
      <c r="AY19">
        <v>1000</v>
      </c>
      <c r="AZ19">
        <v>0.39372544295351702</v>
      </c>
      <c r="BA19">
        <v>0.51428828365878698</v>
      </c>
      <c r="BB19">
        <v>0.39278264242554101</v>
      </c>
      <c r="BC19">
        <v>0.51046546469231102</v>
      </c>
      <c r="BD19">
        <v>0.39099981625449398</v>
      </c>
      <c r="BE19">
        <v>0.50910628663331503</v>
      </c>
      <c r="BF19">
        <v>-0.212317084483441</v>
      </c>
      <c r="BG19">
        <v>2.0935563406483799E-2</v>
      </c>
      <c r="BH19">
        <v>1000</v>
      </c>
      <c r="BI19">
        <v>0.39563680310833998</v>
      </c>
      <c r="BJ19">
        <v>0.51696735430283203</v>
      </c>
      <c r="BK19">
        <v>7</v>
      </c>
    </row>
    <row r="20" spans="1:63" x14ac:dyDescent="0.3">
      <c r="A20" t="s">
        <v>180</v>
      </c>
      <c r="B20" t="s">
        <v>109</v>
      </c>
      <c r="C20" t="s">
        <v>37</v>
      </c>
      <c r="D20" t="s">
        <v>66</v>
      </c>
      <c r="E20" t="s">
        <v>149</v>
      </c>
      <c r="F20">
        <v>8</v>
      </c>
      <c r="G20" t="s">
        <v>24</v>
      </c>
      <c r="H20" t="s">
        <v>36</v>
      </c>
      <c r="I20" t="s">
        <v>34</v>
      </c>
      <c r="J20" t="s">
        <v>30</v>
      </c>
      <c r="K20" t="s">
        <v>111</v>
      </c>
      <c r="L20">
        <v>10</v>
      </c>
      <c r="M20">
        <v>278</v>
      </c>
      <c r="N20">
        <v>42</v>
      </c>
      <c r="O20">
        <v>42</v>
      </c>
      <c r="P20" t="b">
        <v>1</v>
      </c>
      <c r="Q20" t="s">
        <v>112</v>
      </c>
      <c r="R20">
        <v>0.53778966131907302</v>
      </c>
      <c r="S20">
        <v>42</v>
      </c>
      <c r="T20">
        <v>0</v>
      </c>
      <c r="U20" t="s">
        <v>181</v>
      </c>
      <c r="V20" t="s">
        <v>141</v>
      </c>
      <c r="W20">
        <v>0.5</v>
      </c>
      <c r="X20" t="b">
        <v>0</v>
      </c>
      <c r="Y20">
        <v>6.7948084014933503</v>
      </c>
      <c r="Z20">
        <v>0.45804669870994902</v>
      </c>
      <c r="AA20">
        <v>1019.69508640002</v>
      </c>
      <c r="AB20">
        <v>278</v>
      </c>
      <c r="AC20">
        <v>2</v>
      </c>
      <c r="AD20">
        <v>0.53956834532374098</v>
      </c>
      <c r="AE20">
        <v>0.53235646868644704</v>
      </c>
      <c r="AF20">
        <v>0.53310216057615301</v>
      </c>
      <c r="AG20">
        <v>0.53235646868644704</v>
      </c>
      <c r="AH20">
        <v>0.53171553403168903</v>
      </c>
      <c r="AI20">
        <v>6.54543817367811E-2</v>
      </c>
      <c r="AJ20" t="s">
        <v>182</v>
      </c>
      <c r="AK20">
        <v>0.53532877926682998</v>
      </c>
      <c r="AL20">
        <v>0.48484641696012998</v>
      </c>
      <c r="AM20">
        <v>151</v>
      </c>
      <c r="AN20">
        <v>0.57055214723926295</v>
      </c>
      <c r="AO20">
        <v>0.61589403973509904</v>
      </c>
      <c r="AP20">
        <v>0.59235668789808904</v>
      </c>
      <c r="AQ20">
        <v>127</v>
      </c>
      <c r="AR20">
        <v>0.495652173913043</v>
      </c>
      <c r="AS20">
        <v>0.44881889763779498</v>
      </c>
      <c r="AT20">
        <v>0.47107438016528902</v>
      </c>
      <c r="AU20">
        <v>93</v>
      </c>
      <c r="AV20">
        <v>58</v>
      </c>
      <c r="AW20">
        <v>70</v>
      </c>
      <c r="AX20">
        <v>57</v>
      </c>
      <c r="AY20">
        <v>1000</v>
      </c>
      <c r="AZ20">
        <v>0.47438476737919799</v>
      </c>
      <c r="BA20">
        <v>0.60142480072487503</v>
      </c>
      <c r="BB20">
        <v>0.46781199361380099</v>
      </c>
      <c r="BC20">
        <v>0.59462974339446095</v>
      </c>
      <c r="BD20">
        <v>0.46399362086366602</v>
      </c>
      <c r="BE20">
        <v>0.59179027634344505</v>
      </c>
      <c r="BF20">
        <v>-6.5128259140910305E-2</v>
      </c>
      <c r="BG20">
        <v>0.190649569048217</v>
      </c>
      <c r="BH20">
        <v>1000</v>
      </c>
      <c r="BI20">
        <v>0.462005916950113</v>
      </c>
      <c r="BJ20">
        <v>0.61006071197168998</v>
      </c>
      <c r="BK20">
        <v>1</v>
      </c>
    </row>
    <row r="21" spans="1:63" x14ac:dyDescent="0.3">
      <c r="A21" t="s">
        <v>183</v>
      </c>
      <c r="B21" t="s">
        <v>109</v>
      </c>
      <c r="C21" t="s">
        <v>37</v>
      </c>
      <c r="D21" t="s">
        <v>66</v>
      </c>
      <c r="E21" t="s">
        <v>153</v>
      </c>
      <c r="F21">
        <v>9</v>
      </c>
      <c r="G21" t="s">
        <v>24</v>
      </c>
      <c r="H21" t="s">
        <v>36</v>
      </c>
      <c r="I21" t="s">
        <v>35</v>
      </c>
      <c r="J21" t="s">
        <v>30</v>
      </c>
      <c r="K21" t="s">
        <v>111</v>
      </c>
      <c r="L21">
        <v>10</v>
      </c>
      <c r="M21">
        <v>278</v>
      </c>
      <c r="N21">
        <v>42</v>
      </c>
      <c r="O21">
        <v>42</v>
      </c>
      <c r="P21" t="b">
        <v>1</v>
      </c>
      <c r="Q21" t="s">
        <v>112</v>
      </c>
      <c r="R21">
        <v>0.44811932348696998</v>
      </c>
      <c r="S21">
        <v>42</v>
      </c>
      <c r="T21">
        <v>0</v>
      </c>
      <c r="U21" t="s">
        <v>184</v>
      </c>
      <c r="V21" t="s">
        <v>141</v>
      </c>
      <c r="W21">
        <v>0.57142857142857095</v>
      </c>
      <c r="X21" t="b">
        <v>0</v>
      </c>
      <c r="Y21">
        <v>6.8722510009538302</v>
      </c>
      <c r="Z21">
        <v>0.40343050006776998</v>
      </c>
      <c r="AA21">
        <v>1083.1527720000499</v>
      </c>
      <c r="AB21">
        <v>278</v>
      </c>
      <c r="AC21">
        <v>2</v>
      </c>
      <c r="AD21">
        <v>0.43884892086330901</v>
      </c>
      <c r="AE21">
        <v>0.431506492152057</v>
      </c>
      <c r="AF21">
        <v>0.43027021287890799</v>
      </c>
      <c r="AG21">
        <v>0.431506492152057</v>
      </c>
      <c r="AH21">
        <v>0.43032786885245899</v>
      </c>
      <c r="AI21">
        <v>-0.13821776617228099</v>
      </c>
      <c r="AJ21" t="s">
        <v>185</v>
      </c>
      <c r="AK21">
        <v>0.41325546227251297</v>
      </c>
      <c r="AL21">
        <v>0.40824700760432198</v>
      </c>
      <c r="AM21">
        <v>151</v>
      </c>
      <c r="AN21">
        <v>0.48447204968944102</v>
      </c>
      <c r="AO21">
        <v>0.51655629139072801</v>
      </c>
      <c r="AP21">
        <v>0.5</v>
      </c>
      <c r="AQ21">
        <v>127</v>
      </c>
      <c r="AR21">
        <v>0.37606837606837601</v>
      </c>
      <c r="AS21">
        <v>0.34645669291338499</v>
      </c>
      <c r="AT21">
        <v>0.36065573770491799</v>
      </c>
      <c r="AU21">
        <v>78</v>
      </c>
      <c r="AV21">
        <v>73</v>
      </c>
      <c r="AW21">
        <v>83</v>
      </c>
      <c r="AX21">
        <v>44</v>
      </c>
      <c r="AY21">
        <v>1000</v>
      </c>
      <c r="AZ21">
        <v>0.36968587842846501</v>
      </c>
      <c r="BA21">
        <v>0.51592174918228695</v>
      </c>
      <c r="BB21">
        <v>0.36737848747150498</v>
      </c>
      <c r="BC21">
        <v>0.50351777175184997</v>
      </c>
      <c r="BD21">
        <v>0.36550757932290001</v>
      </c>
      <c r="BE21">
        <v>0.49986937045688801</v>
      </c>
      <c r="BF21">
        <v>-0.26456579001004898</v>
      </c>
      <c r="BG21">
        <v>7.2087991787485803E-3</v>
      </c>
      <c r="BH21">
        <v>1000</v>
      </c>
      <c r="BI21">
        <v>0.368847808831193</v>
      </c>
      <c r="BJ21">
        <v>0.53086716504783704</v>
      </c>
      <c r="BK21">
        <v>10</v>
      </c>
    </row>
    <row r="22" spans="1:63" x14ac:dyDescent="0.3">
      <c r="A22" t="s">
        <v>186</v>
      </c>
      <c r="B22" t="s">
        <v>109</v>
      </c>
      <c r="C22" t="s">
        <v>25</v>
      </c>
      <c r="D22" t="s">
        <v>67</v>
      </c>
      <c r="E22" t="s">
        <v>110</v>
      </c>
      <c r="F22">
        <v>0</v>
      </c>
      <c r="G22" t="s">
        <v>24</v>
      </c>
      <c r="H22" t="s">
        <v>26</v>
      </c>
      <c r="I22" t="s">
        <v>27</v>
      </c>
      <c r="J22" t="s">
        <v>30</v>
      </c>
      <c r="K22" t="s">
        <v>111</v>
      </c>
      <c r="L22">
        <v>10</v>
      </c>
      <c r="M22">
        <v>332</v>
      </c>
      <c r="N22">
        <v>42</v>
      </c>
      <c r="O22">
        <v>42</v>
      </c>
      <c r="P22" t="b">
        <v>1</v>
      </c>
      <c r="Q22" t="s">
        <v>112</v>
      </c>
      <c r="R22">
        <v>0.32506061902724198</v>
      </c>
      <c r="S22">
        <v>42</v>
      </c>
      <c r="T22">
        <v>0</v>
      </c>
      <c r="U22" t="s">
        <v>187</v>
      </c>
      <c r="V22" t="s">
        <v>141</v>
      </c>
      <c r="W22">
        <v>0.35714285714285698</v>
      </c>
      <c r="X22" t="b">
        <v>0</v>
      </c>
      <c r="Y22">
        <v>6.0890329978428701</v>
      </c>
      <c r="Z22">
        <v>0.36704910034313798</v>
      </c>
      <c r="AA22">
        <v>789.78712590015402</v>
      </c>
      <c r="AB22">
        <v>332</v>
      </c>
      <c r="AC22">
        <v>3</v>
      </c>
      <c r="AD22">
        <v>0.33734939759036098</v>
      </c>
      <c r="AE22">
        <v>0.33821923264718701</v>
      </c>
      <c r="AF22">
        <v>0.33752634717253199</v>
      </c>
      <c r="AG22">
        <v>0.33821923264718701</v>
      </c>
      <c r="AH22">
        <v>0.33708254874174098</v>
      </c>
      <c r="AI22">
        <v>6.4219686566747902E-3</v>
      </c>
      <c r="AJ22" t="s">
        <v>188</v>
      </c>
      <c r="AK22">
        <v>0.47766654318684698</v>
      </c>
      <c r="AM22">
        <v>104</v>
      </c>
      <c r="AN22">
        <v>0.32773109243697401</v>
      </c>
      <c r="AO22">
        <v>0.375</v>
      </c>
      <c r="AP22">
        <v>0.34977578475336302</v>
      </c>
      <c r="AQ22">
        <v>109</v>
      </c>
      <c r="AR22">
        <v>0.33663366336633599</v>
      </c>
      <c r="AS22">
        <v>0.31192660550458701</v>
      </c>
      <c r="AT22">
        <v>0.32380952380952299</v>
      </c>
      <c r="AU22">
        <v>119</v>
      </c>
      <c r="AV22">
        <v>0.34821428571428498</v>
      </c>
      <c r="AW22">
        <v>0.32773109243697401</v>
      </c>
      <c r="AX22">
        <v>0.337662337662337</v>
      </c>
      <c r="AY22">
        <v>1000</v>
      </c>
      <c r="AZ22">
        <v>0.29214674011360697</v>
      </c>
      <c r="BA22">
        <v>0.38555407038488299</v>
      </c>
      <c r="BB22">
        <v>0.29332931313534699</v>
      </c>
      <c r="BC22">
        <v>0.38763067139547802</v>
      </c>
      <c r="BD22">
        <v>0.28959313385054902</v>
      </c>
      <c r="BE22">
        <v>0.384036435047303</v>
      </c>
      <c r="BF22">
        <v>-6.1390885700694002E-2</v>
      </c>
      <c r="BG22">
        <v>7.8728463369340806E-2</v>
      </c>
      <c r="BH22">
        <v>1000</v>
      </c>
      <c r="BI22">
        <v>0.27767589428412598</v>
      </c>
      <c r="BJ22">
        <v>0.37417892807452302</v>
      </c>
      <c r="BK22">
        <v>8</v>
      </c>
    </row>
    <row r="23" spans="1:63" x14ac:dyDescent="0.3">
      <c r="A23" t="s">
        <v>189</v>
      </c>
      <c r="B23" t="s">
        <v>109</v>
      </c>
      <c r="C23" t="s">
        <v>25</v>
      </c>
      <c r="D23" t="s">
        <v>67</v>
      </c>
      <c r="E23" t="s">
        <v>117</v>
      </c>
      <c r="F23">
        <v>1</v>
      </c>
      <c r="G23" t="s">
        <v>24</v>
      </c>
      <c r="H23" t="s">
        <v>26</v>
      </c>
      <c r="I23" t="s">
        <v>32</v>
      </c>
      <c r="J23" t="s">
        <v>30</v>
      </c>
      <c r="K23" t="s">
        <v>111</v>
      </c>
      <c r="L23">
        <v>10</v>
      </c>
      <c r="M23">
        <v>332</v>
      </c>
      <c r="N23">
        <v>42</v>
      </c>
      <c r="O23">
        <v>42</v>
      </c>
      <c r="P23" t="b">
        <v>1</v>
      </c>
      <c r="Q23" t="s">
        <v>112</v>
      </c>
      <c r="R23">
        <v>0.36869205534160598</v>
      </c>
      <c r="S23">
        <v>42</v>
      </c>
      <c r="T23">
        <v>0</v>
      </c>
      <c r="U23" t="s">
        <v>190</v>
      </c>
      <c r="V23" t="s">
        <v>141</v>
      </c>
      <c r="W23">
        <v>0.28571428571428498</v>
      </c>
      <c r="X23" t="b">
        <v>0</v>
      </c>
      <c r="Y23">
        <v>6.3240773007273603</v>
      </c>
      <c r="Z23">
        <v>0.40942190005443901</v>
      </c>
      <c r="AA23">
        <v>820.95682439999598</v>
      </c>
      <c r="AB23">
        <v>332</v>
      </c>
      <c r="AC23">
        <v>3</v>
      </c>
      <c r="AD23">
        <v>0.35542168674698699</v>
      </c>
      <c r="AE23">
        <v>0.35631210847076999</v>
      </c>
      <c r="AF23">
        <v>0.351634222415321</v>
      </c>
      <c r="AG23">
        <v>0.35631210847076999</v>
      </c>
      <c r="AH23">
        <v>0.35256709400914199</v>
      </c>
      <c r="AI23">
        <v>3.2311602258066299E-2</v>
      </c>
      <c r="AJ23" t="s">
        <v>191</v>
      </c>
      <c r="AK23">
        <v>0.51153268594646695</v>
      </c>
      <c r="AM23">
        <v>104</v>
      </c>
      <c r="AN23">
        <v>0.38655462184873901</v>
      </c>
      <c r="AO23">
        <v>0.44230769230769201</v>
      </c>
      <c r="AP23">
        <v>0.412556053811659</v>
      </c>
      <c r="AQ23">
        <v>109</v>
      </c>
      <c r="AR23">
        <v>0.30769230769230699</v>
      </c>
      <c r="AS23">
        <v>0.25688073394495398</v>
      </c>
      <c r="AT23">
        <v>0.28000000000000003</v>
      </c>
      <c r="AU23">
        <v>119</v>
      </c>
      <c r="AV23">
        <v>0.36065573770491799</v>
      </c>
      <c r="AW23">
        <v>0.369747899159663</v>
      </c>
      <c r="AX23">
        <v>0.365145228215767</v>
      </c>
      <c r="AY23">
        <v>1000</v>
      </c>
      <c r="AZ23">
        <v>0.30421686746987903</v>
      </c>
      <c r="BA23">
        <v>0.40419320932602798</v>
      </c>
      <c r="BB23">
        <v>0.304349331794389</v>
      </c>
      <c r="BC23">
        <v>0.40907188534226901</v>
      </c>
      <c r="BD23">
        <v>0.30162667887667799</v>
      </c>
      <c r="BE23">
        <v>0.40134866233258998</v>
      </c>
      <c r="BF23">
        <v>-4.3696760686094002E-2</v>
      </c>
      <c r="BG23">
        <v>0.10735291374044</v>
      </c>
      <c r="BH23">
        <v>1000</v>
      </c>
      <c r="BI23">
        <v>0.316397924788823</v>
      </c>
      <c r="BJ23">
        <v>0.42344718567251399</v>
      </c>
      <c r="BK23">
        <v>3</v>
      </c>
    </row>
    <row r="24" spans="1:63" x14ac:dyDescent="0.3">
      <c r="A24" t="s">
        <v>192</v>
      </c>
      <c r="B24" t="s">
        <v>109</v>
      </c>
      <c r="C24" t="s">
        <v>25</v>
      </c>
      <c r="D24" t="s">
        <v>67</v>
      </c>
      <c r="E24" t="s">
        <v>122</v>
      </c>
      <c r="F24">
        <v>2</v>
      </c>
      <c r="G24" t="s">
        <v>24</v>
      </c>
      <c r="H24" t="s">
        <v>26</v>
      </c>
      <c r="I24" t="s">
        <v>33</v>
      </c>
      <c r="J24" t="s">
        <v>30</v>
      </c>
      <c r="K24" t="s">
        <v>111</v>
      </c>
      <c r="L24">
        <v>10</v>
      </c>
      <c r="M24">
        <v>332</v>
      </c>
      <c r="N24">
        <v>42</v>
      </c>
      <c r="O24">
        <v>42</v>
      </c>
      <c r="P24" t="b">
        <v>1</v>
      </c>
      <c r="Q24" t="s">
        <v>112</v>
      </c>
      <c r="R24">
        <v>0.30288831835686703</v>
      </c>
      <c r="S24">
        <v>42</v>
      </c>
      <c r="T24">
        <v>0</v>
      </c>
      <c r="U24" t="s">
        <v>193</v>
      </c>
      <c r="V24" t="s">
        <v>136</v>
      </c>
      <c r="W24">
        <v>0.30952380952380898</v>
      </c>
      <c r="X24" t="b">
        <v>0</v>
      </c>
      <c r="Y24">
        <v>6.2368776001967401</v>
      </c>
      <c r="Z24">
        <v>0.45213120011612701</v>
      </c>
      <c r="AA24">
        <v>852.07402139995202</v>
      </c>
      <c r="AB24">
        <v>332</v>
      </c>
      <c r="AC24">
        <v>3</v>
      </c>
      <c r="AD24">
        <v>0.33433734939759002</v>
      </c>
      <c r="AE24">
        <v>0.332370139304839</v>
      </c>
      <c r="AF24">
        <v>0.33394173182139802</v>
      </c>
      <c r="AG24">
        <v>0.332370139304839</v>
      </c>
      <c r="AH24">
        <v>0.331598104725492</v>
      </c>
      <c r="AI24">
        <v>2.6004106089236897E-4</v>
      </c>
      <c r="AJ24" t="s">
        <v>194</v>
      </c>
      <c r="AK24">
        <v>0.48917693574378401</v>
      </c>
      <c r="AM24">
        <v>104</v>
      </c>
      <c r="AN24">
        <v>0.28571428571428498</v>
      </c>
      <c r="AO24">
        <v>0.32692307692307598</v>
      </c>
      <c r="AP24">
        <v>0.30493273542600802</v>
      </c>
      <c r="AQ24">
        <v>109</v>
      </c>
      <c r="AR24">
        <v>0.33707865168539303</v>
      </c>
      <c r="AS24">
        <v>0.27522935779816499</v>
      </c>
      <c r="AT24">
        <v>0.30303030303030298</v>
      </c>
      <c r="AU24">
        <v>119</v>
      </c>
      <c r="AV24">
        <v>0.37903225806451601</v>
      </c>
      <c r="AW24">
        <v>0.39495798319327702</v>
      </c>
      <c r="AX24">
        <v>0.38683127572016401</v>
      </c>
      <c r="AY24">
        <v>1000</v>
      </c>
      <c r="AZ24">
        <v>0.28828828828828801</v>
      </c>
      <c r="BA24">
        <v>0.38323353293413098</v>
      </c>
      <c r="BB24">
        <v>0.286848446416753</v>
      </c>
      <c r="BC24">
        <v>0.37997641513497998</v>
      </c>
      <c r="BD24">
        <v>0.28371605586878601</v>
      </c>
      <c r="BE24">
        <v>0.377441556685088</v>
      </c>
      <c r="BF24">
        <v>-6.9865298733453401E-2</v>
      </c>
      <c r="BG24">
        <v>7.1645845203028899E-2</v>
      </c>
      <c r="BH24">
        <v>1000</v>
      </c>
      <c r="BI24">
        <v>0.25648583030238198</v>
      </c>
      <c r="BJ24">
        <v>0.35140424736715298</v>
      </c>
      <c r="BK24">
        <v>10</v>
      </c>
    </row>
    <row r="25" spans="1:63" x14ac:dyDescent="0.3">
      <c r="A25" t="s">
        <v>195</v>
      </c>
      <c r="B25" t="s">
        <v>109</v>
      </c>
      <c r="C25" t="s">
        <v>25</v>
      </c>
      <c r="D25" t="s">
        <v>67</v>
      </c>
      <c r="E25" t="s">
        <v>126</v>
      </c>
      <c r="F25">
        <v>3</v>
      </c>
      <c r="G25" t="s">
        <v>24</v>
      </c>
      <c r="H25" t="s">
        <v>26</v>
      </c>
      <c r="I25" t="s">
        <v>34</v>
      </c>
      <c r="J25" t="s">
        <v>30</v>
      </c>
      <c r="K25" t="s">
        <v>111</v>
      </c>
      <c r="L25">
        <v>10</v>
      </c>
      <c r="M25">
        <v>332</v>
      </c>
      <c r="N25">
        <v>42</v>
      </c>
      <c r="O25">
        <v>42</v>
      </c>
      <c r="P25" t="b">
        <v>1</v>
      </c>
      <c r="Q25" t="s">
        <v>112</v>
      </c>
      <c r="R25">
        <v>0.34052203679931498</v>
      </c>
      <c r="S25">
        <v>42</v>
      </c>
      <c r="T25">
        <v>0</v>
      </c>
      <c r="U25" t="s">
        <v>196</v>
      </c>
      <c r="V25" t="s">
        <v>119</v>
      </c>
      <c r="W25">
        <v>0.214285714285714</v>
      </c>
      <c r="X25" t="b">
        <v>0</v>
      </c>
      <c r="Y25">
        <v>7.1521495031192899</v>
      </c>
      <c r="Z25">
        <v>0.49183260044082999</v>
      </c>
      <c r="AA25">
        <v>883.27658289996896</v>
      </c>
      <c r="AB25">
        <v>332</v>
      </c>
      <c r="AC25">
        <v>3</v>
      </c>
      <c r="AD25">
        <v>0.34939759036144502</v>
      </c>
      <c r="AE25">
        <v>0.351370858858716</v>
      </c>
      <c r="AF25">
        <v>0.34645860578320198</v>
      </c>
      <c r="AG25">
        <v>0.351370858858716</v>
      </c>
      <c r="AH25">
        <v>0.34670907120696998</v>
      </c>
      <c r="AI25">
        <v>2.5356419273563701E-2</v>
      </c>
      <c r="AJ25" t="s">
        <v>197</v>
      </c>
      <c r="AK25">
        <v>0.51881125818471496</v>
      </c>
      <c r="AM25">
        <v>104</v>
      </c>
      <c r="AN25">
        <v>0.3671875</v>
      </c>
      <c r="AO25">
        <v>0.45192307692307598</v>
      </c>
      <c r="AP25">
        <v>0.40517241379310298</v>
      </c>
      <c r="AQ25">
        <v>109</v>
      </c>
      <c r="AR25">
        <v>0.31182795698924698</v>
      </c>
      <c r="AS25">
        <v>0.26605504587155898</v>
      </c>
      <c r="AT25">
        <v>0.287128712871287</v>
      </c>
      <c r="AU25">
        <v>119</v>
      </c>
      <c r="AV25">
        <v>0.36036036036036001</v>
      </c>
      <c r="AW25">
        <v>0.33613445378151202</v>
      </c>
      <c r="AX25">
        <v>0.34782608695652101</v>
      </c>
      <c r="AY25">
        <v>1000</v>
      </c>
      <c r="AZ25">
        <v>0.30027782273291198</v>
      </c>
      <c r="BA25">
        <v>0.404252488997907</v>
      </c>
      <c r="BB25">
        <v>0.30108329370690101</v>
      </c>
      <c r="BC25">
        <v>0.40761885647281598</v>
      </c>
      <c r="BD25">
        <v>0.29531432261755503</v>
      </c>
      <c r="BE25">
        <v>0.40098387038212002</v>
      </c>
      <c r="BF25">
        <v>-4.8968226147906302E-2</v>
      </c>
      <c r="BG25">
        <v>0.110087120497828</v>
      </c>
      <c r="BH25">
        <v>1000</v>
      </c>
      <c r="BI25">
        <v>0.29766941696418497</v>
      </c>
      <c r="BJ25">
        <v>0.38825199290004597</v>
      </c>
      <c r="BK25">
        <v>7</v>
      </c>
    </row>
    <row r="26" spans="1:63" x14ac:dyDescent="0.3">
      <c r="A26" t="s">
        <v>198</v>
      </c>
      <c r="B26" t="s">
        <v>109</v>
      </c>
      <c r="C26" t="s">
        <v>25</v>
      </c>
      <c r="D26" t="s">
        <v>67</v>
      </c>
      <c r="E26" t="s">
        <v>130</v>
      </c>
      <c r="F26">
        <v>4</v>
      </c>
      <c r="G26" t="s">
        <v>24</v>
      </c>
      <c r="H26" t="s">
        <v>26</v>
      </c>
      <c r="I26" t="s">
        <v>35</v>
      </c>
      <c r="J26" t="s">
        <v>30</v>
      </c>
      <c r="K26" t="s">
        <v>111</v>
      </c>
      <c r="L26">
        <v>10</v>
      </c>
      <c r="M26">
        <v>332</v>
      </c>
      <c r="N26">
        <v>42</v>
      </c>
      <c r="O26">
        <v>42</v>
      </c>
      <c r="P26" t="b">
        <v>1</v>
      </c>
      <c r="Q26" t="s">
        <v>112</v>
      </c>
      <c r="R26">
        <v>0.30645770931393501</v>
      </c>
      <c r="S26">
        <v>42</v>
      </c>
      <c r="T26">
        <v>0</v>
      </c>
      <c r="U26" t="s">
        <v>199</v>
      </c>
      <c r="V26" t="s">
        <v>114</v>
      </c>
      <c r="W26">
        <v>0.30952380952380898</v>
      </c>
      <c r="X26" t="b">
        <v>0</v>
      </c>
      <c r="Y26">
        <v>7.1241560010239402</v>
      </c>
      <c r="Z26">
        <v>0.51657960051670604</v>
      </c>
      <c r="AA26">
        <v>914.38922789995502</v>
      </c>
      <c r="AB26">
        <v>332</v>
      </c>
      <c r="AC26">
        <v>3</v>
      </c>
      <c r="AD26">
        <v>0.32228915662650598</v>
      </c>
      <c r="AE26">
        <v>0.31984367494351301</v>
      </c>
      <c r="AF26">
        <v>0.323049867871185</v>
      </c>
      <c r="AG26">
        <v>0.31984367494351301</v>
      </c>
      <c r="AH26">
        <v>0.31872974432418399</v>
      </c>
      <c r="AI26">
        <v>-1.8950227298665499E-2</v>
      </c>
      <c r="AJ26" t="s">
        <v>200</v>
      </c>
      <c r="AK26">
        <v>0.49073337578607301</v>
      </c>
      <c r="AM26">
        <v>104</v>
      </c>
      <c r="AN26">
        <v>0.26890756302521002</v>
      </c>
      <c r="AO26">
        <v>0.30769230769230699</v>
      </c>
      <c r="AP26">
        <v>0.28699551569506698</v>
      </c>
      <c r="AQ26">
        <v>109</v>
      </c>
      <c r="AR26">
        <v>0.34146341463414598</v>
      </c>
      <c r="AS26">
        <v>0.25688073394495398</v>
      </c>
      <c r="AT26">
        <v>0.293193717277486</v>
      </c>
      <c r="AU26">
        <v>119</v>
      </c>
      <c r="AV26">
        <v>0.35877862595419802</v>
      </c>
      <c r="AW26">
        <v>0.39495798319327702</v>
      </c>
      <c r="AX26">
        <v>0.376</v>
      </c>
      <c r="AY26">
        <v>1000</v>
      </c>
      <c r="AZ26">
        <v>0.26888217522658597</v>
      </c>
      <c r="BA26">
        <v>0.37951807228915602</v>
      </c>
      <c r="BB26">
        <v>0.26487206957727899</v>
      </c>
      <c r="BC26">
        <v>0.37768077332516797</v>
      </c>
      <c r="BD26">
        <v>0.26290430352893901</v>
      </c>
      <c r="BE26">
        <v>0.37554921151377701</v>
      </c>
      <c r="BF26">
        <v>-0.10028208494553099</v>
      </c>
      <c r="BG26">
        <v>6.6966724839261096E-2</v>
      </c>
      <c r="BH26">
        <v>1000</v>
      </c>
      <c r="BI26">
        <v>0.25029521636951002</v>
      </c>
      <c r="BJ26">
        <v>0.36499276233871802</v>
      </c>
      <c r="BK26">
        <v>9</v>
      </c>
    </row>
    <row r="27" spans="1:63" x14ac:dyDescent="0.3">
      <c r="A27" t="s">
        <v>201</v>
      </c>
      <c r="B27" t="s">
        <v>109</v>
      </c>
      <c r="C27" t="s">
        <v>25</v>
      </c>
      <c r="D27" t="s">
        <v>67</v>
      </c>
      <c r="E27" t="s">
        <v>134</v>
      </c>
      <c r="F27">
        <v>5</v>
      </c>
      <c r="G27" t="s">
        <v>24</v>
      </c>
      <c r="H27" t="s">
        <v>36</v>
      </c>
      <c r="I27" t="s">
        <v>27</v>
      </c>
      <c r="J27" t="s">
        <v>30</v>
      </c>
      <c r="K27" t="s">
        <v>111</v>
      </c>
      <c r="L27">
        <v>10</v>
      </c>
      <c r="M27">
        <v>332</v>
      </c>
      <c r="N27">
        <v>42</v>
      </c>
      <c r="O27">
        <v>42</v>
      </c>
      <c r="P27" t="b">
        <v>1</v>
      </c>
      <c r="Q27" t="s">
        <v>112</v>
      </c>
      <c r="R27">
        <v>0.34930466409927202</v>
      </c>
      <c r="S27">
        <v>42</v>
      </c>
      <c r="T27">
        <v>0</v>
      </c>
      <c r="U27" t="s">
        <v>202</v>
      </c>
      <c r="V27" t="s">
        <v>136</v>
      </c>
      <c r="W27">
        <v>0.33333333333333298</v>
      </c>
      <c r="X27" t="b">
        <v>0</v>
      </c>
      <c r="Y27">
        <v>5.6015343014150796</v>
      </c>
      <c r="Z27">
        <v>0.38311710045672898</v>
      </c>
      <c r="AA27">
        <v>945.54035910009395</v>
      </c>
      <c r="AB27">
        <v>332</v>
      </c>
      <c r="AC27">
        <v>3</v>
      </c>
      <c r="AD27">
        <v>0.33132530120481901</v>
      </c>
      <c r="AE27">
        <v>0.33302223500550499</v>
      </c>
      <c r="AF27">
        <v>0.327438844680223</v>
      </c>
      <c r="AG27">
        <v>0.33302223500550499</v>
      </c>
      <c r="AH27">
        <v>0.325703913852536</v>
      </c>
      <c r="AI27" s="12">
        <v>-4.1288993093332702E-5</v>
      </c>
      <c r="AJ27" t="s">
        <v>203</v>
      </c>
      <c r="AK27">
        <v>0.48675127259269102</v>
      </c>
      <c r="AM27">
        <v>104</v>
      </c>
      <c r="AN27">
        <v>0.33333333333333298</v>
      </c>
      <c r="AO27">
        <v>0.45192307692307598</v>
      </c>
      <c r="AP27">
        <v>0.38367346938775498</v>
      </c>
      <c r="AQ27">
        <v>109</v>
      </c>
      <c r="AR27">
        <v>0.26436781609195398</v>
      </c>
      <c r="AS27">
        <v>0.21100917431192601</v>
      </c>
      <c r="AT27">
        <v>0.23469387755102</v>
      </c>
      <c r="AU27">
        <v>119</v>
      </c>
      <c r="AV27">
        <v>0.38461538461538403</v>
      </c>
      <c r="AW27">
        <v>0.33613445378151202</v>
      </c>
      <c r="AX27">
        <v>0.35874439461883401</v>
      </c>
      <c r="AY27">
        <v>1000</v>
      </c>
      <c r="AZ27">
        <v>0.27658775797073598</v>
      </c>
      <c r="BA27">
        <v>0.389221556886227</v>
      </c>
      <c r="BB27">
        <v>0.28223499252195999</v>
      </c>
      <c r="BC27">
        <v>0.39020773503404799</v>
      </c>
      <c r="BD27">
        <v>0.27034218285396799</v>
      </c>
      <c r="BE27">
        <v>0.38254949928167198</v>
      </c>
      <c r="BF27">
        <v>-8.0506955883777806E-2</v>
      </c>
      <c r="BG27">
        <v>8.6999535930041894E-2</v>
      </c>
      <c r="BH27">
        <v>1000</v>
      </c>
      <c r="BI27">
        <v>0.28879516499582197</v>
      </c>
      <c r="BJ27">
        <v>0.413822416280896</v>
      </c>
      <c r="BK27">
        <v>5</v>
      </c>
    </row>
    <row r="28" spans="1:63" x14ac:dyDescent="0.3">
      <c r="A28" t="s">
        <v>204</v>
      </c>
      <c r="B28" t="s">
        <v>109</v>
      </c>
      <c r="C28" t="s">
        <v>25</v>
      </c>
      <c r="D28" t="s">
        <v>67</v>
      </c>
      <c r="E28" t="s">
        <v>139</v>
      </c>
      <c r="F28">
        <v>6</v>
      </c>
      <c r="G28" t="s">
        <v>24</v>
      </c>
      <c r="H28" t="s">
        <v>36</v>
      </c>
      <c r="I28" t="s">
        <v>32</v>
      </c>
      <c r="J28" t="s">
        <v>30</v>
      </c>
      <c r="K28" t="s">
        <v>111</v>
      </c>
      <c r="L28">
        <v>10</v>
      </c>
      <c r="M28">
        <v>332</v>
      </c>
      <c r="N28">
        <v>42</v>
      </c>
      <c r="O28">
        <v>42</v>
      </c>
      <c r="P28" t="b">
        <v>1</v>
      </c>
      <c r="Q28" t="s">
        <v>112</v>
      </c>
      <c r="R28">
        <v>0.39363500213949498</v>
      </c>
      <c r="S28">
        <v>42</v>
      </c>
      <c r="T28">
        <v>0</v>
      </c>
      <c r="U28" t="s">
        <v>205</v>
      </c>
      <c r="V28" t="s">
        <v>206</v>
      </c>
      <c r="W28">
        <v>0.33333333333333298</v>
      </c>
      <c r="X28" t="b">
        <v>0</v>
      </c>
      <c r="Y28">
        <v>6.1176951013039798</v>
      </c>
      <c r="Z28">
        <v>0.419429899193346</v>
      </c>
      <c r="AA28">
        <v>977.12563210003998</v>
      </c>
      <c r="AB28">
        <v>332</v>
      </c>
      <c r="AC28">
        <v>3</v>
      </c>
      <c r="AD28">
        <v>0.36746987951807197</v>
      </c>
      <c r="AE28">
        <v>0.37089444105094399</v>
      </c>
      <c r="AF28">
        <v>0.36945873636550702</v>
      </c>
      <c r="AG28">
        <v>0.37089444105094399</v>
      </c>
      <c r="AH28">
        <v>0.36628570579327202</v>
      </c>
      <c r="AI28">
        <v>5.5600225224959297E-2</v>
      </c>
      <c r="AJ28" t="s">
        <v>207</v>
      </c>
      <c r="AK28">
        <v>0.53942857566646796</v>
      </c>
      <c r="AM28">
        <v>104</v>
      </c>
      <c r="AN28">
        <v>0.372093023255813</v>
      </c>
      <c r="AO28">
        <v>0.46153846153846101</v>
      </c>
      <c r="AP28">
        <v>0.41201716738197403</v>
      </c>
      <c r="AQ28">
        <v>109</v>
      </c>
      <c r="AR28">
        <v>0.33628318584070799</v>
      </c>
      <c r="AS28">
        <v>0.34862385321100903</v>
      </c>
      <c r="AT28">
        <v>0.34234234234234201</v>
      </c>
      <c r="AU28">
        <v>119</v>
      </c>
      <c r="AV28">
        <v>0.4</v>
      </c>
      <c r="AW28">
        <v>0.30252100840336099</v>
      </c>
      <c r="AX28">
        <v>0.34449760765550203</v>
      </c>
      <c r="AY28">
        <v>1000</v>
      </c>
      <c r="AZ28">
        <v>0.32634730538922102</v>
      </c>
      <c r="BA28">
        <v>0.41141576027246701</v>
      </c>
      <c r="BB28">
        <v>0.32882086154610801</v>
      </c>
      <c r="BC28">
        <v>0.414993725454192</v>
      </c>
      <c r="BD28">
        <v>0.32483490704089402</v>
      </c>
      <c r="BE28">
        <v>0.40916358413528903</v>
      </c>
      <c r="BF28">
        <v>-6.3396108278997304E-3</v>
      </c>
      <c r="BG28">
        <v>0.120241028448809</v>
      </c>
      <c r="BH28">
        <v>1000</v>
      </c>
      <c r="BI28">
        <v>0.33981779482581698</v>
      </c>
      <c r="BJ28">
        <v>0.45276476257847298</v>
      </c>
      <c r="BK28">
        <v>1</v>
      </c>
    </row>
    <row r="29" spans="1:63" x14ac:dyDescent="0.3">
      <c r="A29" t="s">
        <v>208</v>
      </c>
      <c r="B29" t="s">
        <v>109</v>
      </c>
      <c r="C29" t="s">
        <v>25</v>
      </c>
      <c r="D29" t="s">
        <v>67</v>
      </c>
      <c r="E29" t="s">
        <v>144</v>
      </c>
      <c r="F29">
        <v>7</v>
      </c>
      <c r="G29" t="s">
        <v>24</v>
      </c>
      <c r="H29" t="s">
        <v>36</v>
      </c>
      <c r="I29" t="s">
        <v>33</v>
      </c>
      <c r="J29" t="s">
        <v>30</v>
      </c>
      <c r="K29" t="s">
        <v>111</v>
      </c>
      <c r="L29">
        <v>10</v>
      </c>
      <c r="M29">
        <v>332</v>
      </c>
      <c r="N29">
        <v>42</v>
      </c>
      <c r="O29">
        <v>42</v>
      </c>
      <c r="P29" t="b">
        <v>1</v>
      </c>
      <c r="Q29" t="s">
        <v>112</v>
      </c>
      <c r="R29">
        <v>0.37256810726001899</v>
      </c>
      <c r="S29">
        <v>42</v>
      </c>
      <c r="T29">
        <v>0</v>
      </c>
      <c r="U29" t="s">
        <v>209</v>
      </c>
      <c r="V29" t="s">
        <v>141</v>
      </c>
      <c r="W29">
        <v>0.38095238095237999</v>
      </c>
      <c r="X29" t="b">
        <v>0</v>
      </c>
      <c r="Y29">
        <v>6.2641772008500904</v>
      </c>
      <c r="Z29">
        <v>0.41168100060895002</v>
      </c>
      <c r="AA29">
        <v>1033.2887957000601</v>
      </c>
      <c r="AB29">
        <v>332</v>
      </c>
      <c r="AC29">
        <v>3</v>
      </c>
      <c r="AD29">
        <v>0.37650602409638501</v>
      </c>
      <c r="AE29">
        <v>0.37478205820083799</v>
      </c>
      <c r="AF29">
        <v>0.36772430269444201</v>
      </c>
      <c r="AG29">
        <v>0.37478205820083799</v>
      </c>
      <c r="AH29">
        <v>0.36571510630418103</v>
      </c>
      <c r="AI29">
        <v>6.6169147898603106E-2</v>
      </c>
      <c r="AJ29" t="s">
        <v>210</v>
      </c>
      <c r="AK29">
        <v>0.50870651721376603</v>
      </c>
      <c r="AM29">
        <v>104</v>
      </c>
      <c r="AN29">
        <v>0.34306569343065602</v>
      </c>
      <c r="AO29">
        <v>0.45192307692307598</v>
      </c>
      <c r="AP29">
        <v>0.390041493775933</v>
      </c>
      <c r="AQ29">
        <v>109</v>
      </c>
      <c r="AR29">
        <v>0.29729729729729698</v>
      </c>
      <c r="AS29">
        <v>0.201834862385321</v>
      </c>
      <c r="AT29">
        <v>0.24043715846994501</v>
      </c>
      <c r="AU29">
        <v>119</v>
      </c>
      <c r="AV29">
        <v>0.46280991735537103</v>
      </c>
      <c r="AW29">
        <v>0.47058823529411697</v>
      </c>
      <c r="AX29">
        <v>0.46666666666666601</v>
      </c>
      <c r="AY29">
        <v>1000</v>
      </c>
      <c r="AZ29">
        <v>0.328313253012048</v>
      </c>
      <c r="BA29">
        <v>0.43296991993476103</v>
      </c>
      <c r="BB29">
        <v>0.32901997353579798</v>
      </c>
      <c r="BC29">
        <v>0.42643720849551597</v>
      </c>
      <c r="BD29">
        <v>0.31948206041281602</v>
      </c>
      <c r="BE29">
        <v>0.41672370256656399</v>
      </c>
      <c r="BF29">
        <v>-2.97948559058559E-3</v>
      </c>
      <c r="BG29">
        <v>0.147507521564084</v>
      </c>
      <c r="BH29">
        <v>1000</v>
      </c>
      <c r="BI29">
        <v>0.318169112016151</v>
      </c>
      <c r="BJ29">
        <v>0.43193709252919699</v>
      </c>
      <c r="BK29">
        <v>2</v>
      </c>
    </row>
    <row r="30" spans="1:63" x14ac:dyDescent="0.3">
      <c r="A30" t="s">
        <v>211</v>
      </c>
      <c r="B30" t="s">
        <v>109</v>
      </c>
      <c r="C30" t="s">
        <v>25</v>
      </c>
      <c r="D30" t="s">
        <v>67</v>
      </c>
      <c r="E30" t="s">
        <v>149</v>
      </c>
      <c r="F30">
        <v>8</v>
      </c>
      <c r="G30" t="s">
        <v>24</v>
      </c>
      <c r="H30" t="s">
        <v>36</v>
      </c>
      <c r="I30" t="s">
        <v>34</v>
      </c>
      <c r="J30" t="s">
        <v>30</v>
      </c>
      <c r="K30" t="s">
        <v>111</v>
      </c>
      <c r="L30">
        <v>10</v>
      </c>
      <c r="M30">
        <v>332</v>
      </c>
      <c r="N30">
        <v>42</v>
      </c>
      <c r="O30">
        <v>42</v>
      </c>
      <c r="P30" t="b">
        <v>1</v>
      </c>
      <c r="Q30" t="s">
        <v>112</v>
      </c>
      <c r="R30">
        <v>0.355919269719012</v>
      </c>
      <c r="S30">
        <v>42</v>
      </c>
      <c r="T30">
        <v>0</v>
      </c>
      <c r="U30" t="s">
        <v>212</v>
      </c>
      <c r="V30" t="s">
        <v>114</v>
      </c>
      <c r="W30">
        <v>0.33333333333333298</v>
      </c>
      <c r="X30" t="b">
        <v>0</v>
      </c>
      <c r="Y30">
        <v>6.9608703004196197</v>
      </c>
      <c r="Z30">
        <v>0.48521359846927198</v>
      </c>
      <c r="AA30">
        <v>1099.9665113000599</v>
      </c>
      <c r="AB30">
        <v>332</v>
      </c>
      <c r="AC30">
        <v>3</v>
      </c>
      <c r="AD30">
        <v>0.35240963855421598</v>
      </c>
      <c r="AE30">
        <v>0.353695077184014</v>
      </c>
      <c r="AF30">
        <v>0.348366606170598</v>
      </c>
      <c r="AG30">
        <v>0.353695077184014</v>
      </c>
      <c r="AH30">
        <v>0.34518896294271201</v>
      </c>
      <c r="AI30">
        <v>3.0343113440033001E-2</v>
      </c>
      <c r="AJ30" t="s">
        <v>213</v>
      </c>
      <c r="AK30">
        <v>0.50502575914722903</v>
      </c>
      <c r="AM30">
        <v>104</v>
      </c>
      <c r="AN30">
        <v>0.35</v>
      </c>
      <c r="AO30">
        <v>0.47115384615384598</v>
      </c>
      <c r="AP30">
        <v>0.40163934426229497</v>
      </c>
      <c r="AQ30">
        <v>109</v>
      </c>
      <c r="AR30">
        <v>0.31578947368421001</v>
      </c>
      <c r="AS30">
        <v>0.22018348623853201</v>
      </c>
      <c r="AT30">
        <v>0.25945945945945897</v>
      </c>
      <c r="AU30">
        <v>119</v>
      </c>
      <c r="AV30">
        <v>0.37931034482758602</v>
      </c>
      <c r="AW30">
        <v>0.369747899159663</v>
      </c>
      <c r="AX30">
        <v>0.37446808510638202</v>
      </c>
      <c r="AY30">
        <v>1000</v>
      </c>
      <c r="AZ30">
        <v>0.30118220630268799</v>
      </c>
      <c r="BA30">
        <v>0.400626725412007</v>
      </c>
      <c r="BB30">
        <v>0.30518496183014998</v>
      </c>
      <c r="BC30">
        <v>0.40398614320417098</v>
      </c>
      <c r="BD30">
        <v>0.294458817154931</v>
      </c>
      <c r="BE30">
        <v>0.39236217937280898</v>
      </c>
      <c r="BF30">
        <v>-4.3287623375598099E-2</v>
      </c>
      <c r="BG30">
        <v>0.10567477480795499</v>
      </c>
      <c r="BH30">
        <v>1000</v>
      </c>
      <c r="BI30">
        <v>0.30266139281932702</v>
      </c>
      <c r="BJ30">
        <v>0.40582517107188099</v>
      </c>
      <c r="BK30">
        <v>4</v>
      </c>
    </row>
    <row r="31" spans="1:63" x14ac:dyDescent="0.3">
      <c r="A31" t="s">
        <v>214</v>
      </c>
      <c r="B31" t="s">
        <v>109</v>
      </c>
      <c r="C31" t="s">
        <v>25</v>
      </c>
      <c r="D31" t="s">
        <v>67</v>
      </c>
      <c r="E31" t="s">
        <v>153</v>
      </c>
      <c r="F31">
        <v>9</v>
      </c>
      <c r="G31" t="s">
        <v>24</v>
      </c>
      <c r="H31" t="s">
        <v>36</v>
      </c>
      <c r="I31" t="s">
        <v>35</v>
      </c>
      <c r="J31" t="s">
        <v>30</v>
      </c>
      <c r="K31" t="s">
        <v>111</v>
      </c>
      <c r="L31">
        <v>10</v>
      </c>
      <c r="M31">
        <v>332</v>
      </c>
      <c r="N31">
        <v>42</v>
      </c>
      <c r="O31">
        <v>42</v>
      </c>
      <c r="P31" t="b">
        <v>1</v>
      </c>
      <c r="Q31" t="s">
        <v>112</v>
      </c>
      <c r="R31">
        <v>0.34502567394094902</v>
      </c>
      <c r="S31">
        <v>42</v>
      </c>
      <c r="T31">
        <v>0</v>
      </c>
      <c r="U31" t="s">
        <v>215</v>
      </c>
      <c r="V31" t="s">
        <v>114</v>
      </c>
      <c r="W31">
        <v>0.28571428571428498</v>
      </c>
      <c r="X31" t="b">
        <v>0</v>
      </c>
      <c r="Y31">
        <v>7.0531836007721704</v>
      </c>
      <c r="Z31">
        <v>0.46931040077470199</v>
      </c>
      <c r="AA31">
        <v>1165.1573858000299</v>
      </c>
      <c r="AB31">
        <v>332</v>
      </c>
      <c r="AC31">
        <v>3</v>
      </c>
      <c r="AD31">
        <v>0.35240963855421598</v>
      </c>
      <c r="AE31">
        <v>0.35218900545398102</v>
      </c>
      <c r="AF31">
        <v>0.34754606274715399</v>
      </c>
      <c r="AG31">
        <v>0.35218900545398102</v>
      </c>
      <c r="AH31">
        <v>0.34751257035715</v>
      </c>
      <c r="AI31">
        <v>2.7849119641362999E-2</v>
      </c>
      <c r="AJ31" t="s">
        <v>216</v>
      </c>
      <c r="AK31">
        <v>0.523850089980058</v>
      </c>
      <c r="AM31">
        <v>104</v>
      </c>
      <c r="AN31">
        <v>0.35772357723577197</v>
      </c>
      <c r="AO31">
        <v>0.42307692307692302</v>
      </c>
      <c r="AP31">
        <v>0.38766519823788498</v>
      </c>
      <c r="AQ31">
        <v>109</v>
      </c>
      <c r="AR31">
        <v>0.30588235294117599</v>
      </c>
      <c r="AS31">
        <v>0.23853211009174299</v>
      </c>
      <c r="AT31">
        <v>0.268041237113402</v>
      </c>
      <c r="AU31">
        <v>119</v>
      </c>
      <c r="AV31">
        <v>0.37903225806451601</v>
      </c>
      <c r="AW31">
        <v>0.39495798319327702</v>
      </c>
      <c r="AX31">
        <v>0.38683127572016401</v>
      </c>
      <c r="AY31">
        <v>1000</v>
      </c>
      <c r="AZ31">
        <v>0.30118220630268799</v>
      </c>
      <c r="BA31">
        <v>0.399399399399399</v>
      </c>
      <c r="BB31">
        <v>0.30015197562329099</v>
      </c>
      <c r="BC31">
        <v>0.40179856524357299</v>
      </c>
      <c r="BD31">
        <v>0.29694917848580399</v>
      </c>
      <c r="BE31">
        <v>0.39477072642473898</v>
      </c>
      <c r="BF31">
        <v>-4.7816578581737899E-2</v>
      </c>
      <c r="BG31">
        <v>0.100854325779487</v>
      </c>
      <c r="BH31">
        <v>1000</v>
      </c>
      <c r="BI31">
        <v>0.29244707466498199</v>
      </c>
      <c r="BJ31">
        <v>0.397290469040469</v>
      </c>
      <c r="BK31">
        <v>6</v>
      </c>
    </row>
    <row r="32" spans="1:63" x14ac:dyDescent="0.3">
      <c r="A32" t="s">
        <v>217</v>
      </c>
      <c r="B32" t="s">
        <v>109</v>
      </c>
      <c r="C32" t="s">
        <v>37</v>
      </c>
      <c r="D32" t="s">
        <v>67</v>
      </c>
      <c r="E32" t="s">
        <v>110</v>
      </c>
      <c r="F32">
        <v>0</v>
      </c>
      <c r="G32" t="s">
        <v>24</v>
      </c>
      <c r="H32" t="s">
        <v>26</v>
      </c>
      <c r="I32" t="s">
        <v>27</v>
      </c>
      <c r="J32" t="s">
        <v>30</v>
      </c>
      <c r="K32" t="s">
        <v>111</v>
      </c>
      <c r="L32">
        <v>10</v>
      </c>
      <c r="M32">
        <v>332</v>
      </c>
      <c r="N32">
        <v>42</v>
      </c>
      <c r="O32">
        <v>42</v>
      </c>
      <c r="P32" t="b">
        <v>1</v>
      </c>
      <c r="Q32" t="s">
        <v>112</v>
      </c>
      <c r="R32">
        <v>0.267208049886621</v>
      </c>
      <c r="S32">
        <v>42</v>
      </c>
      <c r="T32">
        <v>0</v>
      </c>
      <c r="U32" t="s">
        <v>218</v>
      </c>
      <c r="V32" t="s">
        <v>114</v>
      </c>
      <c r="W32">
        <v>0.35714285714285698</v>
      </c>
      <c r="X32" t="b">
        <v>0</v>
      </c>
      <c r="Y32">
        <v>7.6856038020923698</v>
      </c>
      <c r="Z32">
        <v>0.53587049990892399</v>
      </c>
      <c r="AA32">
        <v>1187.33746029995</v>
      </c>
      <c r="AB32">
        <v>332</v>
      </c>
      <c r="AC32">
        <v>3</v>
      </c>
      <c r="AD32">
        <v>0.30120481927710802</v>
      </c>
      <c r="AE32">
        <v>0.26198690599985103</v>
      </c>
      <c r="AF32">
        <v>0.25058275058274998</v>
      </c>
      <c r="AG32">
        <v>0.26198690599985103</v>
      </c>
      <c r="AH32">
        <v>0.25400999176122602</v>
      </c>
      <c r="AI32">
        <v>-0.109046941033797</v>
      </c>
      <c r="AJ32" t="s">
        <v>219</v>
      </c>
      <c r="AK32">
        <v>0.42318604377068503</v>
      </c>
      <c r="AM32">
        <v>103</v>
      </c>
      <c r="AN32">
        <v>0.236363636363636</v>
      </c>
      <c r="AO32">
        <v>0.25242718446601897</v>
      </c>
      <c r="AP32">
        <v>0.244131455399061</v>
      </c>
      <c r="AQ32">
        <v>148</v>
      </c>
      <c r="AR32">
        <v>0.4</v>
      </c>
      <c r="AS32">
        <v>0.45945945945945899</v>
      </c>
      <c r="AT32">
        <v>0.42767295597484201</v>
      </c>
      <c r="AU32">
        <v>81</v>
      </c>
      <c r="AV32">
        <v>0.115384615384615</v>
      </c>
      <c r="AW32">
        <v>7.4074074074074001E-2</v>
      </c>
      <c r="AX32">
        <v>9.0225563909774403E-2</v>
      </c>
      <c r="AY32">
        <v>1000</v>
      </c>
      <c r="AZ32">
        <v>0.247022913080895</v>
      </c>
      <c r="BA32">
        <v>0.35045317220543798</v>
      </c>
      <c r="BB32">
        <v>0.21799114213767701</v>
      </c>
      <c r="BC32">
        <v>0.30620591377962503</v>
      </c>
      <c r="BD32">
        <v>0.20948227651272699</v>
      </c>
      <c r="BE32">
        <v>0.29549338168861</v>
      </c>
      <c r="BF32">
        <v>-0.177200614132173</v>
      </c>
      <c r="BG32">
        <v>-4.0908367581364603E-2</v>
      </c>
      <c r="BH32">
        <v>1000</v>
      </c>
      <c r="BI32">
        <v>0.22055927261395999</v>
      </c>
      <c r="BJ32">
        <v>0.31498339218432903</v>
      </c>
      <c r="BK32">
        <v>10</v>
      </c>
    </row>
    <row r="33" spans="1:63" x14ac:dyDescent="0.3">
      <c r="A33" t="s">
        <v>220</v>
      </c>
      <c r="B33" t="s">
        <v>109</v>
      </c>
      <c r="C33" t="s">
        <v>37</v>
      </c>
      <c r="D33" t="s">
        <v>67</v>
      </c>
      <c r="E33" t="s">
        <v>117</v>
      </c>
      <c r="F33">
        <v>1</v>
      </c>
      <c r="G33" t="s">
        <v>24</v>
      </c>
      <c r="H33" t="s">
        <v>26</v>
      </c>
      <c r="I33" t="s">
        <v>32</v>
      </c>
      <c r="J33" t="s">
        <v>30</v>
      </c>
      <c r="K33" t="s">
        <v>111</v>
      </c>
      <c r="L33">
        <v>10</v>
      </c>
      <c r="M33">
        <v>332</v>
      </c>
      <c r="N33">
        <v>42</v>
      </c>
      <c r="O33">
        <v>42</v>
      </c>
      <c r="P33" t="b">
        <v>1</v>
      </c>
      <c r="Q33" t="s">
        <v>112</v>
      </c>
      <c r="R33">
        <v>0.31161662366095799</v>
      </c>
      <c r="S33">
        <v>42</v>
      </c>
      <c r="T33">
        <v>0</v>
      </c>
      <c r="U33" t="s">
        <v>221</v>
      </c>
      <c r="V33" t="s">
        <v>136</v>
      </c>
      <c r="W33">
        <v>0.26190476190476097</v>
      </c>
      <c r="X33" t="b">
        <v>0</v>
      </c>
      <c r="Y33">
        <v>8.6198812990914995</v>
      </c>
      <c r="Z33">
        <v>0.54450380080379501</v>
      </c>
      <c r="AA33">
        <v>1253.95883599994</v>
      </c>
      <c r="AB33">
        <v>332</v>
      </c>
      <c r="AC33">
        <v>3</v>
      </c>
      <c r="AD33">
        <v>0.38554216867469798</v>
      </c>
      <c r="AE33">
        <v>0.33949483464046498</v>
      </c>
      <c r="AF33">
        <v>0.334791303083187</v>
      </c>
      <c r="AG33">
        <v>0.33949483464046498</v>
      </c>
      <c r="AH33">
        <v>0.33006371935530998</v>
      </c>
      <c r="AI33">
        <v>1.0421983832308201E-2</v>
      </c>
      <c r="AJ33" t="s">
        <v>222</v>
      </c>
      <c r="AK33">
        <v>0.52351465102959904</v>
      </c>
      <c r="AM33">
        <v>103</v>
      </c>
      <c r="AN33">
        <v>0.36458333333333298</v>
      </c>
      <c r="AO33">
        <v>0.33980582524271802</v>
      </c>
      <c r="AP33">
        <v>0.35175879396984899</v>
      </c>
      <c r="AQ33">
        <v>148</v>
      </c>
      <c r="AR33">
        <v>0.43979057591623</v>
      </c>
      <c r="AS33">
        <v>0.56756756756756699</v>
      </c>
      <c r="AT33">
        <v>0.49557522123893799</v>
      </c>
      <c r="AU33">
        <v>81</v>
      </c>
      <c r="AV33">
        <v>0.2</v>
      </c>
      <c r="AW33">
        <v>0.11111111111111099</v>
      </c>
      <c r="AX33">
        <v>0.14285714285714199</v>
      </c>
      <c r="AY33">
        <v>1000</v>
      </c>
      <c r="AZ33">
        <v>0.33130042693295703</v>
      </c>
      <c r="BA33">
        <v>0.44012867122896998</v>
      </c>
      <c r="BB33">
        <v>0.29252771762604102</v>
      </c>
      <c r="BC33">
        <v>0.38724582914422101</v>
      </c>
      <c r="BD33">
        <v>0.27979808535498901</v>
      </c>
      <c r="BE33">
        <v>0.37626530100914402</v>
      </c>
      <c r="BF33">
        <v>-7.00816305035213E-2</v>
      </c>
      <c r="BG33">
        <v>9.25333822757093E-2</v>
      </c>
      <c r="BH33">
        <v>1000</v>
      </c>
      <c r="BI33">
        <v>0.26476216434616401</v>
      </c>
      <c r="BJ33">
        <v>0.36413333098242401</v>
      </c>
      <c r="BK33">
        <v>9</v>
      </c>
    </row>
    <row r="34" spans="1:63" x14ac:dyDescent="0.3">
      <c r="A34" t="s">
        <v>223</v>
      </c>
      <c r="B34" t="s">
        <v>109</v>
      </c>
      <c r="C34" t="s">
        <v>37</v>
      </c>
      <c r="D34" t="s">
        <v>67</v>
      </c>
      <c r="E34" t="s">
        <v>122</v>
      </c>
      <c r="F34">
        <v>2</v>
      </c>
      <c r="G34" t="s">
        <v>24</v>
      </c>
      <c r="H34" t="s">
        <v>26</v>
      </c>
      <c r="I34" t="s">
        <v>33</v>
      </c>
      <c r="J34" t="s">
        <v>30</v>
      </c>
      <c r="K34" t="s">
        <v>111</v>
      </c>
      <c r="L34">
        <v>10</v>
      </c>
      <c r="M34">
        <v>332</v>
      </c>
      <c r="N34">
        <v>42</v>
      </c>
      <c r="O34">
        <v>42</v>
      </c>
      <c r="P34" t="b">
        <v>1</v>
      </c>
      <c r="Q34" t="s">
        <v>112</v>
      </c>
      <c r="R34">
        <v>0.33158466260067199</v>
      </c>
      <c r="S34">
        <v>42</v>
      </c>
      <c r="T34">
        <v>0</v>
      </c>
      <c r="U34" t="s">
        <v>224</v>
      </c>
      <c r="V34" t="s">
        <v>136</v>
      </c>
      <c r="W34">
        <v>0.35714285714285698</v>
      </c>
      <c r="X34" t="b">
        <v>0</v>
      </c>
      <c r="Y34">
        <v>8.5211719991639203</v>
      </c>
      <c r="Z34">
        <v>0.54339770111255303</v>
      </c>
      <c r="AA34">
        <v>1310.6035237999099</v>
      </c>
      <c r="AB34">
        <v>332</v>
      </c>
      <c r="AC34">
        <v>3</v>
      </c>
      <c r="AD34">
        <v>0.41867469879517999</v>
      </c>
      <c r="AE34">
        <v>0.36525360311768001</v>
      </c>
      <c r="AF34">
        <v>0.37001581753652701</v>
      </c>
      <c r="AG34">
        <v>0.36525360311768001</v>
      </c>
      <c r="AH34">
        <v>0.35133998512822201</v>
      </c>
      <c r="AI34">
        <v>5.6930594880117098E-2</v>
      </c>
      <c r="AJ34" t="s">
        <v>225</v>
      </c>
      <c r="AK34">
        <v>0.51931704518655897</v>
      </c>
      <c r="AM34">
        <v>103</v>
      </c>
      <c r="AN34">
        <v>0.35643564356435598</v>
      </c>
      <c r="AO34">
        <v>0.34951456310679602</v>
      </c>
      <c r="AP34">
        <v>0.35294117647058798</v>
      </c>
      <c r="AQ34">
        <v>148</v>
      </c>
      <c r="AR34">
        <v>0.47236180904522601</v>
      </c>
      <c r="AS34">
        <v>0.63513513513513498</v>
      </c>
      <c r="AT34">
        <v>0.54178674351584999</v>
      </c>
      <c r="AU34">
        <v>81</v>
      </c>
      <c r="AV34">
        <v>0.28125</v>
      </c>
      <c r="AW34">
        <v>0.11111111111111099</v>
      </c>
      <c r="AX34">
        <v>0.15929203539823</v>
      </c>
      <c r="AY34">
        <v>1000</v>
      </c>
      <c r="AZ34">
        <v>0.37347480832420499</v>
      </c>
      <c r="BA34">
        <v>0.46706586826347302</v>
      </c>
      <c r="BB34">
        <v>0.32728511953511902</v>
      </c>
      <c r="BC34">
        <v>0.40693076345553297</v>
      </c>
      <c r="BD34">
        <v>0.30331642995622998</v>
      </c>
      <c r="BE34">
        <v>0.400402321320393</v>
      </c>
      <c r="BF34">
        <v>-5.7776854124450801E-3</v>
      </c>
      <c r="BG34">
        <v>0.11806003864029301</v>
      </c>
      <c r="BH34">
        <v>1000</v>
      </c>
      <c r="BI34">
        <v>0.29547497742963902</v>
      </c>
      <c r="BJ34">
        <v>0.37205897672204502</v>
      </c>
      <c r="BK34">
        <v>5</v>
      </c>
    </row>
    <row r="35" spans="1:63" x14ac:dyDescent="0.3">
      <c r="A35" t="s">
        <v>226</v>
      </c>
      <c r="B35" t="s">
        <v>109</v>
      </c>
      <c r="C35" t="s">
        <v>37</v>
      </c>
      <c r="D35" t="s">
        <v>67</v>
      </c>
      <c r="E35" t="s">
        <v>126</v>
      </c>
      <c r="F35">
        <v>3</v>
      </c>
      <c r="G35" t="s">
        <v>24</v>
      </c>
      <c r="H35" t="s">
        <v>26</v>
      </c>
      <c r="I35" t="s">
        <v>34</v>
      </c>
      <c r="J35" t="s">
        <v>30</v>
      </c>
      <c r="K35" t="s">
        <v>111</v>
      </c>
      <c r="L35">
        <v>10</v>
      </c>
      <c r="M35">
        <v>332</v>
      </c>
      <c r="N35">
        <v>42</v>
      </c>
      <c r="O35">
        <v>42</v>
      </c>
      <c r="P35" t="b">
        <v>1</v>
      </c>
      <c r="Q35" t="s">
        <v>112</v>
      </c>
      <c r="R35">
        <v>0.31703221518492403</v>
      </c>
      <c r="S35">
        <v>42</v>
      </c>
      <c r="T35">
        <v>0</v>
      </c>
      <c r="U35" t="s">
        <v>227</v>
      </c>
      <c r="V35" t="s">
        <v>141</v>
      </c>
      <c r="W35">
        <v>0.238095238095238</v>
      </c>
      <c r="X35" t="b">
        <v>0</v>
      </c>
      <c r="Y35">
        <v>9.7258363999426294</v>
      </c>
      <c r="Z35">
        <v>0.65989990043453794</v>
      </c>
      <c r="AA35">
        <v>1373.0703054999401</v>
      </c>
      <c r="AB35">
        <v>332</v>
      </c>
      <c r="AC35">
        <v>3</v>
      </c>
      <c r="AD35">
        <v>0.36746987951807197</v>
      </c>
      <c r="AE35">
        <v>0.324892314104827</v>
      </c>
      <c r="AF35">
        <v>0.32448292448292398</v>
      </c>
      <c r="AG35">
        <v>0.324892314104827</v>
      </c>
      <c r="AH35">
        <v>0.31695866254437099</v>
      </c>
      <c r="AI35">
        <v>-1.2867022056716301E-2</v>
      </c>
      <c r="AJ35" t="s">
        <v>228</v>
      </c>
      <c r="AK35">
        <v>0.46255315071963099</v>
      </c>
      <c r="AM35">
        <v>103</v>
      </c>
      <c r="AN35">
        <v>0.29090909090909001</v>
      </c>
      <c r="AO35">
        <v>0.31067961165048502</v>
      </c>
      <c r="AP35">
        <v>0.30046948356807501</v>
      </c>
      <c r="AQ35">
        <v>148</v>
      </c>
      <c r="AR35">
        <v>0.44444444444444398</v>
      </c>
      <c r="AS35">
        <v>0.54054054054054002</v>
      </c>
      <c r="AT35">
        <v>0.48780487804877998</v>
      </c>
      <c r="AU35">
        <v>81</v>
      </c>
      <c r="AV35">
        <v>0.238095238095238</v>
      </c>
      <c r="AW35">
        <v>0.12345679012345601</v>
      </c>
      <c r="AX35">
        <v>0.16260162601625999</v>
      </c>
      <c r="AY35">
        <v>1000</v>
      </c>
      <c r="AZ35">
        <v>0.31212121212121202</v>
      </c>
      <c r="BA35">
        <v>0.42946176598285002</v>
      </c>
      <c r="BB35">
        <v>0.27566844140601299</v>
      </c>
      <c r="BC35">
        <v>0.37117602519980802</v>
      </c>
      <c r="BD35">
        <v>0.26605790392162298</v>
      </c>
      <c r="BE35">
        <v>0.36196880183369401</v>
      </c>
      <c r="BF35">
        <v>-9.8284099173777006E-2</v>
      </c>
      <c r="BG35">
        <v>6.8529190258788106E-2</v>
      </c>
      <c r="BH35">
        <v>1000</v>
      </c>
      <c r="BI35">
        <v>0.26697369449656</v>
      </c>
      <c r="BJ35">
        <v>0.36219208156645699</v>
      </c>
      <c r="BK35">
        <v>8</v>
      </c>
    </row>
    <row r="36" spans="1:63" x14ac:dyDescent="0.3">
      <c r="A36" t="s">
        <v>229</v>
      </c>
      <c r="B36" t="s">
        <v>109</v>
      </c>
      <c r="C36" t="s">
        <v>37</v>
      </c>
      <c r="D36" t="s">
        <v>67</v>
      </c>
      <c r="E36" t="s">
        <v>130</v>
      </c>
      <c r="F36">
        <v>4</v>
      </c>
      <c r="G36" t="s">
        <v>24</v>
      </c>
      <c r="H36" t="s">
        <v>26</v>
      </c>
      <c r="I36" t="s">
        <v>35</v>
      </c>
      <c r="J36" t="s">
        <v>30</v>
      </c>
      <c r="K36" t="s">
        <v>111</v>
      </c>
      <c r="L36">
        <v>10</v>
      </c>
      <c r="M36">
        <v>332</v>
      </c>
      <c r="N36">
        <v>42</v>
      </c>
      <c r="O36">
        <v>42</v>
      </c>
      <c r="P36" t="b">
        <v>1</v>
      </c>
      <c r="Q36" t="s">
        <v>112</v>
      </c>
      <c r="R36">
        <v>0.324886328094456</v>
      </c>
      <c r="S36">
        <v>42</v>
      </c>
      <c r="T36">
        <v>0</v>
      </c>
      <c r="U36" t="s">
        <v>230</v>
      </c>
      <c r="V36" t="s">
        <v>141</v>
      </c>
      <c r="W36">
        <v>0.452380952380952</v>
      </c>
      <c r="X36" t="b">
        <v>0</v>
      </c>
      <c r="Y36">
        <v>9.7536522028967703</v>
      </c>
      <c r="Z36">
        <v>0.65849320078268603</v>
      </c>
      <c r="AA36">
        <v>1427.43604459986</v>
      </c>
      <c r="AB36">
        <v>332</v>
      </c>
      <c r="AC36">
        <v>3</v>
      </c>
      <c r="AD36">
        <v>0.38855421686746899</v>
      </c>
      <c r="AE36">
        <v>0.32870626829634297</v>
      </c>
      <c r="AF36">
        <v>0.29445472978929699</v>
      </c>
      <c r="AG36">
        <v>0.32870626829634297</v>
      </c>
      <c r="AH36">
        <v>0.30580272163591299</v>
      </c>
      <c r="AI36">
        <v>7.8414731036843908E-3</v>
      </c>
      <c r="AJ36" t="s">
        <v>231</v>
      </c>
      <c r="AK36">
        <v>0.48169503284485099</v>
      </c>
      <c r="AM36">
        <v>103</v>
      </c>
      <c r="AN36">
        <v>0.36842105263157798</v>
      </c>
      <c r="AO36">
        <v>0.33980582524271802</v>
      </c>
      <c r="AP36">
        <v>0.35353535353535298</v>
      </c>
      <c r="AQ36">
        <v>148</v>
      </c>
      <c r="AR36">
        <v>0.46231155778894401</v>
      </c>
      <c r="AS36">
        <v>0.62162162162162105</v>
      </c>
      <c r="AT36">
        <v>0.53025936599423595</v>
      </c>
      <c r="AU36">
        <v>81</v>
      </c>
      <c r="AV36">
        <v>5.2631578947368397E-2</v>
      </c>
      <c r="AW36">
        <v>2.4691358024691301E-2</v>
      </c>
      <c r="AX36">
        <v>3.3613445378151197E-2</v>
      </c>
      <c r="AY36">
        <v>1000</v>
      </c>
      <c r="AZ36">
        <v>0.34136562319213198</v>
      </c>
      <c r="BA36">
        <v>0.44147468251383898</v>
      </c>
      <c r="BB36">
        <v>0.28750965996705102</v>
      </c>
      <c r="BC36">
        <v>0.37274719397628098</v>
      </c>
      <c r="BD36">
        <v>0.26168445262611301</v>
      </c>
      <c r="BE36">
        <v>0.35027253645548101</v>
      </c>
      <c r="BF36">
        <v>-6.6409199071151101E-2</v>
      </c>
      <c r="BG36">
        <v>8.7364495328815295E-2</v>
      </c>
      <c r="BH36">
        <v>1000</v>
      </c>
      <c r="BI36">
        <v>0.28294247240134102</v>
      </c>
      <c r="BJ36">
        <v>0.37244716823861501</v>
      </c>
      <c r="BK36">
        <v>6</v>
      </c>
    </row>
    <row r="37" spans="1:63" x14ac:dyDescent="0.3">
      <c r="A37" t="s">
        <v>232</v>
      </c>
      <c r="B37" t="s">
        <v>109</v>
      </c>
      <c r="C37" t="s">
        <v>37</v>
      </c>
      <c r="D37" t="s">
        <v>67</v>
      </c>
      <c r="E37" t="s">
        <v>134</v>
      </c>
      <c r="F37">
        <v>5</v>
      </c>
      <c r="G37" t="s">
        <v>24</v>
      </c>
      <c r="H37" t="s">
        <v>36</v>
      </c>
      <c r="I37" t="s">
        <v>27</v>
      </c>
      <c r="J37" t="s">
        <v>30</v>
      </c>
      <c r="K37" t="s">
        <v>111</v>
      </c>
      <c r="L37">
        <v>10</v>
      </c>
      <c r="M37">
        <v>332</v>
      </c>
      <c r="N37">
        <v>42</v>
      </c>
      <c r="O37">
        <v>42</v>
      </c>
      <c r="P37" t="b">
        <v>1</v>
      </c>
      <c r="Q37" t="s">
        <v>112</v>
      </c>
      <c r="R37">
        <v>0.360474137931034</v>
      </c>
      <c r="S37">
        <v>42</v>
      </c>
      <c r="T37">
        <v>0</v>
      </c>
      <c r="U37" t="s">
        <v>233</v>
      </c>
      <c r="V37" t="s">
        <v>119</v>
      </c>
      <c r="W37">
        <v>0.33333333333333298</v>
      </c>
      <c r="X37" t="b">
        <v>0</v>
      </c>
      <c r="Y37">
        <v>8.3122334994841296</v>
      </c>
      <c r="Z37">
        <v>0.52679360122419805</v>
      </c>
      <c r="AA37">
        <v>1463.5677805999201</v>
      </c>
      <c r="AB37">
        <v>332</v>
      </c>
      <c r="AC37">
        <v>3</v>
      </c>
      <c r="AD37">
        <v>0.39457831325301201</v>
      </c>
      <c r="AE37">
        <v>0.35830841629115601</v>
      </c>
      <c r="AF37">
        <v>0.35801413737315002</v>
      </c>
      <c r="AG37">
        <v>0.35830841629115601</v>
      </c>
      <c r="AH37">
        <v>0.35617577191201699</v>
      </c>
      <c r="AI37">
        <v>4.7392123661167303E-2</v>
      </c>
      <c r="AJ37" t="s">
        <v>234</v>
      </c>
      <c r="AK37">
        <v>0.48017234914254298</v>
      </c>
      <c r="AM37">
        <v>103</v>
      </c>
      <c r="AN37">
        <v>0.31481481481481399</v>
      </c>
      <c r="AO37">
        <v>0.33009708737864002</v>
      </c>
      <c r="AP37">
        <v>0.32227488151658701</v>
      </c>
      <c r="AQ37">
        <v>148</v>
      </c>
      <c r="AR37">
        <v>0.496932515337423</v>
      </c>
      <c r="AS37">
        <v>0.54729729729729704</v>
      </c>
      <c r="AT37">
        <v>0.52090032154340804</v>
      </c>
      <c r="AU37">
        <v>81</v>
      </c>
      <c r="AV37">
        <v>0.26229508196721302</v>
      </c>
      <c r="AW37">
        <v>0.19753086419752999</v>
      </c>
      <c r="AX37">
        <v>0.22535211267605601</v>
      </c>
      <c r="AY37">
        <v>1000</v>
      </c>
      <c r="AZ37">
        <v>0.34234234234234201</v>
      </c>
      <c r="BA37">
        <v>0.451814443402351</v>
      </c>
      <c r="BB37">
        <v>0.31288997128472201</v>
      </c>
      <c r="BC37">
        <v>0.40786430510352101</v>
      </c>
      <c r="BD37">
        <v>0.31086308877903901</v>
      </c>
      <c r="BE37">
        <v>0.40141225496583099</v>
      </c>
      <c r="BF37">
        <v>-2.0591634040192298E-2</v>
      </c>
      <c r="BG37">
        <v>0.12719496215236001</v>
      </c>
      <c r="BH37">
        <v>1000</v>
      </c>
      <c r="BI37">
        <v>0.30412650324664903</v>
      </c>
      <c r="BJ37">
        <v>0.41945847130740499</v>
      </c>
      <c r="BK37">
        <v>2</v>
      </c>
    </row>
    <row r="38" spans="1:63" x14ac:dyDescent="0.3">
      <c r="A38" t="s">
        <v>235</v>
      </c>
      <c r="B38" t="s">
        <v>109</v>
      </c>
      <c r="C38" t="s">
        <v>37</v>
      </c>
      <c r="D38" t="s">
        <v>67</v>
      </c>
      <c r="E38" t="s">
        <v>139</v>
      </c>
      <c r="F38">
        <v>6</v>
      </c>
      <c r="G38" t="s">
        <v>24</v>
      </c>
      <c r="H38" t="s">
        <v>36</v>
      </c>
      <c r="I38" t="s">
        <v>32</v>
      </c>
      <c r="J38" t="s">
        <v>30</v>
      </c>
      <c r="K38" t="s">
        <v>111</v>
      </c>
      <c r="L38">
        <v>10</v>
      </c>
      <c r="M38">
        <v>332</v>
      </c>
      <c r="N38">
        <v>42</v>
      </c>
      <c r="O38">
        <v>42</v>
      </c>
      <c r="P38" t="b">
        <v>1</v>
      </c>
      <c r="Q38" t="s">
        <v>112</v>
      </c>
      <c r="R38">
        <v>0.31749765423410697</v>
      </c>
      <c r="S38">
        <v>42</v>
      </c>
      <c r="T38">
        <v>0</v>
      </c>
      <c r="U38" t="s">
        <v>236</v>
      </c>
      <c r="V38" t="s">
        <v>206</v>
      </c>
      <c r="W38">
        <v>0.238095238095238</v>
      </c>
      <c r="X38" t="b">
        <v>0</v>
      </c>
      <c r="Y38">
        <v>9.4117363016121001</v>
      </c>
      <c r="Z38">
        <v>0.604777599452063</v>
      </c>
      <c r="AA38">
        <v>1494.43149089999</v>
      </c>
      <c r="AB38">
        <v>332</v>
      </c>
      <c r="AC38">
        <v>3</v>
      </c>
      <c r="AD38">
        <v>0.37650602409638501</v>
      </c>
      <c r="AE38">
        <v>0.33143904422221498</v>
      </c>
      <c r="AF38">
        <v>0.33715032018874203</v>
      </c>
      <c r="AG38">
        <v>0.33143904422221498</v>
      </c>
      <c r="AH38">
        <v>0.32459280712516297</v>
      </c>
      <c r="AI38">
        <v>-1.04071395863648E-2</v>
      </c>
      <c r="AJ38" t="s">
        <v>237</v>
      </c>
      <c r="AK38">
        <v>0.53310777545014099</v>
      </c>
      <c r="AM38">
        <v>103</v>
      </c>
      <c r="AN38">
        <v>0.32558139534883701</v>
      </c>
      <c r="AO38">
        <v>0.27184466019417403</v>
      </c>
      <c r="AP38">
        <v>0.296296296296296</v>
      </c>
      <c r="AQ38">
        <v>148</v>
      </c>
      <c r="AR38">
        <v>0.42499999999999999</v>
      </c>
      <c r="AS38">
        <v>0.57432432432432401</v>
      </c>
      <c r="AT38">
        <v>0.48850574712643602</v>
      </c>
      <c r="AU38">
        <v>81</v>
      </c>
      <c r="AV38">
        <v>0.26086956521739102</v>
      </c>
      <c r="AW38">
        <v>0.148148148148148</v>
      </c>
      <c r="AX38">
        <v>0.18897637795275499</v>
      </c>
      <c r="AY38">
        <v>1000</v>
      </c>
      <c r="AZ38">
        <v>0.32208588957055201</v>
      </c>
      <c r="BA38">
        <v>0.43283809610484097</v>
      </c>
      <c r="BB38">
        <v>0.284432841206889</v>
      </c>
      <c r="BC38">
        <v>0.37709942216162901</v>
      </c>
      <c r="BD38">
        <v>0.27053797208802499</v>
      </c>
      <c r="BE38">
        <v>0.37370834720524199</v>
      </c>
      <c r="BF38">
        <v>-9.0986835468618493E-2</v>
      </c>
      <c r="BG38">
        <v>6.7069656706472094E-2</v>
      </c>
      <c r="BH38">
        <v>1000</v>
      </c>
      <c r="BI38">
        <v>0.25796168056081797</v>
      </c>
      <c r="BJ38">
        <v>0.38522117986979698</v>
      </c>
      <c r="BK38">
        <v>7</v>
      </c>
    </row>
    <row r="39" spans="1:63" x14ac:dyDescent="0.3">
      <c r="A39" t="s">
        <v>238</v>
      </c>
      <c r="B39" t="s">
        <v>109</v>
      </c>
      <c r="C39" t="s">
        <v>37</v>
      </c>
      <c r="D39" t="s">
        <v>67</v>
      </c>
      <c r="E39" t="s">
        <v>144</v>
      </c>
      <c r="F39">
        <v>7</v>
      </c>
      <c r="G39" t="s">
        <v>24</v>
      </c>
      <c r="H39" t="s">
        <v>36</v>
      </c>
      <c r="I39" t="s">
        <v>33</v>
      </c>
      <c r="J39" t="s">
        <v>30</v>
      </c>
      <c r="K39" t="s">
        <v>111</v>
      </c>
      <c r="L39">
        <v>10</v>
      </c>
      <c r="M39">
        <v>332</v>
      </c>
      <c r="N39">
        <v>42</v>
      </c>
      <c r="O39">
        <v>42</v>
      </c>
      <c r="P39" t="b">
        <v>1</v>
      </c>
      <c r="Q39" t="s">
        <v>112</v>
      </c>
      <c r="R39">
        <v>0.33911994682930602</v>
      </c>
      <c r="S39">
        <v>42</v>
      </c>
      <c r="T39">
        <v>0</v>
      </c>
      <c r="U39" t="s">
        <v>239</v>
      </c>
      <c r="V39" t="s">
        <v>136</v>
      </c>
      <c r="W39">
        <v>0.35714285714285698</v>
      </c>
      <c r="X39" t="b">
        <v>0</v>
      </c>
      <c r="Y39">
        <v>9.2196053022053093</v>
      </c>
      <c r="Z39">
        <v>0.63790900027379305</v>
      </c>
      <c r="AA39">
        <v>1525.1676193999499</v>
      </c>
      <c r="AB39">
        <v>332</v>
      </c>
      <c r="AC39">
        <v>3</v>
      </c>
      <c r="AD39">
        <v>0.38855421686746899</v>
      </c>
      <c r="AE39">
        <v>0.34515799510405698</v>
      </c>
      <c r="AF39">
        <v>0.34825121675079002</v>
      </c>
      <c r="AG39">
        <v>0.34515799510405698</v>
      </c>
      <c r="AH39">
        <v>0.33998095541122197</v>
      </c>
      <c r="AI39">
        <v>1.85908927250404E-2</v>
      </c>
      <c r="AJ39" t="s">
        <v>240</v>
      </c>
      <c r="AK39">
        <v>0.49680768253302798</v>
      </c>
      <c r="AM39">
        <v>103</v>
      </c>
      <c r="AN39">
        <v>0.31521739130434701</v>
      </c>
      <c r="AO39">
        <v>0.28155339805825202</v>
      </c>
      <c r="AP39">
        <v>0.29743589743589699</v>
      </c>
      <c r="AQ39">
        <v>148</v>
      </c>
      <c r="AR39">
        <v>0.455026455026455</v>
      </c>
      <c r="AS39">
        <v>0.58108108108108103</v>
      </c>
      <c r="AT39">
        <v>0.51038575667655695</v>
      </c>
      <c r="AU39">
        <v>81</v>
      </c>
      <c r="AV39">
        <v>0.27450980392156799</v>
      </c>
      <c r="AW39">
        <v>0.172839506172839</v>
      </c>
      <c r="AX39">
        <v>0.21212121212121199</v>
      </c>
      <c r="AY39">
        <v>1000</v>
      </c>
      <c r="AZ39">
        <v>0.33633633633633597</v>
      </c>
      <c r="BA39">
        <v>0.43846232596232498</v>
      </c>
      <c r="BB39">
        <v>0.30140606565966399</v>
      </c>
      <c r="BC39">
        <v>0.38708517462192299</v>
      </c>
      <c r="BD39">
        <v>0.29232065899943199</v>
      </c>
      <c r="BE39">
        <v>0.38243214348763999</v>
      </c>
      <c r="BF39">
        <v>-5.5544620142303699E-2</v>
      </c>
      <c r="BG39">
        <v>8.8968878937034701E-2</v>
      </c>
      <c r="BH39">
        <v>1000</v>
      </c>
      <c r="BI39">
        <v>0.28413160096214402</v>
      </c>
      <c r="BJ39">
        <v>0.39363584280422698</v>
      </c>
      <c r="BK39">
        <v>3</v>
      </c>
    </row>
    <row r="40" spans="1:63" x14ac:dyDescent="0.3">
      <c r="A40" t="s">
        <v>241</v>
      </c>
      <c r="B40" t="s">
        <v>109</v>
      </c>
      <c r="C40" t="s">
        <v>37</v>
      </c>
      <c r="D40" t="s">
        <v>67</v>
      </c>
      <c r="E40" t="s">
        <v>149</v>
      </c>
      <c r="F40">
        <v>8</v>
      </c>
      <c r="G40" t="s">
        <v>24</v>
      </c>
      <c r="H40" t="s">
        <v>36</v>
      </c>
      <c r="I40" t="s">
        <v>34</v>
      </c>
      <c r="J40" t="s">
        <v>30</v>
      </c>
      <c r="K40" t="s">
        <v>111</v>
      </c>
      <c r="L40">
        <v>10</v>
      </c>
      <c r="M40">
        <v>332</v>
      </c>
      <c r="N40">
        <v>42</v>
      </c>
      <c r="O40">
        <v>42</v>
      </c>
      <c r="P40" t="b">
        <v>1</v>
      </c>
      <c r="Q40" t="s">
        <v>112</v>
      </c>
      <c r="R40">
        <v>0.336401888341543</v>
      </c>
      <c r="S40">
        <v>42</v>
      </c>
      <c r="T40">
        <v>0</v>
      </c>
      <c r="U40" t="s">
        <v>242</v>
      </c>
      <c r="V40" t="s">
        <v>146</v>
      </c>
      <c r="W40">
        <v>0.28571428571428498</v>
      </c>
      <c r="X40" t="b">
        <v>0</v>
      </c>
      <c r="Y40">
        <v>10.625739699695201</v>
      </c>
      <c r="Z40">
        <v>0.631277000531554</v>
      </c>
      <c r="AA40">
        <v>1555.89627499994</v>
      </c>
      <c r="AB40">
        <v>332</v>
      </c>
      <c r="AC40">
        <v>3</v>
      </c>
      <c r="AD40">
        <v>0.36144578313253001</v>
      </c>
      <c r="AE40">
        <v>0.32738077883708899</v>
      </c>
      <c r="AF40">
        <v>0.31888145803553197</v>
      </c>
      <c r="AG40">
        <v>0.32738077883708899</v>
      </c>
      <c r="AH40">
        <v>0.318811826771431</v>
      </c>
      <c r="AI40">
        <v>-1.11992376632951E-2</v>
      </c>
      <c r="AJ40" t="s">
        <v>243</v>
      </c>
      <c r="AK40">
        <v>0.486393120063697</v>
      </c>
      <c r="AM40">
        <v>103</v>
      </c>
      <c r="AN40">
        <v>0.34745762711864397</v>
      </c>
      <c r="AO40">
        <v>0.39805825242718401</v>
      </c>
      <c r="AP40">
        <v>0.37104072398190002</v>
      </c>
      <c r="AQ40">
        <v>148</v>
      </c>
      <c r="AR40">
        <v>0.421686746987951</v>
      </c>
      <c r="AS40">
        <v>0.47297297297297197</v>
      </c>
      <c r="AT40">
        <v>0.44585987261146498</v>
      </c>
      <c r="AU40">
        <v>81</v>
      </c>
      <c r="AV40">
        <v>0.1875</v>
      </c>
      <c r="AW40">
        <v>0.11111111111111099</v>
      </c>
      <c r="AX40">
        <v>0.13953488372093001</v>
      </c>
      <c r="AY40">
        <v>1000</v>
      </c>
      <c r="AZ40">
        <v>0.29810877247592099</v>
      </c>
      <c r="BA40">
        <v>0.42471006781617399</v>
      </c>
      <c r="BB40">
        <v>0.27033467728446597</v>
      </c>
      <c r="BC40">
        <v>0.38515722252208101</v>
      </c>
      <c r="BD40">
        <v>0.256984091898878</v>
      </c>
      <c r="BE40">
        <v>0.37509668883721098</v>
      </c>
      <c r="BF40">
        <v>-0.108077831464791</v>
      </c>
      <c r="BG40">
        <v>7.8415062836384594E-2</v>
      </c>
      <c r="BH40">
        <v>1000</v>
      </c>
      <c r="BI40">
        <v>0.276881818997262</v>
      </c>
      <c r="BJ40">
        <v>0.39901593987383299</v>
      </c>
      <c r="BK40">
        <v>4</v>
      </c>
    </row>
    <row r="41" spans="1:63" x14ac:dyDescent="0.3">
      <c r="A41" t="s">
        <v>244</v>
      </c>
      <c r="B41" t="s">
        <v>109</v>
      </c>
      <c r="C41" t="s">
        <v>37</v>
      </c>
      <c r="D41" t="s">
        <v>67</v>
      </c>
      <c r="E41" t="s">
        <v>153</v>
      </c>
      <c r="F41">
        <v>9</v>
      </c>
      <c r="G41" t="s">
        <v>24</v>
      </c>
      <c r="H41" t="s">
        <v>36</v>
      </c>
      <c r="I41" t="s">
        <v>35</v>
      </c>
      <c r="J41" t="s">
        <v>30</v>
      </c>
      <c r="K41" t="s">
        <v>111</v>
      </c>
      <c r="L41">
        <v>10</v>
      </c>
      <c r="M41">
        <v>332</v>
      </c>
      <c r="N41">
        <v>42</v>
      </c>
      <c r="O41">
        <v>42</v>
      </c>
      <c r="P41" t="b">
        <v>1</v>
      </c>
      <c r="Q41" t="s">
        <v>112</v>
      </c>
      <c r="R41">
        <v>0.362471068887325</v>
      </c>
      <c r="S41">
        <v>42</v>
      </c>
      <c r="T41">
        <v>0</v>
      </c>
      <c r="U41" t="s">
        <v>245</v>
      </c>
      <c r="V41" t="s">
        <v>136</v>
      </c>
      <c r="W41">
        <v>0.28571428571428498</v>
      </c>
      <c r="X41" t="b">
        <v>0</v>
      </c>
      <c r="Y41">
        <v>10.6440907993819</v>
      </c>
      <c r="Z41">
        <v>0.64270600024610702</v>
      </c>
      <c r="AA41">
        <v>1586.6095363998299</v>
      </c>
      <c r="AB41">
        <v>332</v>
      </c>
      <c r="AC41">
        <v>3</v>
      </c>
      <c r="AD41">
        <v>0.39457831325301201</v>
      </c>
      <c r="AE41">
        <v>0.35468748144044798</v>
      </c>
      <c r="AF41">
        <v>0.35088157278826598</v>
      </c>
      <c r="AG41">
        <v>0.35468748144044798</v>
      </c>
      <c r="AH41">
        <v>0.35019990570300102</v>
      </c>
      <c r="AI41">
        <v>4.22755390886487E-2</v>
      </c>
      <c r="AJ41" t="s">
        <v>246</v>
      </c>
      <c r="AK41">
        <v>0.51790418333673405</v>
      </c>
      <c r="AM41">
        <v>103</v>
      </c>
      <c r="AN41">
        <v>0.34615384615384598</v>
      </c>
      <c r="AO41">
        <v>0.34951456310679602</v>
      </c>
      <c r="AP41">
        <v>0.34782608695652101</v>
      </c>
      <c r="AQ41">
        <v>148</v>
      </c>
      <c r="AR41">
        <v>0.48235294117646998</v>
      </c>
      <c r="AS41">
        <v>0.55405405405405395</v>
      </c>
      <c r="AT41">
        <v>0.51572327044025101</v>
      </c>
      <c r="AU41">
        <v>81</v>
      </c>
      <c r="AV41">
        <v>0.22413793103448201</v>
      </c>
      <c r="AW41">
        <v>0.16049382716049301</v>
      </c>
      <c r="AX41">
        <v>0.18705035971223</v>
      </c>
      <c r="AY41">
        <v>1000</v>
      </c>
      <c r="AZ41">
        <v>0.33330838323353201</v>
      </c>
      <c r="BA41">
        <v>0.45619993104887302</v>
      </c>
      <c r="BB41">
        <v>0.308699359316217</v>
      </c>
      <c r="BC41">
        <v>0.40335200746965399</v>
      </c>
      <c r="BD41">
        <v>0.30125245538617201</v>
      </c>
      <c r="BE41">
        <v>0.398147951654932</v>
      </c>
      <c r="BF41">
        <v>-3.1738595524181401E-2</v>
      </c>
      <c r="BG41">
        <v>0.122135510700893</v>
      </c>
      <c r="BH41">
        <v>1000</v>
      </c>
      <c r="BI41">
        <v>0.30944053247379799</v>
      </c>
      <c r="BJ41">
        <v>0.42091055498357999</v>
      </c>
      <c r="BK41">
        <v>1</v>
      </c>
    </row>
    <row r="42" spans="1:63" x14ac:dyDescent="0.3">
      <c r="A42" t="s">
        <v>0</v>
      </c>
      <c r="B42" t="s">
        <v>69</v>
      </c>
      <c r="C42" t="s">
        <v>2</v>
      </c>
      <c r="D42" t="s">
        <v>70</v>
      </c>
      <c r="E42" t="s">
        <v>71</v>
      </c>
      <c r="F42" t="s">
        <v>72</v>
      </c>
      <c r="G42" t="s">
        <v>1</v>
      </c>
      <c r="H42" t="s">
        <v>3</v>
      </c>
      <c r="I42" t="s">
        <v>4</v>
      </c>
      <c r="J42" t="s">
        <v>5</v>
      </c>
      <c r="K42" t="s">
        <v>73</v>
      </c>
      <c r="L42" t="s">
        <v>74</v>
      </c>
      <c r="M42" t="s">
        <v>75</v>
      </c>
      <c r="N42" t="s">
        <v>6</v>
      </c>
      <c r="O42" t="s">
        <v>7</v>
      </c>
      <c r="P42" t="s">
        <v>8</v>
      </c>
      <c r="Q42" t="s">
        <v>76</v>
      </c>
      <c r="R42" t="s">
        <v>77</v>
      </c>
      <c r="S42" t="s">
        <v>78</v>
      </c>
      <c r="T42" t="s">
        <v>79</v>
      </c>
      <c r="U42" t="s">
        <v>80</v>
      </c>
      <c r="V42" t="s">
        <v>81</v>
      </c>
      <c r="W42" t="s">
        <v>82</v>
      </c>
      <c r="X42" t="s">
        <v>9</v>
      </c>
      <c r="Y42" t="s">
        <v>83</v>
      </c>
      <c r="Z42" t="s">
        <v>84</v>
      </c>
      <c r="AA42" t="s">
        <v>85</v>
      </c>
      <c r="AB42" t="s">
        <v>10</v>
      </c>
      <c r="AC42" t="s">
        <v>282</v>
      </c>
      <c r="AD42" t="s">
        <v>283</v>
      </c>
      <c r="AE42" t="s">
        <v>284</v>
      </c>
      <c r="AF42" t="s">
        <v>285</v>
      </c>
      <c r="AG42" t="s">
        <v>19</v>
      </c>
      <c r="AH42" t="s">
        <v>286</v>
      </c>
      <c r="AI42" t="s">
        <v>287</v>
      </c>
      <c r="AJ42" t="s">
        <v>288</v>
      </c>
      <c r="AK42" t="s">
        <v>289</v>
      </c>
      <c r="AL42" t="s">
        <v>290</v>
      </c>
      <c r="AM42" t="s">
        <v>291</v>
      </c>
      <c r="AN42" t="s">
        <v>292</v>
      </c>
      <c r="AO42" t="s">
        <v>293</v>
      </c>
      <c r="AP42" t="s">
        <v>104</v>
      </c>
      <c r="AQ42" t="s">
        <v>105</v>
      </c>
      <c r="AR42" t="s">
        <v>106</v>
      </c>
      <c r="AS42" t="s">
        <v>107</v>
      </c>
    </row>
    <row r="43" spans="1:63" x14ac:dyDescent="0.3">
      <c r="A43" t="s">
        <v>247</v>
      </c>
      <c r="B43" t="s">
        <v>109</v>
      </c>
      <c r="C43" t="s">
        <v>25</v>
      </c>
      <c r="D43" t="s">
        <v>68</v>
      </c>
      <c r="E43" t="s">
        <v>110</v>
      </c>
      <c r="F43">
        <v>0</v>
      </c>
      <c r="G43" t="s">
        <v>24</v>
      </c>
      <c r="H43" t="s">
        <v>26</v>
      </c>
      <c r="I43" t="s">
        <v>27</v>
      </c>
      <c r="J43" t="s">
        <v>30</v>
      </c>
      <c r="K43" t="s">
        <v>111</v>
      </c>
      <c r="L43">
        <v>10</v>
      </c>
      <c r="M43">
        <v>332</v>
      </c>
      <c r="N43">
        <v>42</v>
      </c>
      <c r="O43">
        <v>42</v>
      </c>
      <c r="P43" t="b">
        <v>1</v>
      </c>
      <c r="Q43" t="s">
        <v>248</v>
      </c>
      <c r="R43">
        <v>2.08942550379476</v>
      </c>
      <c r="S43">
        <v>42</v>
      </c>
      <c r="T43">
        <v>0</v>
      </c>
      <c r="U43" t="s">
        <v>249</v>
      </c>
      <c r="V43" t="s">
        <v>141</v>
      </c>
      <c r="W43">
        <v>1</v>
      </c>
      <c r="X43" t="b">
        <v>0</v>
      </c>
      <c r="Y43">
        <v>5.6389609011821404</v>
      </c>
      <c r="Z43">
        <v>0.33017120067961497</v>
      </c>
      <c r="AA43">
        <v>367.16682450007602</v>
      </c>
      <c r="AB43">
        <v>332</v>
      </c>
      <c r="AC43">
        <v>2.0856554874468598</v>
      </c>
      <c r="AD43">
        <v>2.3923745334422599</v>
      </c>
      <c r="AE43">
        <v>-9.9208613043521202E-2</v>
      </c>
      <c r="AF43">
        <v>2.19791939318252E-3</v>
      </c>
      <c r="AG43">
        <v>1000</v>
      </c>
      <c r="AH43">
        <v>1.9101372276066599</v>
      </c>
      <c r="AI43">
        <v>2.2700078733704401</v>
      </c>
      <c r="AJ43">
        <v>2.2128798966826699</v>
      </c>
      <c r="AK43">
        <v>2.5861514986054202</v>
      </c>
      <c r="AL43">
        <v>-0.177162959087344</v>
      </c>
      <c r="AM43">
        <v>-3.1607275637966302E-2</v>
      </c>
      <c r="AN43">
        <v>-0.109987361012232</v>
      </c>
      <c r="AO43">
        <v>0.114590817740073</v>
      </c>
      <c r="AP43">
        <v>1000</v>
      </c>
      <c r="AQ43">
        <v>1.91445634174722</v>
      </c>
      <c r="AR43">
        <v>2.2749242519051101</v>
      </c>
      <c r="AS43">
        <v>9</v>
      </c>
    </row>
    <row r="44" spans="1:63" x14ac:dyDescent="0.3">
      <c r="A44" t="s">
        <v>250</v>
      </c>
      <c r="B44" t="s">
        <v>109</v>
      </c>
      <c r="C44" t="s">
        <v>25</v>
      </c>
      <c r="D44" t="s">
        <v>68</v>
      </c>
      <c r="E44" t="s">
        <v>117</v>
      </c>
      <c r="F44">
        <v>1</v>
      </c>
      <c r="G44" t="s">
        <v>24</v>
      </c>
      <c r="H44" t="s">
        <v>26</v>
      </c>
      <c r="I44" t="s">
        <v>32</v>
      </c>
      <c r="J44" t="s">
        <v>30</v>
      </c>
      <c r="K44" t="s">
        <v>111</v>
      </c>
      <c r="L44">
        <v>10</v>
      </c>
      <c r="M44">
        <v>332</v>
      </c>
      <c r="N44">
        <v>42</v>
      </c>
      <c r="O44">
        <v>42</v>
      </c>
      <c r="P44" t="b">
        <v>1</v>
      </c>
      <c r="Q44" t="s">
        <v>248</v>
      </c>
      <c r="R44">
        <v>1.9724248617575599</v>
      </c>
      <c r="S44">
        <v>42</v>
      </c>
      <c r="T44">
        <v>0</v>
      </c>
      <c r="U44" t="s">
        <v>249</v>
      </c>
      <c r="V44" t="s">
        <v>141</v>
      </c>
      <c r="W44">
        <v>1</v>
      </c>
      <c r="X44" t="b">
        <v>0</v>
      </c>
      <c r="Y44">
        <v>6.00395329855382</v>
      </c>
      <c r="Z44">
        <v>0.37274139886721902</v>
      </c>
      <c r="AA44">
        <v>393.73859940003598</v>
      </c>
      <c r="AB44">
        <v>332</v>
      </c>
      <c r="AC44">
        <v>1.9703873975433801</v>
      </c>
      <c r="AD44">
        <v>2.2809076964738</v>
      </c>
      <c r="AE44">
        <v>8.3502323700912397E-4</v>
      </c>
      <c r="AF44">
        <v>0.142106543484145</v>
      </c>
      <c r="AG44">
        <v>1000</v>
      </c>
      <c r="AH44">
        <v>1.8215222490893599</v>
      </c>
      <c r="AI44">
        <v>2.1150884470328899</v>
      </c>
      <c r="AJ44">
        <v>2.1232093284354701</v>
      </c>
      <c r="AK44">
        <v>2.4262783499582601</v>
      </c>
      <c r="AL44">
        <v>-6.4766271722315402E-2</v>
      </c>
      <c r="AM44">
        <v>5.8382492275398497E-2</v>
      </c>
      <c r="AN44">
        <v>2.5601208936907802E-2</v>
      </c>
      <c r="AO44">
        <v>0.25811617769953599</v>
      </c>
      <c r="AP44">
        <v>1000</v>
      </c>
      <c r="AQ44">
        <v>1.82559799382716</v>
      </c>
      <c r="AR44">
        <v>2.11666971247563</v>
      </c>
      <c r="AS44">
        <v>1</v>
      </c>
    </row>
    <row r="45" spans="1:63" x14ac:dyDescent="0.3">
      <c r="A45" t="s">
        <v>251</v>
      </c>
      <c r="B45" t="s">
        <v>109</v>
      </c>
      <c r="C45" t="s">
        <v>25</v>
      </c>
      <c r="D45" t="s">
        <v>68</v>
      </c>
      <c r="E45" t="s">
        <v>122</v>
      </c>
      <c r="F45">
        <v>2</v>
      </c>
      <c r="G45" t="s">
        <v>24</v>
      </c>
      <c r="H45" t="s">
        <v>26</v>
      </c>
      <c r="I45" t="s">
        <v>33</v>
      </c>
      <c r="J45" t="s">
        <v>30</v>
      </c>
      <c r="K45" t="s">
        <v>111</v>
      </c>
      <c r="L45">
        <v>10</v>
      </c>
      <c r="M45">
        <v>332</v>
      </c>
      <c r="N45">
        <v>42</v>
      </c>
      <c r="O45">
        <v>42</v>
      </c>
      <c r="P45" t="b">
        <v>1</v>
      </c>
      <c r="Q45" t="s">
        <v>248</v>
      </c>
      <c r="R45">
        <v>2.0437226015733501</v>
      </c>
      <c r="S45">
        <v>42</v>
      </c>
      <c r="T45">
        <v>0</v>
      </c>
      <c r="U45" t="s">
        <v>252</v>
      </c>
      <c r="V45" t="s">
        <v>141</v>
      </c>
      <c r="W45">
        <v>0.92857142857142805</v>
      </c>
      <c r="X45" t="b">
        <v>0</v>
      </c>
      <c r="Y45">
        <v>6.1692547977436298</v>
      </c>
      <c r="Z45">
        <v>0.38841010001488002</v>
      </c>
      <c r="AA45">
        <v>418.22130339988502</v>
      </c>
      <c r="AB45">
        <v>332</v>
      </c>
      <c r="AC45">
        <v>2.0433011425115302</v>
      </c>
      <c r="AD45">
        <v>2.3570760430429698</v>
      </c>
      <c r="AE45">
        <v>-6.7011177210686501E-2</v>
      </c>
      <c r="AF45">
        <v>-1.23019733234941E-2</v>
      </c>
      <c r="AG45">
        <v>1000</v>
      </c>
      <c r="AH45">
        <v>1.8644073416473299</v>
      </c>
      <c r="AI45">
        <v>2.2287076488706501</v>
      </c>
      <c r="AJ45">
        <v>2.17957155937756</v>
      </c>
      <c r="AK45">
        <v>2.5366858264862402</v>
      </c>
      <c r="AL45">
        <v>-0.114816567870257</v>
      </c>
      <c r="AM45">
        <v>-1.9349246284771499E-2</v>
      </c>
      <c r="AN45">
        <v>-0.104996718603828</v>
      </c>
      <c r="AO45">
        <v>8.1014711735723194E-2</v>
      </c>
      <c r="AP45">
        <v>1000</v>
      </c>
      <c r="AQ45">
        <v>1.8634394067784099</v>
      </c>
      <c r="AR45">
        <v>2.2307224847492901</v>
      </c>
      <c r="AS45">
        <v>6</v>
      </c>
    </row>
    <row r="46" spans="1:63" x14ac:dyDescent="0.3">
      <c r="A46" t="s">
        <v>253</v>
      </c>
      <c r="B46" t="s">
        <v>109</v>
      </c>
      <c r="C46" t="s">
        <v>25</v>
      </c>
      <c r="D46" t="s">
        <v>68</v>
      </c>
      <c r="E46" t="s">
        <v>126</v>
      </c>
      <c r="F46">
        <v>3</v>
      </c>
      <c r="G46" t="s">
        <v>24</v>
      </c>
      <c r="H46" t="s">
        <v>26</v>
      </c>
      <c r="I46" t="s">
        <v>34</v>
      </c>
      <c r="J46" t="s">
        <v>30</v>
      </c>
      <c r="K46" t="s">
        <v>111</v>
      </c>
      <c r="L46">
        <v>10</v>
      </c>
      <c r="M46">
        <v>332</v>
      </c>
      <c r="N46">
        <v>42</v>
      </c>
      <c r="O46">
        <v>42</v>
      </c>
      <c r="P46" t="b">
        <v>1</v>
      </c>
      <c r="Q46" t="s">
        <v>248</v>
      </c>
      <c r="R46">
        <v>2.0049995469272801</v>
      </c>
      <c r="S46">
        <v>42</v>
      </c>
      <c r="T46">
        <v>0</v>
      </c>
      <c r="U46" t="s">
        <v>249</v>
      </c>
      <c r="V46" t="s">
        <v>141</v>
      </c>
      <c r="W46">
        <v>1</v>
      </c>
      <c r="X46" t="b">
        <v>0</v>
      </c>
      <c r="Y46">
        <v>7.10719400108791</v>
      </c>
      <c r="Z46">
        <v>0.45569850038736998</v>
      </c>
      <c r="AA46">
        <v>442.71588979987399</v>
      </c>
      <c r="AB46">
        <v>332</v>
      </c>
      <c r="AC46">
        <v>2.0027037976467201</v>
      </c>
      <c r="AD46">
        <v>2.2970016634081598</v>
      </c>
      <c r="AE46">
        <v>-1.3314834568215399E-2</v>
      </c>
      <c r="AF46">
        <v>0.109416292179441</v>
      </c>
      <c r="AG46">
        <v>1000</v>
      </c>
      <c r="AH46">
        <v>1.8348705028966401</v>
      </c>
      <c r="AI46">
        <v>2.1841819890065501</v>
      </c>
      <c r="AJ46">
        <v>2.1316845205223398</v>
      </c>
      <c r="AK46">
        <v>2.4755405214234498</v>
      </c>
      <c r="AL46">
        <v>-7.4559540192984802E-2</v>
      </c>
      <c r="AM46">
        <v>4.4191103396037497E-2</v>
      </c>
      <c r="AN46">
        <v>3.2051243029529498E-3</v>
      </c>
      <c r="AO46">
        <v>0.214059678743976</v>
      </c>
      <c r="AP46">
        <v>1000</v>
      </c>
      <c r="AQ46">
        <v>1.83401812926275</v>
      </c>
      <c r="AR46">
        <v>2.1834827230112301</v>
      </c>
      <c r="AS46">
        <v>3</v>
      </c>
    </row>
    <row r="47" spans="1:63" x14ac:dyDescent="0.3">
      <c r="A47" t="s">
        <v>254</v>
      </c>
      <c r="B47" t="s">
        <v>109</v>
      </c>
      <c r="C47" t="s">
        <v>25</v>
      </c>
      <c r="D47" t="s">
        <v>68</v>
      </c>
      <c r="E47" t="s">
        <v>130</v>
      </c>
      <c r="F47">
        <v>4</v>
      </c>
      <c r="G47" t="s">
        <v>24</v>
      </c>
      <c r="H47" t="s">
        <v>26</v>
      </c>
      <c r="I47" t="s">
        <v>35</v>
      </c>
      <c r="J47" t="s">
        <v>30</v>
      </c>
      <c r="K47" t="s">
        <v>111</v>
      </c>
      <c r="L47">
        <v>10</v>
      </c>
      <c r="M47">
        <v>332</v>
      </c>
      <c r="N47">
        <v>42</v>
      </c>
      <c r="O47">
        <v>42</v>
      </c>
      <c r="P47" t="b">
        <v>1</v>
      </c>
      <c r="Q47" t="s">
        <v>248</v>
      </c>
      <c r="R47">
        <v>2.0895596092111099</v>
      </c>
      <c r="S47">
        <v>42</v>
      </c>
      <c r="T47">
        <v>0</v>
      </c>
      <c r="U47" t="s">
        <v>255</v>
      </c>
      <c r="V47" t="s">
        <v>119</v>
      </c>
      <c r="W47">
        <v>0.54761904761904701</v>
      </c>
      <c r="X47" t="b">
        <v>0</v>
      </c>
      <c r="Y47">
        <v>7.0159021995495996</v>
      </c>
      <c r="Z47">
        <v>0.48271599947474803</v>
      </c>
      <c r="AA47">
        <v>467.15746339992597</v>
      </c>
      <c r="AB47">
        <v>332</v>
      </c>
      <c r="AC47">
        <v>2.0892638741324898</v>
      </c>
      <c r="AD47">
        <v>2.3885656624590799</v>
      </c>
      <c r="AE47">
        <v>-9.5711325390811494E-2</v>
      </c>
      <c r="AF47">
        <v>-4.9615571355573103E-2</v>
      </c>
      <c r="AG47">
        <v>1000</v>
      </c>
      <c r="AH47">
        <v>1.92442348760685</v>
      </c>
      <c r="AI47">
        <v>2.2451807719552699</v>
      </c>
      <c r="AJ47">
        <v>2.2213670958234601</v>
      </c>
      <c r="AK47">
        <v>2.5342140944349598</v>
      </c>
      <c r="AL47">
        <v>-0.16496642841756101</v>
      </c>
      <c r="AM47">
        <v>-4.5090272096579197E-2</v>
      </c>
      <c r="AN47">
        <v>-0.15831920673591901</v>
      </c>
      <c r="AO47">
        <v>4.8453911981314303E-2</v>
      </c>
      <c r="AP47">
        <v>1000</v>
      </c>
      <c r="AQ47">
        <v>1.9274759313582099</v>
      </c>
      <c r="AR47">
        <v>2.24470889156993</v>
      </c>
      <c r="AS47">
        <v>10</v>
      </c>
    </row>
    <row r="48" spans="1:63" x14ac:dyDescent="0.3">
      <c r="A48" t="s">
        <v>256</v>
      </c>
      <c r="B48" t="s">
        <v>109</v>
      </c>
      <c r="C48" t="s">
        <v>25</v>
      </c>
      <c r="D48" t="s">
        <v>68</v>
      </c>
      <c r="E48" t="s">
        <v>134</v>
      </c>
      <c r="F48">
        <v>5</v>
      </c>
      <c r="G48" t="s">
        <v>24</v>
      </c>
      <c r="H48" t="s">
        <v>36</v>
      </c>
      <c r="I48" t="s">
        <v>27</v>
      </c>
      <c r="J48" t="s">
        <v>30</v>
      </c>
      <c r="K48" t="s">
        <v>111</v>
      </c>
      <c r="L48">
        <v>10</v>
      </c>
      <c r="M48">
        <v>332</v>
      </c>
      <c r="N48">
        <v>42</v>
      </c>
      <c r="O48">
        <v>42</v>
      </c>
      <c r="P48" t="b">
        <v>1</v>
      </c>
      <c r="Q48" t="s">
        <v>248</v>
      </c>
      <c r="R48">
        <v>2.0533889993215202</v>
      </c>
      <c r="S48">
        <v>42</v>
      </c>
      <c r="T48">
        <v>0</v>
      </c>
      <c r="U48" t="s">
        <v>257</v>
      </c>
      <c r="V48" t="s">
        <v>119</v>
      </c>
      <c r="W48">
        <v>0.73809523809523803</v>
      </c>
      <c r="X48" t="b">
        <v>0</v>
      </c>
      <c r="Y48">
        <v>5.1811879021115601</v>
      </c>
      <c r="Z48">
        <v>0.35717470129020501</v>
      </c>
      <c r="AA48">
        <v>491.53578320005897</v>
      </c>
      <c r="AB48">
        <v>332</v>
      </c>
      <c r="AC48">
        <v>2.05218984724852</v>
      </c>
      <c r="AD48">
        <v>2.37454815775622</v>
      </c>
      <c r="AE48">
        <v>-8.2888508183951395E-2</v>
      </c>
      <c r="AF48">
        <v>3.74758631799815E-2</v>
      </c>
      <c r="AG48">
        <v>1000</v>
      </c>
      <c r="AH48">
        <v>1.8826502034267001</v>
      </c>
      <c r="AI48">
        <v>2.25254619789767</v>
      </c>
      <c r="AJ48">
        <v>2.2034284447856001</v>
      </c>
      <c r="AK48">
        <v>2.5707307310517602</v>
      </c>
      <c r="AL48">
        <v>-0.16528206968885401</v>
      </c>
      <c r="AM48">
        <v>-7.4735984805247499E-3</v>
      </c>
      <c r="AN48">
        <v>-8.1221402710139695E-2</v>
      </c>
      <c r="AO48">
        <v>0.15102472298187</v>
      </c>
      <c r="AP48">
        <v>1000</v>
      </c>
      <c r="AQ48">
        <v>1.88457089876781</v>
      </c>
      <c r="AR48">
        <v>2.2542497414131302</v>
      </c>
      <c r="AS48">
        <v>7</v>
      </c>
    </row>
    <row r="49" spans="1:63" x14ac:dyDescent="0.3">
      <c r="A49" t="s">
        <v>258</v>
      </c>
      <c r="B49" t="s">
        <v>109</v>
      </c>
      <c r="C49" t="s">
        <v>25</v>
      </c>
      <c r="D49" t="s">
        <v>68</v>
      </c>
      <c r="E49" t="s">
        <v>139</v>
      </c>
      <c r="F49">
        <v>6</v>
      </c>
      <c r="G49" t="s">
        <v>24</v>
      </c>
      <c r="H49" t="s">
        <v>36</v>
      </c>
      <c r="I49" t="s">
        <v>32</v>
      </c>
      <c r="J49" t="s">
        <v>30</v>
      </c>
      <c r="K49" t="s">
        <v>111</v>
      </c>
      <c r="L49">
        <v>10</v>
      </c>
      <c r="M49">
        <v>332</v>
      </c>
      <c r="N49">
        <v>42</v>
      </c>
      <c r="O49">
        <v>42</v>
      </c>
      <c r="P49" t="b">
        <v>1</v>
      </c>
      <c r="Q49" t="s">
        <v>248</v>
      </c>
      <c r="R49">
        <v>1.99095794909643</v>
      </c>
      <c r="S49">
        <v>42</v>
      </c>
      <c r="T49">
        <v>0</v>
      </c>
      <c r="U49" t="s">
        <v>257</v>
      </c>
      <c r="V49" t="s">
        <v>119</v>
      </c>
      <c r="W49">
        <v>0.73809523809523803</v>
      </c>
      <c r="X49" t="b">
        <v>0</v>
      </c>
      <c r="Y49">
        <v>5.69561919826082</v>
      </c>
      <c r="Z49">
        <v>0.393385899951681</v>
      </c>
      <c r="AA49">
        <v>515.88766629993904</v>
      </c>
      <c r="AB49">
        <v>332</v>
      </c>
      <c r="AC49">
        <v>1.99258772986376</v>
      </c>
      <c r="AD49">
        <v>2.3135626749474598</v>
      </c>
      <c r="AE49">
        <v>-2.7979181536776001E-2</v>
      </c>
      <c r="AF49">
        <v>0.16452821590873201</v>
      </c>
      <c r="AG49">
        <v>1000</v>
      </c>
      <c r="AH49">
        <v>1.8410020938931599</v>
      </c>
      <c r="AI49">
        <v>2.1600195383857002</v>
      </c>
      <c r="AJ49">
        <v>2.1525086793759298</v>
      </c>
      <c r="AK49">
        <v>2.4890486553134799</v>
      </c>
      <c r="AL49">
        <v>-9.99417251242085E-2</v>
      </c>
      <c r="AM49">
        <v>3.98808777482507E-2</v>
      </c>
      <c r="AN49">
        <v>7.9566366913268502E-2</v>
      </c>
      <c r="AO49">
        <v>0.24906396977363901</v>
      </c>
      <c r="AP49">
        <v>1000</v>
      </c>
      <c r="AQ49">
        <v>1.83960312676663</v>
      </c>
      <c r="AR49">
        <v>2.1569476833371799</v>
      </c>
      <c r="AS49">
        <v>2</v>
      </c>
    </row>
    <row r="50" spans="1:63" x14ac:dyDescent="0.3">
      <c r="A50" t="s">
        <v>259</v>
      </c>
      <c r="B50" t="s">
        <v>109</v>
      </c>
      <c r="C50" t="s">
        <v>25</v>
      </c>
      <c r="D50" t="s">
        <v>68</v>
      </c>
      <c r="E50" t="s">
        <v>144</v>
      </c>
      <c r="F50">
        <v>7</v>
      </c>
      <c r="G50" t="s">
        <v>24</v>
      </c>
      <c r="H50" t="s">
        <v>36</v>
      </c>
      <c r="I50" t="s">
        <v>33</v>
      </c>
      <c r="J50" t="s">
        <v>30</v>
      </c>
      <c r="K50" t="s">
        <v>111</v>
      </c>
      <c r="L50">
        <v>10</v>
      </c>
      <c r="M50">
        <v>332</v>
      </c>
      <c r="N50">
        <v>42</v>
      </c>
      <c r="O50">
        <v>42</v>
      </c>
      <c r="P50" t="b">
        <v>1</v>
      </c>
      <c r="Q50" t="s">
        <v>248</v>
      </c>
      <c r="R50">
        <v>2.0419645848025301</v>
      </c>
      <c r="S50">
        <v>42</v>
      </c>
      <c r="T50">
        <v>0</v>
      </c>
      <c r="U50" t="s">
        <v>260</v>
      </c>
      <c r="V50" t="s">
        <v>141</v>
      </c>
      <c r="W50">
        <v>0.69047619047619002</v>
      </c>
      <c r="X50" t="b">
        <v>0</v>
      </c>
      <c r="Y50">
        <v>5.5967884012497899</v>
      </c>
      <c r="Z50">
        <v>0.40208450052887201</v>
      </c>
      <c r="AA50">
        <v>540.34775439998998</v>
      </c>
      <c r="AB50">
        <v>332</v>
      </c>
      <c r="AC50">
        <v>2.0441112045120202</v>
      </c>
      <c r="AD50">
        <v>2.36960694239542</v>
      </c>
      <c r="AE50">
        <v>-7.8386415380975599E-2</v>
      </c>
      <c r="AF50">
        <v>0.10516727373783399</v>
      </c>
      <c r="AG50">
        <v>1000</v>
      </c>
      <c r="AH50">
        <v>1.8755907385133199</v>
      </c>
      <c r="AI50">
        <v>2.20093215172334</v>
      </c>
      <c r="AJ50">
        <v>2.1973488821067102</v>
      </c>
      <c r="AK50">
        <v>2.5256264060799198</v>
      </c>
      <c r="AL50">
        <v>-0.17396836326000401</v>
      </c>
      <c r="AM50">
        <v>1.45717280298782E-3</v>
      </c>
      <c r="AN50">
        <v>2.5328625595870801E-3</v>
      </c>
      <c r="AO50">
        <v>0.20398083494564301</v>
      </c>
      <c r="AP50">
        <v>1000</v>
      </c>
      <c r="AQ50">
        <v>1.8738761571301401</v>
      </c>
      <c r="AR50">
        <v>2.2026055176916799</v>
      </c>
      <c r="AS50">
        <v>5</v>
      </c>
    </row>
    <row r="51" spans="1:63" x14ac:dyDescent="0.3">
      <c r="A51" t="s">
        <v>261</v>
      </c>
      <c r="B51" t="s">
        <v>109</v>
      </c>
      <c r="C51" t="s">
        <v>25</v>
      </c>
      <c r="D51" t="s">
        <v>68</v>
      </c>
      <c r="E51" t="s">
        <v>149</v>
      </c>
      <c r="F51">
        <v>8</v>
      </c>
      <c r="G51" t="s">
        <v>24</v>
      </c>
      <c r="H51" t="s">
        <v>36</v>
      </c>
      <c r="I51" t="s">
        <v>34</v>
      </c>
      <c r="J51" t="s">
        <v>30</v>
      </c>
      <c r="K51" t="s">
        <v>111</v>
      </c>
      <c r="L51">
        <v>10</v>
      </c>
      <c r="M51">
        <v>332</v>
      </c>
      <c r="N51">
        <v>42</v>
      </c>
      <c r="O51">
        <v>42</v>
      </c>
      <c r="P51" t="b">
        <v>1</v>
      </c>
      <c r="Q51" t="s">
        <v>248</v>
      </c>
      <c r="R51">
        <v>2.0144853705607302</v>
      </c>
      <c r="S51">
        <v>42</v>
      </c>
      <c r="T51">
        <v>0</v>
      </c>
      <c r="U51" t="s">
        <v>262</v>
      </c>
      <c r="V51" t="s">
        <v>119</v>
      </c>
      <c r="W51">
        <v>0.64285714285714202</v>
      </c>
      <c r="X51" t="b">
        <v>0</v>
      </c>
      <c r="Y51">
        <v>6.5080777027178502</v>
      </c>
      <c r="Z51">
        <v>0.46896000043489</v>
      </c>
      <c r="AA51">
        <v>564.78752040001496</v>
      </c>
      <c r="AB51">
        <v>332</v>
      </c>
      <c r="AC51">
        <v>2.01624187444382</v>
      </c>
      <c r="AD51">
        <v>2.3527621738892801</v>
      </c>
      <c r="AE51">
        <v>-6.3109110061558601E-2</v>
      </c>
      <c r="AF51">
        <v>0.10114365714105</v>
      </c>
      <c r="AG51">
        <v>1000</v>
      </c>
      <c r="AH51">
        <v>1.8498912742318001</v>
      </c>
      <c r="AI51">
        <v>2.1892157049073599</v>
      </c>
      <c r="AJ51">
        <v>2.1920802919349698</v>
      </c>
      <c r="AK51">
        <v>2.5250595103161602</v>
      </c>
      <c r="AL51">
        <v>-0.137183839014937</v>
      </c>
      <c r="AM51">
        <v>1.08219978631171E-2</v>
      </c>
      <c r="AN51">
        <v>6.6780233663421796E-3</v>
      </c>
      <c r="AO51">
        <v>0.201542862232166</v>
      </c>
      <c r="AP51">
        <v>1000</v>
      </c>
      <c r="AQ51">
        <v>1.84797515991951</v>
      </c>
      <c r="AR51">
        <v>2.1839605787469099</v>
      </c>
      <c r="AS51">
        <v>4</v>
      </c>
    </row>
    <row r="52" spans="1:63" x14ac:dyDescent="0.3">
      <c r="A52" t="s">
        <v>263</v>
      </c>
      <c r="B52" t="s">
        <v>109</v>
      </c>
      <c r="C52" t="s">
        <v>25</v>
      </c>
      <c r="D52" t="s">
        <v>68</v>
      </c>
      <c r="E52" t="s">
        <v>153</v>
      </c>
      <c r="F52">
        <v>9</v>
      </c>
      <c r="G52" t="s">
        <v>24</v>
      </c>
      <c r="H52" t="s">
        <v>36</v>
      </c>
      <c r="I52" t="s">
        <v>35</v>
      </c>
      <c r="J52" t="s">
        <v>30</v>
      </c>
      <c r="K52" t="s">
        <v>111</v>
      </c>
      <c r="L52">
        <v>10</v>
      </c>
      <c r="M52">
        <v>332</v>
      </c>
      <c r="N52">
        <v>42</v>
      </c>
      <c r="O52">
        <v>42</v>
      </c>
      <c r="P52" t="b">
        <v>1</v>
      </c>
      <c r="Q52" t="s">
        <v>248</v>
      </c>
      <c r="R52">
        <v>2.05952355455236</v>
      </c>
      <c r="S52">
        <v>42</v>
      </c>
      <c r="T52">
        <v>0</v>
      </c>
      <c r="U52" t="s">
        <v>264</v>
      </c>
      <c r="V52" t="s">
        <v>119</v>
      </c>
      <c r="W52">
        <v>0.92857142857142805</v>
      </c>
      <c r="X52" t="b">
        <v>0</v>
      </c>
      <c r="Y52">
        <v>6.4337650986853898</v>
      </c>
      <c r="Z52">
        <v>0.499870400642976</v>
      </c>
      <c r="AA52">
        <v>589.18099389993495</v>
      </c>
      <c r="AB52">
        <v>332</v>
      </c>
      <c r="AC52">
        <v>2.0592696009179599</v>
      </c>
      <c r="AD52">
        <v>2.3878823231820898</v>
      </c>
      <c r="AE52">
        <v>-9.5084475986064704E-2</v>
      </c>
      <c r="AF52">
        <v>5.8130194526174503E-2</v>
      </c>
      <c r="AG52">
        <v>1000</v>
      </c>
      <c r="AH52">
        <v>1.89559792814578</v>
      </c>
      <c r="AI52">
        <v>2.2286761564625701</v>
      </c>
      <c r="AJ52">
        <v>2.2205557090288801</v>
      </c>
      <c r="AK52">
        <v>2.5456436666967002</v>
      </c>
      <c r="AL52">
        <v>-0.16457579957337601</v>
      </c>
      <c r="AM52">
        <v>-3.8924027203900001E-2</v>
      </c>
      <c r="AN52">
        <v>-1.9592650476320202E-2</v>
      </c>
      <c r="AO52">
        <v>0.133608900638061</v>
      </c>
      <c r="AP52">
        <v>1000</v>
      </c>
      <c r="AQ52">
        <v>1.8968080760091801</v>
      </c>
      <c r="AR52">
        <v>2.2303332199048298</v>
      </c>
      <c r="AS52">
        <v>8</v>
      </c>
    </row>
    <row r="53" spans="1:63" x14ac:dyDescent="0.3">
      <c r="A53" t="s">
        <v>265</v>
      </c>
      <c r="B53" t="s">
        <v>109</v>
      </c>
      <c r="C53" t="s">
        <v>37</v>
      </c>
      <c r="D53" t="s">
        <v>68</v>
      </c>
      <c r="E53" t="s">
        <v>110</v>
      </c>
      <c r="F53">
        <v>0</v>
      </c>
      <c r="G53" t="s">
        <v>24</v>
      </c>
      <c r="H53" t="s">
        <v>26</v>
      </c>
      <c r="I53" t="s">
        <v>27</v>
      </c>
      <c r="J53" t="s">
        <v>30</v>
      </c>
      <c r="K53" t="s">
        <v>111</v>
      </c>
      <c r="L53">
        <v>10</v>
      </c>
      <c r="M53">
        <v>332</v>
      </c>
      <c r="N53">
        <v>42</v>
      </c>
      <c r="O53">
        <v>42</v>
      </c>
      <c r="P53" t="b">
        <v>1</v>
      </c>
      <c r="Q53" t="s">
        <v>248</v>
      </c>
      <c r="R53">
        <v>1.9056870687048799</v>
      </c>
      <c r="S53">
        <v>42</v>
      </c>
      <c r="T53">
        <v>0</v>
      </c>
      <c r="U53" t="s">
        <v>266</v>
      </c>
      <c r="V53" t="s">
        <v>141</v>
      </c>
      <c r="W53">
        <v>0.83333333333333304</v>
      </c>
      <c r="X53" t="b">
        <v>0</v>
      </c>
      <c r="Y53">
        <v>5.6187657972332001</v>
      </c>
      <c r="Z53">
        <v>0.34266039938665899</v>
      </c>
      <c r="AA53">
        <v>356.61566270002999</v>
      </c>
      <c r="AB53">
        <v>332</v>
      </c>
      <c r="AC53">
        <v>1.90453748769206</v>
      </c>
      <c r="AD53">
        <v>2.2429923526001398</v>
      </c>
      <c r="AE53">
        <v>-0.26237200987043702</v>
      </c>
      <c r="AF53">
        <v>-0.20727555875780601</v>
      </c>
      <c r="AG53">
        <v>1000</v>
      </c>
      <c r="AH53">
        <v>1.7361298218757799</v>
      </c>
      <c r="AI53">
        <v>2.0833833817037801</v>
      </c>
      <c r="AJ53">
        <v>2.0581233556674801</v>
      </c>
      <c r="AK53">
        <v>2.4237143182781198</v>
      </c>
      <c r="AL53">
        <v>-0.40999223059543399</v>
      </c>
      <c r="AM53">
        <v>-0.16143241621129201</v>
      </c>
      <c r="AN53">
        <v>-0.359609311757009</v>
      </c>
      <c r="AO53">
        <v>-5.6309506506455997E-2</v>
      </c>
      <c r="AP53">
        <v>1000</v>
      </c>
      <c r="AQ53">
        <v>1.7404039526331301</v>
      </c>
      <c r="AR53">
        <v>2.0821084781576298</v>
      </c>
      <c r="AS53">
        <v>10</v>
      </c>
    </row>
    <row r="54" spans="1:63" x14ac:dyDescent="0.3">
      <c r="A54" t="s">
        <v>267</v>
      </c>
      <c r="B54" t="s">
        <v>109</v>
      </c>
      <c r="C54" t="s">
        <v>37</v>
      </c>
      <c r="D54" t="s">
        <v>68</v>
      </c>
      <c r="E54" t="s">
        <v>117</v>
      </c>
      <c r="F54">
        <v>1</v>
      </c>
      <c r="G54" t="s">
        <v>24</v>
      </c>
      <c r="H54" t="s">
        <v>26</v>
      </c>
      <c r="I54" t="s">
        <v>32</v>
      </c>
      <c r="J54" t="s">
        <v>30</v>
      </c>
      <c r="K54" t="s">
        <v>111</v>
      </c>
      <c r="L54">
        <v>10</v>
      </c>
      <c r="M54">
        <v>332</v>
      </c>
      <c r="N54">
        <v>42</v>
      </c>
      <c r="O54">
        <v>42</v>
      </c>
      <c r="P54" t="b">
        <v>1</v>
      </c>
      <c r="Q54" t="s">
        <v>248</v>
      </c>
      <c r="R54">
        <v>1.76405837463088</v>
      </c>
      <c r="S54">
        <v>42</v>
      </c>
      <c r="T54">
        <v>0</v>
      </c>
      <c r="U54" t="s">
        <v>268</v>
      </c>
      <c r="V54" t="s">
        <v>141</v>
      </c>
      <c r="W54">
        <v>0.64285714285714202</v>
      </c>
      <c r="X54" t="b">
        <v>0</v>
      </c>
      <c r="Y54">
        <v>6.2470708969049102</v>
      </c>
      <c r="Z54">
        <v>0.39692610013298602</v>
      </c>
      <c r="AA54">
        <v>381.04977399995499</v>
      </c>
      <c r="AB54">
        <v>332</v>
      </c>
      <c r="AC54">
        <v>1.7603492172100199</v>
      </c>
      <c r="AD54">
        <v>2.07562210192786</v>
      </c>
      <c r="AE54">
        <v>-8.1006595961836195E-2</v>
      </c>
      <c r="AF54">
        <v>6.4420921974313004E-3</v>
      </c>
      <c r="AG54">
        <v>1000</v>
      </c>
      <c r="AH54">
        <v>1.6187851245815501</v>
      </c>
      <c r="AI54">
        <v>1.90511946803285</v>
      </c>
      <c r="AJ54">
        <v>1.9353384209258599</v>
      </c>
      <c r="AK54">
        <v>2.2123399614345298</v>
      </c>
      <c r="AL54">
        <v>-0.19741001959684401</v>
      </c>
      <c r="AM54">
        <v>-1.52409318605058E-2</v>
      </c>
      <c r="AN54">
        <v>-0.104573666876956</v>
      </c>
      <c r="AO54">
        <v>0.129056734863425</v>
      </c>
      <c r="AP54">
        <v>1000</v>
      </c>
      <c r="AQ54">
        <v>1.62086154196452</v>
      </c>
      <c r="AR54">
        <v>1.9107656252338401</v>
      </c>
      <c r="AS54">
        <v>4</v>
      </c>
    </row>
    <row r="55" spans="1:63" x14ac:dyDescent="0.3">
      <c r="A55" t="s">
        <v>269</v>
      </c>
      <c r="B55" t="s">
        <v>109</v>
      </c>
      <c r="C55" t="s">
        <v>37</v>
      </c>
      <c r="D55" t="s">
        <v>68</v>
      </c>
      <c r="E55" t="s">
        <v>122</v>
      </c>
      <c r="F55">
        <v>2</v>
      </c>
      <c r="G55" t="s">
        <v>24</v>
      </c>
      <c r="H55" t="s">
        <v>26</v>
      </c>
      <c r="I55" t="s">
        <v>33</v>
      </c>
      <c r="J55" t="s">
        <v>30</v>
      </c>
      <c r="K55" t="s">
        <v>111</v>
      </c>
      <c r="L55">
        <v>10</v>
      </c>
      <c r="M55">
        <v>332</v>
      </c>
      <c r="N55">
        <v>42</v>
      </c>
      <c r="O55">
        <v>42</v>
      </c>
      <c r="P55" t="b">
        <v>1</v>
      </c>
      <c r="Q55" t="s">
        <v>248</v>
      </c>
      <c r="R55">
        <v>1.74071628124213</v>
      </c>
      <c r="S55">
        <v>42</v>
      </c>
      <c r="T55">
        <v>0</v>
      </c>
      <c r="U55" t="s">
        <v>270</v>
      </c>
      <c r="V55" t="s">
        <v>119</v>
      </c>
      <c r="W55">
        <v>0.83333333333333304</v>
      </c>
      <c r="X55" t="b">
        <v>0</v>
      </c>
      <c r="Y55">
        <v>6.0097494949586601</v>
      </c>
      <c r="Z55">
        <v>0.40467379894107502</v>
      </c>
      <c r="AA55">
        <v>409.476543100085</v>
      </c>
      <c r="AB55">
        <v>332</v>
      </c>
      <c r="AC55">
        <v>1.7398696987650699</v>
      </c>
      <c r="AD55">
        <v>2.0521378990163401</v>
      </c>
      <c r="AE55">
        <v>-5.6683321899517698E-2</v>
      </c>
      <c r="AF55">
        <v>5.8350504016921302E-2</v>
      </c>
      <c r="AG55">
        <v>1000</v>
      </c>
      <c r="AH55">
        <v>1.61314505868588</v>
      </c>
      <c r="AI55">
        <v>1.88248469154081</v>
      </c>
      <c r="AJ55">
        <v>1.9104008827897001</v>
      </c>
      <c r="AK55">
        <v>2.2012027913423799</v>
      </c>
      <c r="AL55">
        <v>-0.15632209418013701</v>
      </c>
      <c r="AM55">
        <v>6.8693621564528302E-3</v>
      </c>
      <c r="AN55">
        <v>-7.1150911244488094E-2</v>
      </c>
      <c r="AO55">
        <v>0.185850750162421</v>
      </c>
      <c r="AP55">
        <v>1000</v>
      </c>
      <c r="AQ55">
        <v>1.61080051564307</v>
      </c>
      <c r="AR55">
        <v>1.88323922986642</v>
      </c>
      <c r="AS55">
        <v>3</v>
      </c>
    </row>
    <row r="56" spans="1:63" x14ac:dyDescent="0.3">
      <c r="A56" t="s">
        <v>271</v>
      </c>
      <c r="B56" t="s">
        <v>109</v>
      </c>
      <c r="C56" t="s">
        <v>37</v>
      </c>
      <c r="D56" t="s">
        <v>68</v>
      </c>
      <c r="E56" t="s">
        <v>126</v>
      </c>
      <c r="F56">
        <v>3</v>
      </c>
      <c r="G56" t="s">
        <v>24</v>
      </c>
      <c r="H56" t="s">
        <v>26</v>
      </c>
      <c r="I56" t="s">
        <v>34</v>
      </c>
      <c r="J56" t="s">
        <v>30</v>
      </c>
      <c r="K56" t="s">
        <v>111</v>
      </c>
      <c r="L56">
        <v>10</v>
      </c>
      <c r="M56">
        <v>332</v>
      </c>
      <c r="N56">
        <v>42</v>
      </c>
      <c r="O56">
        <v>42</v>
      </c>
      <c r="P56" t="b">
        <v>1</v>
      </c>
      <c r="Q56" t="s">
        <v>248</v>
      </c>
      <c r="R56">
        <v>1.78039814819802</v>
      </c>
      <c r="S56">
        <v>42</v>
      </c>
      <c r="T56">
        <v>0</v>
      </c>
      <c r="U56" t="s">
        <v>272</v>
      </c>
      <c r="V56" t="s">
        <v>141</v>
      </c>
      <c r="W56">
        <v>0.952380952380952</v>
      </c>
      <c r="X56" t="b">
        <v>0</v>
      </c>
      <c r="Y56">
        <v>7.1837790007702997</v>
      </c>
      <c r="Z56">
        <v>0.50923850014805705</v>
      </c>
      <c r="AA56">
        <v>440.99458350008302</v>
      </c>
      <c r="AB56">
        <v>332</v>
      </c>
      <c r="AC56">
        <v>1.7788599477778899</v>
      </c>
      <c r="AD56">
        <v>2.09324017615817</v>
      </c>
      <c r="AE56">
        <v>-9.9435849902122397E-2</v>
      </c>
      <c r="AF56">
        <v>-5.1869347768573298E-2</v>
      </c>
      <c r="AG56">
        <v>1000</v>
      </c>
      <c r="AH56">
        <v>1.63734677859281</v>
      </c>
      <c r="AI56">
        <v>1.9362715197776801</v>
      </c>
      <c r="AJ56">
        <v>1.9564715936850601</v>
      </c>
      <c r="AK56">
        <v>2.2365612416415499</v>
      </c>
      <c r="AL56">
        <v>-0.19986112643238299</v>
      </c>
      <c r="AM56">
        <v>-3.9220302134144402E-2</v>
      </c>
      <c r="AN56">
        <v>-0.168888443677565</v>
      </c>
      <c r="AO56">
        <v>7.0226659223780394E-2</v>
      </c>
      <c r="AP56">
        <v>1000</v>
      </c>
      <c r="AQ56">
        <v>1.63861603363692</v>
      </c>
      <c r="AR56">
        <v>1.9416386196631401</v>
      </c>
      <c r="AS56">
        <v>6</v>
      </c>
    </row>
    <row r="57" spans="1:63" x14ac:dyDescent="0.3">
      <c r="A57" t="s">
        <v>273</v>
      </c>
      <c r="B57" t="s">
        <v>109</v>
      </c>
      <c r="C57" t="s">
        <v>37</v>
      </c>
      <c r="D57" t="s">
        <v>68</v>
      </c>
      <c r="E57" t="s">
        <v>130</v>
      </c>
      <c r="F57">
        <v>4</v>
      </c>
      <c r="G57" t="s">
        <v>24</v>
      </c>
      <c r="H57" t="s">
        <v>26</v>
      </c>
      <c r="I57" t="s">
        <v>35</v>
      </c>
      <c r="J57" t="s">
        <v>30</v>
      </c>
      <c r="K57" t="s">
        <v>111</v>
      </c>
      <c r="L57">
        <v>10</v>
      </c>
      <c r="M57">
        <v>332</v>
      </c>
      <c r="N57">
        <v>42</v>
      </c>
      <c r="O57">
        <v>42</v>
      </c>
      <c r="P57" t="b">
        <v>1</v>
      </c>
      <c r="Q57" t="s">
        <v>248</v>
      </c>
      <c r="R57">
        <v>1.7849393332050101</v>
      </c>
      <c r="S57">
        <v>42</v>
      </c>
      <c r="T57">
        <v>0</v>
      </c>
      <c r="U57" t="s">
        <v>274</v>
      </c>
      <c r="V57" t="s">
        <v>141</v>
      </c>
      <c r="W57">
        <v>0.88095238095238004</v>
      </c>
      <c r="X57" t="b">
        <v>0</v>
      </c>
      <c r="Y57">
        <v>6.9780605963896898</v>
      </c>
      <c r="Z57">
        <v>0.46774419955909202</v>
      </c>
      <c r="AA57">
        <v>472.68175650015399</v>
      </c>
      <c r="AB57">
        <v>332</v>
      </c>
      <c r="AC57">
        <v>1.7828085293176601</v>
      </c>
      <c r="AD57">
        <v>2.1168582970598</v>
      </c>
      <c r="AE57">
        <v>-0.124385781895872</v>
      </c>
      <c r="AF57">
        <v>-4.9873502708778397E-2</v>
      </c>
      <c r="AG57">
        <v>1000</v>
      </c>
      <c r="AH57">
        <v>1.62345835384865</v>
      </c>
      <c r="AI57">
        <v>1.9576165048196099</v>
      </c>
      <c r="AJ57">
        <v>1.94600989134715</v>
      </c>
      <c r="AK57">
        <v>2.29756218742645</v>
      </c>
      <c r="AL57">
        <v>-0.25285163123001603</v>
      </c>
      <c r="AM57">
        <v>-4.1796794032275097E-2</v>
      </c>
      <c r="AN57">
        <v>-0.20135038424999699</v>
      </c>
      <c r="AO57">
        <v>9.7648975563770002E-2</v>
      </c>
      <c r="AP57">
        <v>1000</v>
      </c>
      <c r="AQ57">
        <v>1.6252943873085699</v>
      </c>
      <c r="AR57">
        <v>1.95732205594912</v>
      </c>
      <c r="AS57">
        <v>7</v>
      </c>
    </row>
    <row r="58" spans="1:63" x14ac:dyDescent="0.3">
      <c r="A58" t="s">
        <v>275</v>
      </c>
      <c r="B58" t="s">
        <v>109</v>
      </c>
      <c r="C58" t="s">
        <v>37</v>
      </c>
      <c r="D58" t="s">
        <v>68</v>
      </c>
      <c r="E58" t="s">
        <v>134</v>
      </c>
      <c r="F58">
        <v>5</v>
      </c>
      <c r="G58" t="s">
        <v>24</v>
      </c>
      <c r="H58" t="s">
        <v>36</v>
      </c>
      <c r="I58" t="s">
        <v>27</v>
      </c>
      <c r="J58" t="s">
        <v>30</v>
      </c>
      <c r="K58" t="s">
        <v>111</v>
      </c>
      <c r="L58">
        <v>10</v>
      </c>
      <c r="M58">
        <v>332</v>
      </c>
      <c r="N58">
        <v>42</v>
      </c>
      <c r="O58">
        <v>42</v>
      </c>
      <c r="P58" t="b">
        <v>1</v>
      </c>
      <c r="Q58" t="s">
        <v>248</v>
      </c>
      <c r="R58">
        <v>1.8138227513227501</v>
      </c>
      <c r="S58">
        <v>42</v>
      </c>
      <c r="T58">
        <v>0</v>
      </c>
      <c r="U58" t="s">
        <v>249</v>
      </c>
      <c r="V58" t="s">
        <v>141</v>
      </c>
      <c r="W58">
        <v>1</v>
      </c>
      <c r="X58" t="b">
        <v>0</v>
      </c>
      <c r="Y58">
        <v>5.1824154006317196</v>
      </c>
      <c r="Z58">
        <v>0.35456179850734698</v>
      </c>
      <c r="AA58">
        <v>503.029586600139</v>
      </c>
      <c r="AB58">
        <v>332</v>
      </c>
      <c r="AC58">
        <v>1.8129183400267701</v>
      </c>
      <c r="AD58">
        <v>2.1504732450667698</v>
      </c>
      <c r="AE58">
        <v>-0.16037899356929</v>
      </c>
      <c r="AF58">
        <v>-7.2508544717335893E-2</v>
      </c>
      <c r="AG58">
        <v>1000</v>
      </c>
      <c r="AH58">
        <v>1.6636194728254401</v>
      </c>
      <c r="AI58">
        <v>1.97339634307878</v>
      </c>
      <c r="AJ58">
        <v>1.9930974521723199</v>
      </c>
      <c r="AK58">
        <v>2.31686922319594</v>
      </c>
      <c r="AL58">
        <v>-0.27514255056324199</v>
      </c>
      <c r="AM58">
        <v>-9.1184998344866597E-2</v>
      </c>
      <c r="AN58">
        <v>-0.183336649977484</v>
      </c>
      <c r="AO58">
        <v>4.7032994373561399E-2</v>
      </c>
      <c r="AP58">
        <v>1000</v>
      </c>
      <c r="AQ58">
        <v>1.6648030045351401</v>
      </c>
      <c r="AR58">
        <v>1.97732544406651</v>
      </c>
      <c r="AS58">
        <v>9</v>
      </c>
    </row>
    <row r="59" spans="1:63" x14ac:dyDescent="0.3">
      <c r="A59" t="s">
        <v>276</v>
      </c>
      <c r="B59" t="s">
        <v>109</v>
      </c>
      <c r="C59" t="s">
        <v>37</v>
      </c>
      <c r="D59" t="s">
        <v>68</v>
      </c>
      <c r="E59" t="s">
        <v>139</v>
      </c>
      <c r="F59">
        <v>6</v>
      </c>
      <c r="G59" t="s">
        <v>24</v>
      </c>
      <c r="H59" t="s">
        <v>36</v>
      </c>
      <c r="I59" t="s">
        <v>32</v>
      </c>
      <c r="J59" t="s">
        <v>30</v>
      </c>
      <c r="K59" t="s">
        <v>111</v>
      </c>
      <c r="L59">
        <v>10</v>
      </c>
      <c r="M59">
        <v>332</v>
      </c>
      <c r="N59">
        <v>42</v>
      </c>
      <c r="O59">
        <v>42</v>
      </c>
      <c r="P59" t="b">
        <v>1</v>
      </c>
      <c r="Q59" t="s">
        <v>248</v>
      </c>
      <c r="R59">
        <v>1.71126424466097</v>
      </c>
      <c r="S59">
        <v>42</v>
      </c>
      <c r="T59">
        <v>0</v>
      </c>
      <c r="U59" t="s">
        <v>277</v>
      </c>
      <c r="V59" t="s">
        <v>141</v>
      </c>
      <c r="W59">
        <v>0.71428571428571397</v>
      </c>
      <c r="X59" t="b">
        <v>0</v>
      </c>
      <c r="Y59">
        <v>5.6525233043357703</v>
      </c>
      <c r="Z59">
        <v>0.37748530041426398</v>
      </c>
      <c r="AA59">
        <v>533.77509690006195</v>
      </c>
      <c r="AB59">
        <v>332</v>
      </c>
      <c r="AC59">
        <v>1.7093927514359599</v>
      </c>
      <c r="AD59">
        <v>2.0366697324401399</v>
      </c>
      <c r="AE59">
        <v>-4.0813674056008699E-2</v>
      </c>
      <c r="AF59">
        <v>0.113550026273458</v>
      </c>
      <c r="AG59">
        <v>1000</v>
      </c>
      <c r="AH59">
        <v>1.56480650620315</v>
      </c>
      <c r="AI59">
        <v>1.86344029710912</v>
      </c>
      <c r="AJ59">
        <v>1.88439564461152</v>
      </c>
      <c r="AK59">
        <v>2.1950685324783001</v>
      </c>
      <c r="AL59">
        <v>-0.150226152004938</v>
      </c>
      <c r="AM59">
        <v>2.3710300184203299E-2</v>
      </c>
      <c r="AN59">
        <v>-3.10510268566183E-3</v>
      </c>
      <c r="AO59">
        <v>0.22370517619883501</v>
      </c>
      <c r="AP59">
        <v>1000</v>
      </c>
      <c r="AQ59">
        <v>1.5654380344291201</v>
      </c>
      <c r="AR59">
        <v>1.8655526176086199</v>
      </c>
      <c r="AS59">
        <v>1</v>
      </c>
    </row>
    <row r="60" spans="1:63" x14ac:dyDescent="0.3">
      <c r="A60" t="s">
        <v>278</v>
      </c>
      <c r="B60" t="s">
        <v>109</v>
      </c>
      <c r="C60" t="s">
        <v>37</v>
      </c>
      <c r="D60" t="s">
        <v>68</v>
      </c>
      <c r="E60" t="s">
        <v>144</v>
      </c>
      <c r="F60">
        <v>7</v>
      </c>
      <c r="G60" t="s">
        <v>24</v>
      </c>
      <c r="H60" t="s">
        <v>36</v>
      </c>
      <c r="I60" t="s">
        <v>33</v>
      </c>
      <c r="J60" t="s">
        <v>30</v>
      </c>
      <c r="K60" t="s">
        <v>111</v>
      </c>
      <c r="L60">
        <v>10</v>
      </c>
      <c r="M60">
        <v>332</v>
      </c>
      <c r="N60">
        <v>42</v>
      </c>
      <c r="O60">
        <v>42</v>
      </c>
      <c r="P60" t="b">
        <v>1</v>
      </c>
      <c r="Q60" t="s">
        <v>248</v>
      </c>
      <c r="R60">
        <v>1.7749896645813401</v>
      </c>
      <c r="S60">
        <v>42</v>
      </c>
      <c r="T60">
        <v>0</v>
      </c>
      <c r="U60" t="s">
        <v>279</v>
      </c>
      <c r="V60" t="s">
        <v>141</v>
      </c>
      <c r="W60">
        <v>0.97619047619047605</v>
      </c>
      <c r="X60" t="b">
        <v>0</v>
      </c>
      <c r="Y60">
        <v>5.5813629978802002</v>
      </c>
      <c r="Z60">
        <v>0.391618600813671</v>
      </c>
      <c r="AA60">
        <v>562.18355450010802</v>
      </c>
      <c r="AB60">
        <v>332</v>
      </c>
      <c r="AC60">
        <v>1.77360144800748</v>
      </c>
      <c r="AD60">
        <v>2.1116695211473799</v>
      </c>
      <c r="AE60">
        <v>-0.118880419932062</v>
      </c>
      <c r="AF60">
        <v>-2.7233682149477599E-2</v>
      </c>
      <c r="AG60">
        <v>1000</v>
      </c>
      <c r="AH60">
        <v>1.62438079551582</v>
      </c>
      <c r="AI60">
        <v>1.92556188678609</v>
      </c>
      <c r="AJ60">
        <v>1.9450604086152199</v>
      </c>
      <c r="AK60">
        <v>2.2690532340171798</v>
      </c>
      <c r="AL60">
        <v>-0.22868532598562799</v>
      </c>
      <c r="AM60">
        <v>-4.2085407447059998E-2</v>
      </c>
      <c r="AN60">
        <v>-0.14864404012446999</v>
      </c>
      <c r="AO60">
        <v>0.108034774973489</v>
      </c>
      <c r="AP60">
        <v>1000</v>
      </c>
      <c r="AQ60">
        <v>1.6227728196045601</v>
      </c>
      <c r="AR60">
        <v>1.92852763069371</v>
      </c>
      <c r="AS60">
        <v>5</v>
      </c>
    </row>
    <row r="61" spans="1:63" x14ac:dyDescent="0.3">
      <c r="A61" t="s">
        <v>280</v>
      </c>
      <c r="B61" t="s">
        <v>109</v>
      </c>
      <c r="C61" t="s">
        <v>37</v>
      </c>
      <c r="D61" t="s">
        <v>68</v>
      </c>
      <c r="E61" t="s">
        <v>149</v>
      </c>
      <c r="F61">
        <v>8</v>
      </c>
      <c r="G61" t="s">
        <v>24</v>
      </c>
      <c r="H61" t="s">
        <v>36</v>
      </c>
      <c r="I61" t="s">
        <v>34</v>
      </c>
      <c r="J61" t="s">
        <v>30</v>
      </c>
      <c r="K61" t="s">
        <v>111</v>
      </c>
      <c r="L61">
        <v>10</v>
      </c>
      <c r="M61">
        <v>332</v>
      </c>
      <c r="N61">
        <v>42</v>
      </c>
      <c r="O61">
        <v>42</v>
      </c>
      <c r="P61" t="b">
        <v>1</v>
      </c>
      <c r="Q61" t="s">
        <v>248</v>
      </c>
      <c r="R61">
        <v>1.73779604434366</v>
      </c>
      <c r="S61">
        <v>42</v>
      </c>
      <c r="T61">
        <v>0</v>
      </c>
      <c r="U61" t="s">
        <v>249</v>
      </c>
      <c r="V61" t="s">
        <v>141</v>
      </c>
      <c r="W61">
        <v>1</v>
      </c>
      <c r="X61" t="b">
        <v>0</v>
      </c>
      <c r="Y61">
        <v>6.4462772000115303</v>
      </c>
      <c r="Z61">
        <v>0.43896190030500198</v>
      </c>
      <c r="AA61">
        <v>586.57257550000202</v>
      </c>
      <c r="AB61">
        <v>332</v>
      </c>
      <c r="AC61">
        <v>1.7376171352074901</v>
      </c>
      <c r="AD61">
        <v>2.0668401130596799</v>
      </c>
      <c r="AE61">
        <v>-7.1878436699444395E-2</v>
      </c>
      <c r="AF61">
        <v>7.9792411008807407E-2</v>
      </c>
      <c r="AG61">
        <v>1000</v>
      </c>
      <c r="AH61">
        <v>1.5839137328180499</v>
      </c>
      <c r="AI61">
        <v>1.90312723410976</v>
      </c>
      <c r="AJ61">
        <v>1.90809014215196</v>
      </c>
      <c r="AK61">
        <v>2.2244826257420698</v>
      </c>
      <c r="AL61">
        <v>-0.19179367471008399</v>
      </c>
      <c r="AM61">
        <v>5.6627108628128303E-3</v>
      </c>
      <c r="AN61">
        <v>-3.3846120796314903E-2</v>
      </c>
      <c r="AO61">
        <v>0.20940047406621001</v>
      </c>
      <c r="AP61">
        <v>1000</v>
      </c>
      <c r="AQ61">
        <v>1.5850336199294499</v>
      </c>
      <c r="AR61">
        <v>1.9065743890148601</v>
      </c>
      <c r="AS61">
        <v>2</v>
      </c>
    </row>
    <row r="62" spans="1:63" x14ac:dyDescent="0.3">
      <c r="A62" t="s">
        <v>281</v>
      </c>
      <c r="B62" t="s">
        <v>109</v>
      </c>
      <c r="C62" t="s">
        <v>37</v>
      </c>
      <c r="D62" t="s">
        <v>68</v>
      </c>
      <c r="E62" t="s">
        <v>153</v>
      </c>
      <c r="F62">
        <v>9</v>
      </c>
      <c r="G62" t="s">
        <v>24</v>
      </c>
      <c r="H62" t="s">
        <v>36</v>
      </c>
      <c r="I62" t="s">
        <v>35</v>
      </c>
      <c r="J62" t="s">
        <v>30</v>
      </c>
      <c r="K62" t="s">
        <v>111</v>
      </c>
      <c r="L62">
        <v>10</v>
      </c>
      <c r="M62">
        <v>332</v>
      </c>
      <c r="N62">
        <v>42</v>
      </c>
      <c r="O62">
        <v>42</v>
      </c>
      <c r="P62" t="b">
        <v>1</v>
      </c>
      <c r="Q62" t="s">
        <v>248</v>
      </c>
      <c r="R62">
        <v>1.79075837478446</v>
      </c>
      <c r="S62">
        <v>42</v>
      </c>
      <c r="T62">
        <v>0</v>
      </c>
      <c r="U62" t="s">
        <v>279</v>
      </c>
      <c r="V62" t="s">
        <v>141</v>
      </c>
      <c r="W62">
        <v>0.97619047619047605</v>
      </c>
      <c r="X62" t="b">
        <v>0</v>
      </c>
      <c r="Y62">
        <v>6.4353167992085201</v>
      </c>
      <c r="Z62">
        <v>0.43455709982663299</v>
      </c>
      <c r="AA62">
        <v>611.00448140012998</v>
      </c>
      <c r="AB62">
        <v>332</v>
      </c>
      <c r="AC62">
        <v>1.7900688448115301</v>
      </c>
      <c r="AD62">
        <v>2.1340027690764098</v>
      </c>
      <c r="AE62">
        <v>-0.14267237479749301</v>
      </c>
      <c r="AF62">
        <v>-3.2694440492476599E-2</v>
      </c>
      <c r="AG62">
        <v>1000</v>
      </c>
      <c r="AH62">
        <v>1.6173407435612199</v>
      </c>
      <c r="AI62">
        <v>1.96079235378449</v>
      </c>
      <c r="AJ62">
        <v>1.9482855802505401</v>
      </c>
      <c r="AK62">
        <v>2.304348403493</v>
      </c>
      <c r="AL62">
        <v>-0.27139179388908002</v>
      </c>
      <c r="AM62">
        <v>-5.2006365192005903E-2</v>
      </c>
      <c r="AN62">
        <v>-0.16931291668165699</v>
      </c>
      <c r="AO62">
        <v>0.120990820469767</v>
      </c>
      <c r="AP62">
        <v>1000</v>
      </c>
      <c r="AQ62">
        <v>1.61752001435524</v>
      </c>
      <c r="AR62">
        <v>1.96476403061224</v>
      </c>
      <c r="AS62">
        <v>8</v>
      </c>
    </row>
    <row r="63" spans="1:63" x14ac:dyDescent="0.3">
      <c r="A63" t="s">
        <v>0</v>
      </c>
      <c r="B63" t="s">
        <v>69</v>
      </c>
      <c r="C63" t="s">
        <v>2</v>
      </c>
      <c r="D63" t="s">
        <v>70</v>
      </c>
      <c r="E63" t="s">
        <v>71</v>
      </c>
      <c r="F63" t="s">
        <v>72</v>
      </c>
      <c r="G63" t="s">
        <v>1</v>
      </c>
      <c r="H63" t="s">
        <v>3</v>
      </c>
      <c r="I63" t="s">
        <v>4</v>
      </c>
      <c r="J63" t="s">
        <v>5</v>
      </c>
      <c r="K63" t="s">
        <v>73</v>
      </c>
      <c r="L63" t="s">
        <v>74</v>
      </c>
      <c r="M63" t="s">
        <v>75</v>
      </c>
      <c r="N63" t="s">
        <v>6</v>
      </c>
      <c r="O63" t="s">
        <v>7</v>
      </c>
      <c r="P63" t="s">
        <v>8</v>
      </c>
      <c r="Q63" t="s">
        <v>76</v>
      </c>
      <c r="R63" t="s">
        <v>77</v>
      </c>
      <c r="S63" t="s">
        <v>78</v>
      </c>
      <c r="T63" t="s">
        <v>79</v>
      </c>
      <c r="U63" t="s">
        <v>80</v>
      </c>
      <c r="V63" t="s">
        <v>81</v>
      </c>
      <c r="W63" t="s">
        <v>82</v>
      </c>
      <c r="X63" t="s">
        <v>9</v>
      </c>
      <c r="Y63" t="s">
        <v>83</v>
      </c>
      <c r="Z63" t="s">
        <v>84</v>
      </c>
      <c r="AA63" t="s">
        <v>85</v>
      </c>
      <c r="AB63" t="s">
        <v>10</v>
      </c>
      <c r="AC63" t="s">
        <v>86</v>
      </c>
      <c r="AD63" t="s">
        <v>11</v>
      </c>
      <c r="AE63" t="s">
        <v>87</v>
      </c>
      <c r="AF63" t="s">
        <v>88</v>
      </c>
      <c r="AG63" t="s">
        <v>89</v>
      </c>
      <c r="AH63" t="s">
        <v>90</v>
      </c>
      <c r="AI63" t="s">
        <v>12</v>
      </c>
      <c r="AJ63" t="s">
        <v>91</v>
      </c>
      <c r="AK63" t="s">
        <v>17</v>
      </c>
      <c r="AL63" t="s">
        <v>18</v>
      </c>
      <c r="AM63" t="s">
        <v>92</v>
      </c>
      <c r="AN63" t="s">
        <v>93</v>
      </c>
      <c r="AO63" t="s">
        <v>94</v>
      </c>
      <c r="AP63" t="s">
        <v>95</v>
      </c>
      <c r="AQ63" t="s">
        <v>96</v>
      </c>
      <c r="AR63" t="s">
        <v>97</v>
      </c>
      <c r="AS63" t="s">
        <v>98</v>
      </c>
      <c r="AT63" t="s">
        <v>99</v>
      </c>
      <c r="AU63" t="s">
        <v>13</v>
      </c>
      <c r="AV63" t="s">
        <v>14</v>
      </c>
      <c r="AW63" t="s">
        <v>15</v>
      </c>
      <c r="AX63" t="s">
        <v>16</v>
      </c>
      <c r="AY63" t="s">
        <v>19</v>
      </c>
      <c r="AZ63" t="s">
        <v>20</v>
      </c>
      <c r="BA63" t="s">
        <v>21</v>
      </c>
      <c r="BB63" t="s">
        <v>100</v>
      </c>
      <c r="BC63" t="s">
        <v>101</v>
      </c>
      <c r="BD63" t="s">
        <v>102</v>
      </c>
      <c r="BE63" t="s">
        <v>103</v>
      </c>
      <c r="BF63" t="s">
        <v>22</v>
      </c>
      <c r="BG63" t="s">
        <v>23</v>
      </c>
      <c r="BH63" t="s">
        <v>104</v>
      </c>
      <c r="BI63" t="s">
        <v>105</v>
      </c>
      <c r="BJ63" t="s">
        <v>106</v>
      </c>
      <c r="BK63" t="s">
        <v>107</v>
      </c>
    </row>
    <row r="64" spans="1:63" x14ac:dyDescent="0.3">
      <c r="A64" t="s">
        <v>308</v>
      </c>
      <c r="B64" t="s">
        <v>109</v>
      </c>
      <c r="C64" t="s">
        <v>25</v>
      </c>
      <c r="D64" t="s">
        <v>66</v>
      </c>
      <c r="E64" t="s">
        <v>309</v>
      </c>
      <c r="F64">
        <v>0</v>
      </c>
      <c r="G64" t="s">
        <v>24</v>
      </c>
      <c r="H64" t="s">
        <v>26</v>
      </c>
      <c r="I64" t="s">
        <v>27</v>
      </c>
      <c r="J64" t="s">
        <v>28</v>
      </c>
      <c r="K64" t="s">
        <v>111</v>
      </c>
      <c r="L64">
        <v>10</v>
      </c>
      <c r="M64">
        <v>304</v>
      </c>
      <c r="N64">
        <v>42</v>
      </c>
      <c r="O64">
        <v>42</v>
      </c>
      <c r="P64" t="b">
        <v>1</v>
      </c>
      <c r="Q64" t="s">
        <v>112</v>
      </c>
      <c r="R64">
        <v>0.47765264642442301</v>
      </c>
      <c r="S64">
        <v>42</v>
      </c>
      <c r="T64">
        <v>0</v>
      </c>
      <c r="U64" t="s">
        <v>310</v>
      </c>
      <c r="V64" t="s">
        <v>311</v>
      </c>
      <c r="W64">
        <v>0.40476190476190399</v>
      </c>
      <c r="X64" t="b">
        <v>0</v>
      </c>
      <c r="Y64">
        <v>11.749169404618399</v>
      </c>
      <c r="Z64">
        <v>1.04761170013807</v>
      </c>
      <c r="AA64">
        <v>413.99471080000501</v>
      </c>
      <c r="AB64">
        <v>304</v>
      </c>
      <c r="AC64">
        <v>2</v>
      </c>
      <c r="AD64">
        <v>0.49013157894736797</v>
      </c>
      <c r="AE64">
        <v>0.48510452961672401</v>
      </c>
      <c r="AF64">
        <v>0.48496240601503698</v>
      </c>
      <c r="AG64">
        <v>0.48510452961672401</v>
      </c>
      <c r="AH64">
        <v>0.48477393253512602</v>
      </c>
      <c r="AI64">
        <v>-2.9932726961553299E-2</v>
      </c>
      <c r="AJ64" t="s">
        <v>312</v>
      </c>
      <c r="AK64">
        <v>0.46920731707316998</v>
      </c>
      <c r="AL64">
        <v>0.52947705907881704</v>
      </c>
      <c r="AM64">
        <v>140</v>
      </c>
      <c r="AN64">
        <v>0.44360902255639001</v>
      </c>
      <c r="AO64">
        <v>0.42142857142857099</v>
      </c>
      <c r="AP64">
        <v>0.43223443223443198</v>
      </c>
      <c r="AQ64">
        <v>164</v>
      </c>
      <c r="AR64">
        <v>0.52631578947368396</v>
      </c>
      <c r="AS64">
        <v>0.54878048780487798</v>
      </c>
      <c r="AT64">
        <v>0.53731343283582</v>
      </c>
      <c r="AU64">
        <v>59</v>
      </c>
      <c r="AV64">
        <v>81</v>
      </c>
      <c r="AW64">
        <v>74</v>
      </c>
      <c r="AX64">
        <v>90</v>
      </c>
      <c r="AY64">
        <v>1000</v>
      </c>
      <c r="AZ64">
        <v>0.43477162933684599</v>
      </c>
      <c r="BA64">
        <v>0.54222875634299394</v>
      </c>
      <c r="BB64">
        <v>0.431956543626976</v>
      </c>
      <c r="BC64">
        <v>0.53550095784016305</v>
      </c>
      <c r="BD64">
        <v>0.42961097450841401</v>
      </c>
      <c r="BE64">
        <v>0.53517981329263598</v>
      </c>
      <c r="BF64">
        <v>-0.13706700037185501</v>
      </c>
      <c r="BG64">
        <v>7.1862047228392095E-2</v>
      </c>
      <c r="BH64">
        <v>1000</v>
      </c>
      <c r="BI64">
        <v>0.42697603838283199</v>
      </c>
      <c r="BJ64">
        <v>0.52637603008683098</v>
      </c>
      <c r="BK64">
        <v>10</v>
      </c>
    </row>
    <row r="65" spans="1:63" x14ac:dyDescent="0.3">
      <c r="A65" t="s">
        <v>313</v>
      </c>
      <c r="B65" t="s">
        <v>109</v>
      </c>
      <c r="C65" t="s">
        <v>25</v>
      </c>
      <c r="D65" t="s">
        <v>66</v>
      </c>
      <c r="E65" t="s">
        <v>314</v>
      </c>
      <c r="F65">
        <v>1</v>
      </c>
      <c r="G65" t="s">
        <v>24</v>
      </c>
      <c r="H65" t="s">
        <v>26</v>
      </c>
      <c r="I65" t="s">
        <v>32</v>
      </c>
      <c r="J65" t="s">
        <v>28</v>
      </c>
      <c r="K65" t="s">
        <v>111</v>
      </c>
      <c r="L65">
        <v>10</v>
      </c>
      <c r="M65">
        <v>304</v>
      </c>
      <c r="N65">
        <v>42</v>
      </c>
      <c r="O65">
        <v>42</v>
      </c>
      <c r="P65" t="b">
        <v>1</v>
      </c>
      <c r="Q65" t="s">
        <v>112</v>
      </c>
      <c r="R65">
        <v>0.52818912117692596</v>
      </c>
      <c r="S65">
        <v>42</v>
      </c>
      <c r="T65">
        <v>0</v>
      </c>
      <c r="U65" t="s">
        <v>315</v>
      </c>
      <c r="V65" t="s">
        <v>316</v>
      </c>
      <c r="W65">
        <v>0.54761904761904701</v>
      </c>
      <c r="X65" t="b">
        <v>0</v>
      </c>
      <c r="Y65">
        <v>11.4749253992922</v>
      </c>
      <c r="Z65">
        <v>1.1318634001072401</v>
      </c>
      <c r="AA65">
        <v>457.33349610003597</v>
      </c>
      <c r="AB65">
        <v>304</v>
      </c>
      <c r="AC65">
        <v>2</v>
      </c>
      <c r="AD65">
        <v>0.53289473684210498</v>
      </c>
      <c r="AE65">
        <v>0.52630662020905905</v>
      </c>
      <c r="AF65">
        <v>0.52693062243624</v>
      </c>
      <c r="AG65">
        <v>0.52630662020905905</v>
      </c>
      <c r="AH65">
        <v>0.52548036758562999</v>
      </c>
      <c r="AI65">
        <v>5.3233585504782403E-2</v>
      </c>
      <c r="AJ65" t="s">
        <v>317</v>
      </c>
      <c r="AK65">
        <v>0.54085365853658496</v>
      </c>
      <c r="AL65">
        <v>0.578312074334284</v>
      </c>
      <c r="AM65">
        <v>140</v>
      </c>
      <c r="AN65">
        <v>0.49206349206349198</v>
      </c>
      <c r="AO65">
        <v>0.44285714285714201</v>
      </c>
      <c r="AP65">
        <v>0.46616541353383401</v>
      </c>
      <c r="AQ65">
        <v>164</v>
      </c>
      <c r="AR65">
        <v>0.56179775280898803</v>
      </c>
      <c r="AS65">
        <v>0.60975609756097504</v>
      </c>
      <c r="AT65">
        <v>0.58479532163742598</v>
      </c>
      <c r="AU65">
        <v>62</v>
      </c>
      <c r="AV65">
        <v>78</v>
      </c>
      <c r="AW65">
        <v>64</v>
      </c>
      <c r="AX65">
        <v>100</v>
      </c>
      <c r="AY65">
        <v>1000</v>
      </c>
      <c r="AZ65">
        <v>0.47520408497803401</v>
      </c>
      <c r="BA65">
        <v>0.58173340997636802</v>
      </c>
      <c r="BB65">
        <v>0.46913366613061702</v>
      </c>
      <c r="BC65">
        <v>0.57451276569370102</v>
      </c>
      <c r="BD65">
        <v>0.466838899517871</v>
      </c>
      <c r="BE65">
        <v>0.57369153965585495</v>
      </c>
      <c r="BF65">
        <v>-6.2014837812361598E-2</v>
      </c>
      <c r="BG65">
        <v>0.15021820266838801</v>
      </c>
      <c r="BH65">
        <v>1000</v>
      </c>
      <c r="BI65">
        <v>0.46932551780874898</v>
      </c>
      <c r="BJ65">
        <v>0.57778769841269795</v>
      </c>
      <c r="BK65">
        <v>3</v>
      </c>
    </row>
    <row r="66" spans="1:63" x14ac:dyDescent="0.3">
      <c r="A66" t="s">
        <v>318</v>
      </c>
      <c r="B66" t="s">
        <v>109</v>
      </c>
      <c r="C66" t="s">
        <v>25</v>
      </c>
      <c r="D66" t="s">
        <v>66</v>
      </c>
      <c r="E66" t="s">
        <v>319</v>
      </c>
      <c r="F66">
        <v>2</v>
      </c>
      <c r="G66" t="s">
        <v>24</v>
      </c>
      <c r="H66" t="s">
        <v>26</v>
      </c>
      <c r="I66" t="s">
        <v>33</v>
      </c>
      <c r="J66" t="s">
        <v>28</v>
      </c>
      <c r="K66" t="s">
        <v>111</v>
      </c>
      <c r="L66">
        <v>10</v>
      </c>
      <c r="M66">
        <v>304</v>
      </c>
      <c r="N66">
        <v>42</v>
      </c>
      <c r="O66">
        <v>42</v>
      </c>
      <c r="P66" t="b">
        <v>1</v>
      </c>
      <c r="Q66" t="s">
        <v>112</v>
      </c>
      <c r="R66">
        <v>0.49685927216414999</v>
      </c>
      <c r="S66">
        <v>42</v>
      </c>
      <c r="T66">
        <v>0</v>
      </c>
      <c r="U66" t="s">
        <v>320</v>
      </c>
      <c r="V66" t="s">
        <v>311</v>
      </c>
      <c r="W66">
        <v>0.71428571428571397</v>
      </c>
      <c r="X66" t="b">
        <v>0</v>
      </c>
      <c r="Y66">
        <v>12.729108599712999</v>
      </c>
      <c r="Z66">
        <v>1.1815051001030901</v>
      </c>
      <c r="AA66">
        <v>500.92202139994998</v>
      </c>
      <c r="AB66">
        <v>304</v>
      </c>
      <c r="AC66">
        <v>2</v>
      </c>
      <c r="AD66">
        <v>0.5</v>
      </c>
      <c r="AE66">
        <v>0.48588850174215997</v>
      </c>
      <c r="AF66">
        <v>0.483950861898157</v>
      </c>
      <c r="AG66">
        <v>0.48588850174215997</v>
      </c>
      <c r="AH66">
        <v>0.47526686350215702</v>
      </c>
      <c r="AI66">
        <v>-3.00983311407115E-2</v>
      </c>
      <c r="AJ66" t="s">
        <v>321</v>
      </c>
      <c r="AK66">
        <v>0.43858885017421601</v>
      </c>
      <c r="AL66">
        <v>0.487554757962541</v>
      </c>
      <c r="AM66">
        <v>140</v>
      </c>
      <c r="AN66">
        <v>0.43877551020408101</v>
      </c>
      <c r="AO66">
        <v>0.307142857142857</v>
      </c>
      <c r="AP66">
        <v>0.36134453781512599</v>
      </c>
      <c r="AQ66">
        <v>164</v>
      </c>
      <c r="AR66">
        <v>0.529126213592233</v>
      </c>
      <c r="AS66">
        <v>0.66463414634146301</v>
      </c>
      <c r="AT66">
        <v>0.58918918918918906</v>
      </c>
      <c r="AU66">
        <v>43</v>
      </c>
      <c r="AV66">
        <v>97</v>
      </c>
      <c r="AW66">
        <v>55</v>
      </c>
      <c r="AX66">
        <v>109</v>
      </c>
      <c r="AY66">
        <v>1000</v>
      </c>
      <c r="AZ66">
        <v>0.45453828505878902</v>
      </c>
      <c r="BA66">
        <v>0.54607581243376802</v>
      </c>
      <c r="BB66">
        <v>0.44056654310180199</v>
      </c>
      <c r="BC66">
        <v>0.528830903873308</v>
      </c>
      <c r="BD66">
        <v>0.42361115952727002</v>
      </c>
      <c r="BE66">
        <v>0.51991094557255402</v>
      </c>
      <c r="BF66">
        <v>-0.129478452668324</v>
      </c>
      <c r="BG66">
        <v>6.2803167333283103E-2</v>
      </c>
      <c r="BH66">
        <v>1000</v>
      </c>
      <c r="BI66">
        <v>0.45613095238095203</v>
      </c>
      <c r="BJ66">
        <v>0.533535714285714</v>
      </c>
      <c r="BK66">
        <v>6</v>
      </c>
    </row>
    <row r="67" spans="1:63" x14ac:dyDescent="0.3">
      <c r="A67" t="s">
        <v>322</v>
      </c>
      <c r="B67" t="s">
        <v>109</v>
      </c>
      <c r="C67" t="s">
        <v>25</v>
      </c>
      <c r="D67" t="s">
        <v>66</v>
      </c>
      <c r="E67" t="s">
        <v>323</v>
      </c>
      <c r="F67">
        <v>3</v>
      </c>
      <c r="G67" t="s">
        <v>24</v>
      </c>
      <c r="H67" t="s">
        <v>26</v>
      </c>
      <c r="I67" t="s">
        <v>34</v>
      </c>
      <c r="J67" t="s">
        <v>28</v>
      </c>
      <c r="K67" t="s">
        <v>111</v>
      </c>
      <c r="L67">
        <v>10</v>
      </c>
      <c r="M67">
        <v>304</v>
      </c>
      <c r="N67">
        <v>42</v>
      </c>
      <c r="O67">
        <v>42</v>
      </c>
      <c r="P67" t="b">
        <v>1</v>
      </c>
      <c r="Q67" t="s">
        <v>112</v>
      </c>
      <c r="R67">
        <v>0.52797964714340995</v>
      </c>
      <c r="S67">
        <v>42</v>
      </c>
      <c r="T67">
        <v>0</v>
      </c>
      <c r="U67" t="s">
        <v>324</v>
      </c>
      <c r="V67" t="s">
        <v>325</v>
      </c>
      <c r="W67">
        <v>0.59523809523809501</v>
      </c>
      <c r="X67" t="b">
        <v>0</v>
      </c>
      <c r="Y67">
        <v>13.583576103206701</v>
      </c>
      <c r="Z67">
        <v>1.29584249970503</v>
      </c>
      <c r="AA67">
        <v>544.86198549997005</v>
      </c>
      <c r="AB67">
        <v>304</v>
      </c>
      <c r="AC67">
        <v>2</v>
      </c>
      <c r="AD67">
        <v>0.52302631578947301</v>
      </c>
      <c r="AE67">
        <v>0.51820557491289199</v>
      </c>
      <c r="AF67">
        <v>0.51837928153717605</v>
      </c>
      <c r="AG67">
        <v>0.51820557491289199</v>
      </c>
      <c r="AH67">
        <v>0.518014323984473</v>
      </c>
      <c r="AI67">
        <v>3.6584444064120702E-2</v>
      </c>
      <c r="AJ67" t="s">
        <v>326</v>
      </c>
      <c r="AK67">
        <v>0.53349303135888504</v>
      </c>
      <c r="AL67">
        <v>0.565938202641312</v>
      </c>
      <c r="AM67">
        <v>140</v>
      </c>
      <c r="AN67">
        <v>0.48120300751879602</v>
      </c>
      <c r="AO67">
        <v>0.45714285714285702</v>
      </c>
      <c r="AP67">
        <v>0.46886446886446798</v>
      </c>
      <c r="AQ67">
        <v>164</v>
      </c>
      <c r="AR67">
        <v>0.55555555555555503</v>
      </c>
      <c r="AS67">
        <v>0.57926829268292601</v>
      </c>
      <c r="AT67">
        <v>0.56716417910447703</v>
      </c>
      <c r="AU67">
        <v>64</v>
      </c>
      <c r="AV67">
        <v>76</v>
      </c>
      <c r="AW67">
        <v>69</v>
      </c>
      <c r="AX67">
        <v>95</v>
      </c>
      <c r="AY67">
        <v>1000</v>
      </c>
      <c r="AZ67">
        <v>0.47056849585471699</v>
      </c>
      <c r="BA67">
        <v>0.577058434690639</v>
      </c>
      <c r="BB67">
        <v>0.46665053062259698</v>
      </c>
      <c r="BC67">
        <v>0.57131681757050001</v>
      </c>
      <c r="BD67">
        <v>0.46448428126285801</v>
      </c>
      <c r="BE67">
        <v>0.56910821302041403</v>
      </c>
      <c r="BF67">
        <v>-6.7174936182556599E-2</v>
      </c>
      <c r="BG67">
        <v>0.14392329837634299</v>
      </c>
      <c r="BH67">
        <v>1000</v>
      </c>
      <c r="BI67">
        <v>0.47439484126984099</v>
      </c>
      <c r="BJ67">
        <v>0.58055866655605304</v>
      </c>
      <c r="BK67">
        <v>4</v>
      </c>
    </row>
    <row r="68" spans="1:63" x14ac:dyDescent="0.3">
      <c r="A68" t="s">
        <v>327</v>
      </c>
      <c r="B68" t="s">
        <v>109</v>
      </c>
      <c r="C68" t="s">
        <v>25</v>
      </c>
      <c r="D68" t="s">
        <v>66</v>
      </c>
      <c r="E68" t="s">
        <v>328</v>
      </c>
      <c r="F68">
        <v>4</v>
      </c>
      <c r="G68" t="s">
        <v>24</v>
      </c>
      <c r="H68" t="s">
        <v>26</v>
      </c>
      <c r="I68" t="s">
        <v>35</v>
      </c>
      <c r="J68" t="s">
        <v>28</v>
      </c>
      <c r="K68" t="s">
        <v>111</v>
      </c>
      <c r="L68">
        <v>10</v>
      </c>
      <c r="M68">
        <v>304</v>
      </c>
      <c r="N68">
        <v>42</v>
      </c>
      <c r="O68">
        <v>42</v>
      </c>
      <c r="P68" t="b">
        <v>1</v>
      </c>
      <c r="Q68" t="s">
        <v>112</v>
      </c>
      <c r="R68">
        <v>0.48752903600464498</v>
      </c>
      <c r="S68">
        <v>42</v>
      </c>
      <c r="T68">
        <v>0</v>
      </c>
      <c r="U68" t="s">
        <v>329</v>
      </c>
      <c r="V68" t="s">
        <v>311</v>
      </c>
      <c r="W68">
        <v>0.73809523809523803</v>
      </c>
      <c r="X68" t="b">
        <v>0</v>
      </c>
      <c r="Y68">
        <v>13.2648902996443</v>
      </c>
      <c r="Z68">
        <v>1.26240360015071</v>
      </c>
      <c r="AA68">
        <v>589.20211149984902</v>
      </c>
      <c r="AB68">
        <v>304</v>
      </c>
      <c r="AC68">
        <v>2</v>
      </c>
      <c r="AD68">
        <v>0.52302631578947301</v>
      </c>
      <c r="AE68">
        <v>0.50879790940766501</v>
      </c>
      <c r="AF68">
        <v>0.51006026196523702</v>
      </c>
      <c r="AG68">
        <v>0.50879790940766501</v>
      </c>
      <c r="AH68">
        <v>0.49867503724680601</v>
      </c>
      <c r="AI68">
        <v>1.8815873446379298E-2</v>
      </c>
      <c r="AJ68" t="s">
        <v>330</v>
      </c>
      <c r="AK68">
        <v>0.48135888501742102</v>
      </c>
      <c r="AL68">
        <v>0.53264504006716296</v>
      </c>
      <c r="AM68">
        <v>140</v>
      </c>
      <c r="AN68">
        <v>0.47422680412371099</v>
      </c>
      <c r="AO68">
        <v>0.32857142857142801</v>
      </c>
      <c r="AP68">
        <v>0.38818565400843802</v>
      </c>
      <c r="AQ68">
        <v>164</v>
      </c>
      <c r="AR68">
        <v>0.54589371980676304</v>
      </c>
      <c r="AS68">
        <v>0.68902439024390205</v>
      </c>
      <c r="AT68">
        <v>0.60916442048517505</v>
      </c>
      <c r="AU68">
        <v>46</v>
      </c>
      <c r="AV68">
        <v>94</v>
      </c>
      <c r="AW68">
        <v>51</v>
      </c>
      <c r="AX68">
        <v>113</v>
      </c>
      <c r="AY68">
        <v>1000</v>
      </c>
      <c r="AZ68">
        <v>0.47365882552039201</v>
      </c>
      <c r="BA68">
        <v>0.57281633768404805</v>
      </c>
      <c r="BB68">
        <v>0.45811432565474702</v>
      </c>
      <c r="BC68">
        <v>0.55955692803606905</v>
      </c>
      <c r="BD68">
        <v>0.43823088066841798</v>
      </c>
      <c r="BE68">
        <v>0.55288059810714196</v>
      </c>
      <c r="BF68">
        <v>-9.2104156197947706E-2</v>
      </c>
      <c r="BG68">
        <v>0.12639045304909699</v>
      </c>
      <c r="BH68">
        <v>1000</v>
      </c>
      <c r="BI68">
        <v>0.45178474641889199</v>
      </c>
      <c r="BJ68">
        <v>0.52043735481997599</v>
      </c>
      <c r="BK68">
        <v>7</v>
      </c>
    </row>
    <row r="69" spans="1:63" x14ac:dyDescent="0.3">
      <c r="A69" t="s">
        <v>331</v>
      </c>
      <c r="B69" t="s">
        <v>109</v>
      </c>
      <c r="C69" t="s">
        <v>25</v>
      </c>
      <c r="D69" t="s">
        <v>66</v>
      </c>
      <c r="E69" t="s">
        <v>332</v>
      </c>
      <c r="F69">
        <v>5</v>
      </c>
      <c r="G69" t="s">
        <v>24</v>
      </c>
      <c r="H69" t="s">
        <v>36</v>
      </c>
      <c r="I69" t="s">
        <v>27</v>
      </c>
      <c r="J69" t="s">
        <v>28</v>
      </c>
      <c r="K69" t="s">
        <v>111</v>
      </c>
      <c r="L69">
        <v>10</v>
      </c>
      <c r="M69">
        <v>304</v>
      </c>
      <c r="N69">
        <v>42</v>
      </c>
      <c r="O69">
        <v>42</v>
      </c>
      <c r="P69" t="b">
        <v>1</v>
      </c>
      <c r="Q69" t="s">
        <v>112</v>
      </c>
      <c r="R69">
        <v>0.484001852773629</v>
      </c>
      <c r="S69">
        <v>42</v>
      </c>
      <c r="T69">
        <v>0</v>
      </c>
      <c r="U69" t="s">
        <v>333</v>
      </c>
      <c r="V69" t="s">
        <v>325</v>
      </c>
      <c r="W69">
        <v>0.452380952380952</v>
      </c>
      <c r="X69" t="b">
        <v>0</v>
      </c>
      <c r="Y69">
        <v>6.7245067984331399</v>
      </c>
      <c r="Z69">
        <v>0.49846820090897298</v>
      </c>
      <c r="AA69">
        <v>633.09260910004298</v>
      </c>
      <c r="AB69">
        <v>304</v>
      </c>
      <c r="AC69">
        <v>2</v>
      </c>
      <c r="AD69">
        <v>0.49013157894736797</v>
      </c>
      <c r="AE69">
        <v>0.48301393728222902</v>
      </c>
      <c r="AF69">
        <v>0.482569832402234</v>
      </c>
      <c r="AG69">
        <v>0.48301393728222902</v>
      </c>
      <c r="AH69">
        <v>0.48159964794543098</v>
      </c>
      <c r="AI69">
        <v>-3.4413364845471597E-2</v>
      </c>
      <c r="AJ69" t="s">
        <v>334</v>
      </c>
      <c r="AK69">
        <v>0.483057491289198</v>
      </c>
      <c r="AL69">
        <v>0.54223113026160796</v>
      </c>
      <c r="AM69">
        <v>140</v>
      </c>
      <c r="AN69">
        <v>0.44</v>
      </c>
      <c r="AO69">
        <v>0.39285714285714202</v>
      </c>
      <c r="AP69">
        <v>0.41509433962264097</v>
      </c>
      <c r="AQ69">
        <v>164</v>
      </c>
      <c r="AR69">
        <v>0.52513966480446905</v>
      </c>
      <c r="AS69">
        <v>0.57317073170731703</v>
      </c>
      <c r="AT69">
        <v>0.54810495626822098</v>
      </c>
      <c r="AU69">
        <v>55</v>
      </c>
      <c r="AV69">
        <v>85</v>
      </c>
      <c r="AW69">
        <v>70</v>
      </c>
      <c r="AX69">
        <v>94</v>
      </c>
      <c r="AY69">
        <v>1000</v>
      </c>
      <c r="AZ69">
        <v>0.44334574258724702</v>
      </c>
      <c r="BA69">
        <v>0.53334459459459405</v>
      </c>
      <c r="BB69">
        <v>0.437732338969755</v>
      </c>
      <c r="BC69">
        <v>0.52651934106950005</v>
      </c>
      <c r="BD69">
        <v>0.43485575382304598</v>
      </c>
      <c r="BE69">
        <v>0.524484505185558</v>
      </c>
      <c r="BF69">
        <v>-0.12826422907698301</v>
      </c>
      <c r="BG69">
        <v>5.3086421479581397E-2</v>
      </c>
      <c r="BH69">
        <v>1000</v>
      </c>
      <c r="BI69">
        <v>0.44980158730158698</v>
      </c>
      <c r="BJ69">
        <v>0.51495084619213505</v>
      </c>
      <c r="BK69">
        <v>8</v>
      </c>
    </row>
    <row r="70" spans="1:63" x14ac:dyDescent="0.3">
      <c r="A70" t="s">
        <v>335</v>
      </c>
      <c r="B70" t="s">
        <v>109</v>
      </c>
      <c r="C70" t="s">
        <v>25</v>
      </c>
      <c r="D70" t="s">
        <v>66</v>
      </c>
      <c r="E70" t="s">
        <v>336</v>
      </c>
      <c r="F70">
        <v>6</v>
      </c>
      <c r="G70" t="s">
        <v>24</v>
      </c>
      <c r="H70" t="s">
        <v>36</v>
      </c>
      <c r="I70" t="s">
        <v>32</v>
      </c>
      <c r="J70" t="s">
        <v>28</v>
      </c>
      <c r="K70" t="s">
        <v>111</v>
      </c>
      <c r="L70">
        <v>10</v>
      </c>
      <c r="M70">
        <v>304</v>
      </c>
      <c r="N70">
        <v>42</v>
      </c>
      <c r="O70">
        <v>42</v>
      </c>
      <c r="P70" t="b">
        <v>1</v>
      </c>
      <c r="Q70" t="s">
        <v>112</v>
      </c>
      <c r="R70">
        <v>0.58283349925335903</v>
      </c>
      <c r="S70">
        <v>42</v>
      </c>
      <c r="T70">
        <v>0</v>
      </c>
      <c r="U70" t="s">
        <v>337</v>
      </c>
      <c r="V70" t="s">
        <v>325</v>
      </c>
      <c r="W70">
        <v>0.66666666666666596</v>
      </c>
      <c r="X70" t="b">
        <v>0</v>
      </c>
      <c r="Y70">
        <v>7.1040868982672603</v>
      </c>
      <c r="Z70">
        <v>0.53825560002587702</v>
      </c>
      <c r="AA70">
        <v>677.05178739991902</v>
      </c>
      <c r="AB70">
        <v>304</v>
      </c>
      <c r="AC70">
        <v>2</v>
      </c>
      <c r="AD70">
        <v>0.56907894736842102</v>
      </c>
      <c r="AE70">
        <v>0.56820557491289203</v>
      </c>
      <c r="AF70">
        <v>0.56785389314961598</v>
      </c>
      <c r="AG70">
        <v>0.56820557491289203</v>
      </c>
      <c r="AH70">
        <v>0.56772715924756001</v>
      </c>
      <c r="AI70">
        <v>0.136059013554377</v>
      </c>
      <c r="AJ70" t="s">
        <v>338</v>
      </c>
      <c r="AK70">
        <v>0.59708188153310104</v>
      </c>
      <c r="AL70">
        <v>0.60044833343618298</v>
      </c>
      <c r="AM70">
        <v>140</v>
      </c>
      <c r="AN70">
        <v>0.530612244897959</v>
      </c>
      <c r="AO70">
        <v>0.55714285714285705</v>
      </c>
      <c r="AP70">
        <v>0.54355400696864098</v>
      </c>
      <c r="AQ70">
        <v>164</v>
      </c>
      <c r="AR70">
        <v>0.60509554140127297</v>
      </c>
      <c r="AS70">
        <v>0.57926829268292601</v>
      </c>
      <c r="AT70">
        <v>0.59190031152647904</v>
      </c>
      <c r="AU70">
        <v>78</v>
      </c>
      <c r="AV70">
        <v>62</v>
      </c>
      <c r="AW70">
        <v>69</v>
      </c>
      <c r="AX70">
        <v>95</v>
      </c>
      <c r="AY70">
        <v>1000</v>
      </c>
      <c r="AZ70">
        <v>0.51315789473684204</v>
      </c>
      <c r="BA70">
        <v>0.62544955213790698</v>
      </c>
      <c r="BB70">
        <v>0.51077582860883497</v>
      </c>
      <c r="BC70">
        <v>0.62647288985552196</v>
      </c>
      <c r="BD70">
        <v>0.51065061553803603</v>
      </c>
      <c r="BE70">
        <v>0.62478933688360305</v>
      </c>
      <c r="BF70">
        <v>2.1471909987721E-2</v>
      </c>
      <c r="BG70">
        <v>0.25112528052884298</v>
      </c>
      <c r="BH70">
        <v>1000</v>
      </c>
      <c r="BI70">
        <v>0.52266659580498798</v>
      </c>
      <c r="BJ70">
        <v>0.64437328894972601</v>
      </c>
      <c r="BK70">
        <v>2</v>
      </c>
    </row>
    <row r="71" spans="1:63" x14ac:dyDescent="0.3">
      <c r="A71" t="s">
        <v>339</v>
      </c>
      <c r="B71" t="s">
        <v>109</v>
      </c>
      <c r="C71" t="s">
        <v>25</v>
      </c>
      <c r="D71" t="s">
        <v>66</v>
      </c>
      <c r="E71" t="s">
        <v>340</v>
      </c>
      <c r="F71">
        <v>7</v>
      </c>
      <c r="G71" t="s">
        <v>24</v>
      </c>
      <c r="H71" t="s">
        <v>36</v>
      </c>
      <c r="I71" t="s">
        <v>33</v>
      </c>
      <c r="J71" t="s">
        <v>28</v>
      </c>
      <c r="K71" t="s">
        <v>111</v>
      </c>
      <c r="L71">
        <v>10</v>
      </c>
      <c r="M71">
        <v>304</v>
      </c>
      <c r="N71">
        <v>42</v>
      </c>
      <c r="O71">
        <v>42</v>
      </c>
      <c r="P71" t="b">
        <v>1</v>
      </c>
      <c r="Q71" t="s">
        <v>112</v>
      </c>
      <c r="R71">
        <v>0.50501216746861299</v>
      </c>
      <c r="S71">
        <v>42</v>
      </c>
      <c r="T71">
        <v>0</v>
      </c>
      <c r="U71" t="s">
        <v>341</v>
      </c>
      <c r="V71" t="s">
        <v>316</v>
      </c>
      <c r="W71">
        <v>0.476190476190476</v>
      </c>
      <c r="X71" t="b">
        <v>0</v>
      </c>
      <c r="Y71">
        <v>7.3703658960293899</v>
      </c>
      <c r="Z71">
        <v>0.556291298940777</v>
      </c>
      <c r="AA71">
        <v>720.74410540005101</v>
      </c>
      <c r="AB71">
        <v>304</v>
      </c>
      <c r="AC71">
        <v>2</v>
      </c>
      <c r="AD71">
        <v>0.51315789473684204</v>
      </c>
      <c r="AE71">
        <v>0.50174216027874496</v>
      </c>
      <c r="AF71">
        <v>0.50188964474678699</v>
      </c>
      <c r="AG71">
        <v>0.50174216027874496</v>
      </c>
      <c r="AH71">
        <v>0.49605734767025</v>
      </c>
      <c r="AI71">
        <v>3.6288091814223201E-3</v>
      </c>
      <c r="AJ71" t="s">
        <v>342</v>
      </c>
      <c r="AK71">
        <v>0.50993031358884999</v>
      </c>
      <c r="AL71">
        <v>0.569674589045574</v>
      </c>
      <c r="AM71">
        <v>140</v>
      </c>
      <c r="AN71">
        <v>0.46296296296296202</v>
      </c>
      <c r="AO71">
        <v>0.35714285714285698</v>
      </c>
      <c r="AP71">
        <v>0.40322580645161199</v>
      </c>
      <c r="AQ71">
        <v>164</v>
      </c>
      <c r="AR71">
        <v>0.54081632653061196</v>
      </c>
      <c r="AS71">
        <v>0.64634146341463405</v>
      </c>
      <c r="AT71">
        <v>0.58888888888888802</v>
      </c>
      <c r="AU71">
        <v>50</v>
      </c>
      <c r="AV71">
        <v>90</v>
      </c>
      <c r="AW71">
        <v>58</v>
      </c>
      <c r="AX71">
        <v>106</v>
      </c>
      <c r="AY71">
        <v>1000</v>
      </c>
      <c r="AZ71">
        <v>0.45204105007559398</v>
      </c>
      <c r="BA71">
        <v>0.56959062015748996</v>
      </c>
      <c r="BB71">
        <v>0.44238159458169102</v>
      </c>
      <c r="BC71">
        <v>0.55917784421460803</v>
      </c>
      <c r="BD71">
        <v>0.43050298437336398</v>
      </c>
      <c r="BE71">
        <v>0.55394882442010696</v>
      </c>
      <c r="BF71">
        <v>-0.122634043096014</v>
      </c>
      <c r="BG71">
        <v>0.122015591079126</v>
      </c>
      <c r="BH71">
        <v>1000</v>
      </c>
      <c r="BI71">
        <v>0.45289544272993698</v>
      </c>
      <c r="BJ71">
        <v>0.55497519841269805</v>
      </c>
      <c r="BK71">
        <v>5</v>
      </c>
    </row>
    <row r="72" spans="1:63" x14ac:dyDescent="0.3">
      <c r="A72" t="s">
        <v>343</v>
      </c>
      <c r="B72" t="s">
        <v>109</v>
      </c>
      <c r="C72" t="s">
        <v>25</v>
      </c>
      <c r="D72" t="s">
        <v>66</v>
      </c>
      <c r="E72" t="s">
        <v>344</v>
      </c>
      <c r="F72">
        <v>8</v>
      </c>
      <c r="G72" t="s">
        <v>24</v>
      </c>
      <c r="H72" t="s">
        <v>36</v>
      </c>
      <c r="I72" t="s">
        <v>34</v>
      </c>
      <c r="J72" t="s">
        <v>28</v>
      </c>
      <c r="K72" t="s">
        <v>111</v>
      </c>
      <c r="L72">
        <v>10</v>
      </c>
      <c r="M72">
        <v>304</v>
      </c>
      <c r="N72">
        <v>42</v>
      </c>
      <c r="O72">
        <v>42</v>
      </c>
      <c r="P72" t="b">
        <v>1</v>
      </c>
      <c r="Q72" t="s">
        <v>112</v>
      </c>
      <c r="R72">
        <v>0.61239906531718302</v>
      </c>
      <c r="S72">
        <v>42</v>
      </c>
      <c r="T72">
        <v>0</v>
      </c>
      <c r="U72" t="s">
        <v>337</v>
      </c>
      <c r="V72" t="s">
        <v>325</v>
      </c>
      <c r="W72">
        <v>0.66666666666666596</v>
      </c>
      <c r="X72" t="b">
        <v>0</v>
      </c>
      <c r="Y72">
        <v>8.0277301019523293</v>
      </c>
      <c r="Z72">
        <v>0.60941130039282099</v>
      </c>
      <c r="AA72">
        <v>764.86881759995595</v>
      </c>
      <c r="AB72">
        <v>304</v>
      </c>
      <c r="AC72">
        <v>2</v>
      </c>
      <c r="AD72">
        <v>0.60855263157894701</v>
      </c>
      <c r="AE72">
        <v>0.60479094076655004</v>
      </c>
      <c r="AF72">
        <v>0.60545693622616703</v>
      </c>
      <c r="AG72">
        <v>0.60479094076655004</v>
      </c>
      <c r="AH72">
        <v>0.60495768495768498</v>
      </c>
      <c r="AI72">
        <v>0.210246822163838</v>
      </c>
      <c r="AJ72" t="s">
        <v>345</v>
      </c>
      <c r="AK72">
        <v>0.604355400696864</v>
      </c>
      <c r="AL72">
        <v>0.61546014558587203</v>
      </c>
      <c r="AM72">
        <v>140</v>
      </c>
      <c r="AN72">
        <v>0.57777777777777695</v>
      </c>
      <c r="AO72">
        <v>0.55714285714285705</v>
      </c>
      <c r="AP72">
        <v>0.56727272727272704</v>
      </c>
      <c r="AQ72">
        <v>164</v>
      </c>
      <c r="AR72">
        <v>0.633136094674556</v>
      </c>
      <c r="AS72">
        <v>0.65243902439024304</v>
      </c>
      <c r="AT72">
        <v>0.64264264264264204</v>
      </c>
      <c r="AU72">
        <v>78</v>
      </c>
      <c r="AV72">
        <v>62</v>
      </c>
      <c r="AW72">
        <v>57</v>
      </c>
      <c r="AX72">
        <v>107</v>
      </c>
      <c r="AY72">
        <v>1000</v>
      </c>
      <c r="AZ72">
        <v>0.56505850006481995</v>
      </c>
      <c r="BA72">
        <v>0.65131578947368396</v>
      </c>
      <c r="BB72">
        <v>0.56116999370188603</v>
      </c>
      <c r="BC72">
        <v>0.64851806581392402</v>
      </c>
      <c r="BD72">
        <v>0.56116555555303504</v>
      </c>
      <c r="BE72">
        <v>0.648769038019127</v>
      </c>
      <c r="BF72">
        <v>0.122588957271049</v>
      </c>
      <c r="BG72">
        <v>0.29914514461809799</v>
      </c>
      <c r="BH72">
        <v>1000</v>
      </c>
      <c r="BI72">
        <v>0.56533533128698599</v>
      </c>
      <c r="BJ72">
        <v>0.66156435197593699</v>
      </c>
      <c r="BK72">
        <v>1</v>
      </c>
    </row>
    <row r="73" spans="1:63" x14ac:dyDescent="0.3">
      <c r="A73" t="s">
        <v>346</v>
      </c>
      <c r="B73" t="s">
        <v>109</v>
      </c>
      <c r="C73" t="s">
        <v>25</v>
      </c>
      <c r="D73" t="s">
        <v>66</v>
      </c>
      <c r="E73" t="s">
        <v>347</v>
      </c>
      <c r="F73">
        <v>9</v>
      </c>
      <c r="G73" t="s">
        <v>24</v>
      </c>
      <c r="H73" t="s">
        <v>36</v>
      </c>
      <c r="I73" t="s">
        <v>35</v>
      </c>
      <c r="J73" t="s">
        <v>28</v>
      </c>
      <c r="K73" t="s">
        <v>111</v>
      </c>
      <c r="L73">
        <v>10</v>
      </c>
      <c r="M73">
        <v>304</v>
      </c>
      <c r="N73">
        <v>42</v>
      </c>
      <c r="O73">
        <v>42</v>
      </c>
      <c r="P73" t="b">
        <v>1</v>
      </c>
      <c r="Q73" t="s">
        <v>112</v>
      </c>
      <c r="R73">
        <v>0.47864747525026202</v>
      </c>
      <c r="S73">
        <v>42</v>
      </c>
      <c r="T73">
        <v>0</v>
      </c>
      <c r="U73" t="s">
        <v>348</v>
      </c>
      <c r="V73" t="s">
        <v>325</v>
      </c>
      <c r="W73">
        <v>0.52380952380952295</v>
      </c>
      <c r="X73" t="b">
        <v>0</v>
      </c>
      <c r="Y73">
        <v>8.1447421975899399</v>
      </c>
      <c r="Z73">
        <v>0.60669049946591203</v>
      </c>
      <c r="AA73">
        <v>808.20342270005494</v>
      </c>
      <c r="AB73">
        <v>304</v>
      </c>
      <c r="AC73">
        <v>2</v>
      </c>
      <c r="AD73">
        <v>0.49342105263157798</v>
      </c>
      <c r="AE73">
        <v>0.48397212543554002</v>
      </c>
      <c r="AF73">
        <v>0.48312545854732197</v>
      </c>
      <c r="AG73">
        <v>0.48397212543554002</v>
      </c>
      <c r="AH73">
        <v>0.48046875</v>
      </c>
      <c r="AI73">
        <v>-3.2891520714998901E-2</v>
      </c>
      <c r="AJ73" t="s">
        <v>349</v>
      </c>
      <c r="AK73">
        <v>0.50705574912891904</v>
      </c>
      <c r="AL73">
        <v>0.55136993134789303</v>
      </c>
      <c r="AM73">
        <v>140</v>
      </c>
      <c r="AN73">
        <v>0.43965517241379298</v>
      </c>
      <c r="AO73">
        <v>0.36428571428571399</v>
      </c>
      <c r="AP73">
        <v>0.3984375</v>
      </c>
      <c r="AQ73">
        <v>164</v>
      </c>
      <c r="AR73">
        <v>0.52659574468085102</v>
      </c>
      <c r="AS73">
        <v>0.60365853658536495</v>
      </c>
      <c r="AT73">
        <v>0.5625</v>
      </c>
      <c r="AU73">
        <v>51</v>
      </c>
      <c r="AV73">
        <v>89</v>
      </c>
      <c r="AW73">
        <v>65</v>
      </c>
      <c r="AX73">
        <v>99</v>
      </c>
      <c r="AY73">
        <v>1000</v>
      </c>
      <c r="AZ73">
        <v>0.456666666666666</v>
      </c>
      <c r="BA73">
        <v>0.52769183531799002</v>
      </c>
      <c r="BB73">
        <v>0.44568552043047099</v>
      </c>
      <c r="BC73">
        <v>0.51916510824829698</v>
      </c>
      <c r="BD73">
        <v>0.44094040569601001</v>
      </c>
      <c r="BE73">
        <v>0.51522052321785305</v>
      </c>
      <c r="BF73">
        <v>-0.111848441012018</v>
      </c>
      <c r="BG73">
        <v>3.87968113857146E-2</v>
      </c>
      <c r="BH73">
        <v>1000</v>
      </c>
      <c r="BI73">
        <v>0.44060409839748899</v>
      </c>
      <c r="BJ73">
        <v>0.51383028628117899</v>
      </c>
      <c r="BK73">
        <v>9</v>
      </c>
    </row>
    <row r="74" spans="1:63" x14ac:dyDescent="0.3">
      <c r="A74" t="s">
        <v>350</v>
      </c>
      <c r="B74" t="s">
        <v>109</v>
      </c>
      <c r="C74" t="s">
        <v>37</v>
      </c>
      <c r="D74" t="s">
        <v>66</v>
      </c>
      <c r="E74" t="s">
        <v>309</v>
      </c>
      <c r="F74">
        <v>0</v>
      </c>
      <c r="G74" t="s">
        <v>24</v>
      </c>
      <c r="H74" t="s">
        <v>26</v>
      </c>
      <c r="I74" t="s">
        <v>27</v>
      </c>
      <c r="J74" t="s">
        <v>28</v>
      </c>
      <c r="K74" t="s">
        <v>111</v>
      </c>
      <c r="L74">
        <v>10</v>
      </c>
      <c r="M74">
        <v>278</v>
      </c>
      <c r="N74">
        <v>42</v>
      </c>
      <c r="O74">
        <v>42</v>
      </c>
      <c r="P74" t="b">
        <v>1</v>
      </c>
      <c r="Q74" t="s">
        <v>112</v>
      </c>
      <c r="R74">
        <v>0.47969718190306398</v>
      </c>
      <c r="S74">
        <v>42</v>
      </c>
      <c r="T74">
        <v>0</v>
      </c>
      <c r="U74" t="s">
        <v>351</v>
      </c>
      <c r="V74" t="s">
        <v>316</v>
      </c>
      <c r="W74">
        <v>0.38095238095237999</v>
      </c>
      <c r="X74" t="b">
        <v>0</v>
      </c>
      <c r="Y74">
        <v>13.040895797079401</v>
      </c>
      <c r="Z74">
        <v>1.1307390993461</v>
      </c>
      <c r="AA74">
        <v>450.98933530016802</v>
      </c>
      <c r="AB74">
        <v>278</v>
      </c>
      <c r="AC74">
        <v>2</v>
      </c>
      <c r="AD74">
        <v>0.46402877697841699</v>
      </c>
      <c r="AE74">
        <v>0.46094279605777699</v>
      </c>
      <c r="AF74">
        <v>0.46107068607068602</v>
      </c>
      <c r="AG74">
        <v>0.46094279605777699</v>
      </c>
      <c r="AH74">
        <v>0.460952851918847</v>
      </c>
      <c r="AI74">
        <v>-7.79864130081135E-2</v>
      </c>
      <c r="AJ74" t="s">
        <v>352</v>
      </c>
      <c r="AK74">
        <v>0.42968138916410198</v>
      </c>
      <c r="AL74">
        <v>0.39602626485328701</v>
      </c>
      <c r="AM74">
        <v>151</v>
      </c>
      <c r="AN74">
        <v>0.50675675675675602</v>
      </c>
      <c r="AO74">
        <v>0.49668874172185401</v>
      </c>
      <c r="AP74">
        <v>0.50167224080267503</v>
      </c>
      <c r="AQ74">
        <v>127</v>
      </c>
      <c r="AR74">
        <v>0.41538461538461502</v>
      </c>
      <c r="AS74">
        <v>0.42519685039369998</v>
      </c>
      <c r="AT74">
        <v>0.42023346303501902</v>
      </c>
      <c r="AU74">
        <v>75</v>
      </c>
      <c r="AV74">
        <v>76</v>
      </c>
      <c r="AW74">
        <v>73</v>
      </c>
      <c r="AX74">
        <v>54</v>
      </c>
      <c r="AY74">
        <v>1000</v>
      </c>
      <c r="AZ74">
        <v>0.385707792207792</v>
      </c>
      <c r="BA74">
        <v>0.54152379389563499</v>
      </c>
      <c r="BB74">
        <v>0.38462998382678198</v>
      </c>
      <c r="BC74">
        <v>0.541414265451863</v>
      </c>
      <c r="BD74">
        <v>0.381179730306696</v>
      </c>
      <c r="BE74">
        <v>0.53440311550532604</v>
      </c>
      <c r="BF74">
        <v>-0.22831091190314801</v>
      </c>
      <c r="BG74">
        <v>8.1227305686133594E-2</v>
      </c>
      <c r="BH74">
        <v>1000</v>
      </c>
      <c r="BI74">
        <v>0.40881983888145301</v>
      </c>
      <c r="BJ74">
        <v>0.54857855504256003</v>
      </c>
      <c r="BK74">
        <v>4</v>
      </c>
    </row>
    <row r="75" spans="1:63" x14ac:dyDescent="0.3">
      <c r="A75" t="s">
        <v>353</v>
      </c>
      <c r="B75" t="s">
        <v>109</v>
      </c>
      <c r="C75" t="s">
        <v>37</v>
      </c>
      <c r="D75" t="s">
        <v>66</v>
      </c>
      <c r="E75" t="s">
        <v>314</v>
      </c>
      <c r="F75">
        <v>1</v>
      </c>
      <c r="G75" t="s">
        <v>24</v>
      </c>
      <c r="H75" t="s">
        <v>26</v>
      </c>
      <c r="I75" t="s">
        <v>32</v>
      </c>
      <c r="J75" t="s">
        <v>28</v>
      </c>
      <c r="K75" t="s">
        <v>111</v>
      </c>
      <c r="L75">
        <v>10</v>
      </c>
      <c r="M75">
        <v>278</v>
      </c>
      <c r="N75">
        <v>42</v>
      </c>
      <c r="O75">
        <v>42</v>
      </c>
      <c r="P75" t="b">
        <v>1</v>
      </c>
      <c r="Q75" t="s">
        <v>112</v>
      </c>
      <c r="R75">
        <v>0.48397790934555601</v>
      </c>
      <c r="S75">
        <v>42</v>
      </c>
      <c r="T75">
        <v>0</v>
      </c>
      <c r="U75" t="s">
        <v>354</v>
      </c>
      <c r="V75" t="s">
        <v>325</v>
      </c>
      <c r="W75">
        <v>0.5</v>
      </c>
      <c r="X75" t="b">
        <v>0</v>
      </c>
      <c r="Y75">
        <v>12.576368197798701</v>
      </c>
      <c r="Z75">
        <v>1.17719929944723</v>
      </c>
      <c r="AA75">
        <v>494.64428830007</v>
      </c>
      <c r="AB75">
        <v>278</v>
      </c>
      <c r="AC75">
        <v>2</v>
      </c>
      <c r="AD75">
        <v>0.5</v>
      </c>
      <c r="AE75">
        <v>0.50093862439380499</v>
      </c>
      <c r="AF75">
        <v>0.50093206296603099</v>
      </c>
      <c r="AG75">
        <v>0.50093862439380499</v>
      </c>
      <c r="AH75">
        <v>0.49947540898669701</v>
      </c>
      <c r="AI75">
        <v>1.87067585271148E-3</v>
      </c>
      <c r="AJ75" t="s">
        <v>355</v>
      </c>
      <c r="AK75">
        <v>0.51238462741826096</v>
      </c>
      <c r="AL75">
        <v>0.46933874037441198</v>
      </c>
      <c r="AM75">
        <v>151</v>
      </c>
      <c r="AN75">
        <v>0.54411764705882304</v>
      </c>
      <c r="AO75">
        <v>0.49006622516556197</v>
      </c>
      <c r="AP75">
        <v>0.51567944250871001</v>
      </c>
      <c r="AQ75">
        <v>127</v>
      </c>
      <c r="AR75">
        <v>0.45774647887323899</v>
      </c>
      <c r="AS75">
        <v>0.511811023622047</v>
      </c>
      <c r="AT75">
        <v>0.48327137546468402</v>
      </c>
      <c r="AU75">
        <v>74</v>
      </c>
      <c r="AV75">
        <v>77</v>
      </c>
      <c r="AW75">
        <v>62</v>
      </c>
      <c r="AX75">
        <v>65</v>
      </c>
      <c r="AY75">
        <v>1000</v>
      </c>
      <c r="AZ75">
        <v>0.42545251017639002</v>
      </c>
      <c r="BA75">
        <v>0.58427689193654897</v>
      </c>
      <c r="BB75">
        <v>0.42612785802067599</v>
      </c>
      <c r="BC75">
        <v>0.58336397058823497</v>
      </c>
      <c r="BD75">
        <v>0.421470974403305</v>
      </c>
      <c r="BE75">
        <v>0.58116320122264997</v>
      </c>
      <c r="BF75">
        <v>-0.14662123222621901</v>
      </c>
      <c r="BG75">
        <v>0.16641750696458499</v>
      </c>
      <c r="BH75">
        <v>1000</v>
      </c>
      <c r="BI75">
        <v>0.41187876163979098</v>
      </c>
      <c r="BJ75">
        <v>0.56298389603077004</v>
      </c>
      <c r="BK75">
        <v>3</v>
      </c>
    </row>
    <row r="76" spans="1:63" x14ac:dyDescent="0.3">
      <c r="A76" t="s">
        <v>356</v>
      </c>
      <c r="B76" t="s">
        <v>109</v>
      </c>
      <c r="C76" t="s">
        <v>37</v>
      </c>
      <c r="D76" t="s">
        <v>66</v>
      </c>
      <c r="E76" t="s">
        <v>319</v>
      </c>
      <c r="F76">
        <v>2</v>
      </c>
      <c r="G76" t="s">
        <v>24</v>
      </c>
      <c r="H76" t="s">
        <v>26</v>
      </c>
      <c r="I76" t="s">
        <v>33</v>
      </c>
      <c r="J76" t="s">
        <v>28</v>
      </c>
      <c r="K76" t="s">
        <v>111</v>
      </c>
      <c r="L76">
        <v>10</v>
      </c>
      <c r="M76">
        <v>278</v>
      </c>
      <c r="N76">
        <v>42</v>
      </c>
      <c r="O76">
        <v>42</v>
      </c>
      <c r="P76" t="b">
        <v>1</v>
      </c>
      <c r="Q76" t="s">
        <v>112</v>
      </c>
      <c r="R76">
        <v>0.55444624819624799</v>
      </c>
      <c r="S76">
        <v>42</v>
      </c>
      <c r="T76">
        <v>0</v>
      </c>
      <c r="U76" t="s">
        <v>357</v>
      </c>
      <c r="V76" t="s">
        <v>311</v>
      </c>
      <c r="W76">
        <v>0.952380952380952</v>
      </c>
      <c r="X76" t="b">
        <v>0</v>
      </c>
      <c r="Y76">
        <v>13.954618697054601</v>
      </c>
      <c r="Z76">
        <v>1.1466706003993701</v>
      </c>
      <c r="AA76">
        <v>537.60854130005396</v>
      </c>
      <c r="AB76">
        <v>278</v>
      </c>
      <c r="AC76">
        <v>2</v>
      </c>
      <c r="AD76">
        <v>0.55035971223021496</v>
      </c>
      <c r="AE76">
        <v>0.56669447775981596</v>
      </c>
      <c r="AF76">
        <v>0.57649521531100401</v>
      </c>
      <c r="AG76">
        <v>0.56669447775981596</v>
      </c>
      <c r="AH76">
        <v>0.54133284056861497</v>
      </c>
      <c r="AI76">
        <v>0.142853889499616</v>
      </c>
      <c r="AJ76" t="s">
        <v>358</v>
      </c>
      <c r="AK76">
        <v>0.57808833498461698</v>
      </c>
      <c r="AL76">
        <v>0.52014392734320702</v>
      </c>
      <c r="AM76">
        <v>151</v>
      </c>
      <c r="AN76">
        <v>0.64772727272727204</v>
      </c>
      <c r="AO76">
        <v>0.37748344370860898</v>
      </c>
      <c r="AP76">
        <v>0.47698744769874402</v>
      </c>
      <c r="AQ76">
        <v>127</v>
      </c>
      <c r="AR76">
        <v>0.50526315789473597</v>
      </c>
      <c r="AS76">
        <v>0.75590551181102295</v>
      </c>
      <c r="AT76">
        <v>0.60567823343848504</v>
      </c>
      <c r="AU76">
        <v>57</v>
      </c>
      <c r="AV76">
        <v>94</v>
      </c>
      <c r="AW76">
        <v>31</v>
      </c>
      <c r="AX76">
        <v>96</v>
      </c>
      <c r="AY76">
        <v>1000</v>
      </c>
      <c r="AZ76">
        <v>0.46946185961914699</v>
      </c>
      <c r="BA76">
        <v>0.62724179661151402</v>
      </c>
      <c r="BB76">
        <v>0.486962587525059</v>
      </c>
      <c r="BC76">
        <v>0.64632444143684098</v>
      </c>
      <c r="BD76">
        <v>0.45403036330152702</v>
      </c>
      <c r="BE76">
        <v>0.620572303450308</v>
      </c>
      <c r="BF76">
        <v>-2.9299306986184201E-2</v>
      </c>
      <c r="BG76">
        <v>0.30960933823071302</v>
      </c>
      <c r="BH76">
        <v>1000</v>
      </c>
      <c r="BI76">
        <v>0.48838587257819699</v>
      </c>
      <c r="BJ76">
        <v>0.62046243216250296</v>
      </c>
      <c r="BK76">
        <v>1</v>
      </c>
    </row>
    <row r="77" spans="1:63" x14ac:dyDescent="0.3">
      <c r="A77" t="s">
        <v>359</v>
      </c>
      <c r="B77" t="s">
        <v>109</v>
      </c>
      <c r="C77" t="s">
        <v>37</v>
      </c>
      <c r="D77" t="s">
        <v>66</v>
      </c>
      <c r="E77" t="s">
        <v>323</v>
      </c>
      <c r="F77">
        <v>3</v>
      </c>
      <c r="G77" t="s">
        <v>24</v>
      </c>
      <c r="H77" t="s">
        <v>26</v>
      </c>
      <c r="I77" t="s">
        <v>34</v>
      </c>
      <c r="J77" t="s">
        <v>28</v>
      </c>
      <c r="K77" t="s">
        <v>111</v>
      </c>
      <c r="L77">
        <v>10</v>
      </c>
      <c r="M77">
        <v>278</v>
      </c>
      <c r="N77">
        <v>42</v>
      </c>
      <c r="O77">
        <v>42</v>
      </c>
      <c r="P77" t="b">
        <v>1</v>
      </c>
      <c r="Q77" t="s">
        <v>112</v>
      </c>
      <c r="R77">
        <v>0.45134697818521302</v>
      </c>
      <c r="S77">
        <v>42</v>
      </c>
      <c r="T77">
        <v>0</v>
      </c>
      <c r="U77" t="s">
        <v>360</v>
      </c>
      <c r="V77" t="s">
        <v>316</v>
      </c>
      <c r="W77">
        <v>0.52380952380952295</v>
      </c>
      <c r="X77" t="b">
        <v>0</v>
      </c>
      <c r="Y77">
        <v>14.3987892023287</v>
      </c>
      <c r="Z77">
        <v>1.34708559932187</v>
      </c>
      <c r="AA77">
        <v>580.45413910015395</v>
      </c>
      <c r="AB77">
        <v>278</v>
      </c>
      <c r="AC77">
        <v>2</v>
      </c>
      <c r="AD77">
        <v>0.44244604316546698</v>
      </c>
      <c r="AE77">
        <v>0.43669499921781302</v>
      </c>
      <c r="AF77">
        <v>0.43621269440941501</v>
      </c>
      <c r="AG77">
        <v>0.43669499921781302</v>
      </c>
      <c r="AH77">
        <v>0.43631202333765001</v>
      </c>
      <c r="AI77">
        <v>-0.12709139121601401</v>
      </c>
      <c r="AJ77" t="s">
        <v>361</v>
      </c>
      <c r="AK77">
        <v>0.43307086614173201</v>
      </c>
      <c r="AL77">
        <v>0.44985732044686799</v>
      </c>
      <c r="AM77">
        <v>151</v>
      </c>
      <c r="AN77">
        <v>0.487179487179487</v>
      </c>
      <c r="AO77">
        <v>0.50331125827814505</v>
      </c>
      <c r="AP77">
        <v>0.49511400651465798</v>
      </c>
      <c r="AQ77">
        <v>127</v>
      </c>
      <c r="AR77">
        <v>0.38524590163934402</v>
      </c>
      <c r="AS77">
        <v>0.37007874015747999</v>
      </c>
      <c r="AT77">
        <v>0.37751004016064199</v>
      </c>
      <c r="AU77">
        <v>76</v>
      </c>
      <c r="AV77">
        <v>75</v>
      </c>
      <c r="AW77">
        <v>80</v>
      </c>
      <c r="AX77">
        <v>47</v>
      </c>
      <c r="AY77">
        <v>1000</v>
      </c>
      <c r="AZ77">
        <v>0.36327834284296701</v>
      </c>
      <c r="BA77">
        <v>0.52595607827061897</v>
      </c>
      <c r="BB77">
        <v>0.36031914424106698</v>
      </c>
      <c r="BC77">
        <v>0.517606248457536</v>
      </c>
      <c r="BD77">
        <v>0.35985141882298299</v>
      </c>
      <c r="BE77">
        <v>0.51258849202386103</v>
      </c>
      <c r="BF77">
        <v>-0.27778566902986002</v>
      </c>
      <c r="BG77">
        <v>3.4798235063411599E-2</v>
      </c>
      <c r="BH77">
        <v>1000</v>
      </c>
      <c r="BI77">
        <v>0.38694287174638903</v>
      </c>
      <c r="BJ77">
        <v>0.51417318820844704</v>
      </c>
      <c r="BK77">
        <v>8</v>
      </c>
    </row>
    <row r="78" spans="1:63" x14ac:dyDescent="0.3">
      <c r="A78" t="s">
        <v>362</v>
      </c>
      <c r="B78" t="s">
        <v>109</v>
      </c>
      <c r="C78" t="s">
        <v>37</v>
      </c>
      <c r="D78" t="s">
        <v>66</v>
      </c>
      <c r="E78" t="s">
        <v>328</v>
      </c>
      <c r="F78">
        <v>4</v>
      </c>
      <c r="G78" t="s">
        <v>24</v>
      </c>
      <c r="H78" t="s">
        <v>26</v>
      </c>
      <c r="I78" t="s">
        <v>35</v>
      </c>
      <c r="J78" t="s">
        <v>28</v>
      </c>
      <c r="K78" t="s">
        <v>111</v>
      </c>
      <c r="L78">
        <v>10</v>
      </c>
      <c r="M78">
        <v>278</v>
      </c>
      <c r="N78">
        <v>42</v>
      </c>
      <c r="O78">
        <v>42</v>
      </c>
      <c r="P78" t="b">
        <v>1</v>
      </c>
      <c r="Q78" t="s">
        <v>112</v>
      </c>
      <c r="R78">
        <v>0.54196534674475805</v>
      </c>
      <c r="S78">
        <v>42</v>
      </c>
      <c r="T78">
        <v>0</v>
      </c>
      <c r="U78" t="s">
        <v>363</v>
      </c>
      <c r="V78" t="s">
        <v>311</v>
      </c>
      <c r="W78">
        <v>0.92857142857142805</v>
      </c>
      <c r="X78" t="b">
        <v>0</v>
      </c>
      <c r="Y78">
        <v>14.3466489014681</v>
      </c>
      <c r="Z78">
        <v>1.2432085010223</v>
      </c>
      <c r="AA78">
        <v>623.95089500001598</v>
      </c>
      <c r="AB78">
        <v>278</v>
      </c>
      <c r="AC78">
        <v>2</v>
      </c>
      <c r="AD78">
        <v>0.52877697841726601</v>
      </c>
      <c r="AE78">
        <v>0.548704176878552</v>
      </c>
      <c r="AF78">
        <v>0.560838978634705</v>
      </c>
      <c r="AG78">
        <v>0.548704176878552</v>
      </c>
      <c r="AH78">
        <v>0.51236559859673503</v>
      </c>
      <c r="AI78">
        <v>0.108868955658354</v>
      </c>
      <c r="AJ78" t="s">
        <v>364</v>
      </c>
      <c r="AK78">
        <v>0.52609897272774597</v>
      </c>
      <c r="AL78">
        <v>0.47332401878125802</v>
      </c>
      <c r="AM78">
        <v>151</v>
      </c>
      <c r="AN78">
        <v>0.63157894736842102</v>
      </c>
      <c r="AO78">
        <v>0.31788079470198599</v>
      </c>
      <c r="AP78">
        <v>0.42290748898678399</v>
      </c>
      <c r="AQ78">
        <v>127</v>
      </c>
      <c r="AR78">
        <v>0.49009900990098998</v>
      </c>
      <c r="AS78">
        <v>0.77952755905511795</v>
      </c>
      <c r="AT78">
        <v>0.60182370820668696</v>
      </c>
      <c r="AU78">
        <v>48</v>
      </c>
      <c r="AV78">
        <v>103</v>
      </c>
      <c r="AW78">
        <v>28</v>
      </c>
      <c r="AX78">
        <v>99</v>
      </c>
      <c r="AY78">
        <v>1000</v>
      </c>
      <c r="AZ78">
        <v>0.44127852208499002</v>
      </c>
      <c r="BA78">
        <v>0.60704732914375403</v>
      </c>
      <c r="BB78">
        <v>0.47403028553763799</v>
      </c>
      <c r="BC78">
        <v>0.61638596178437899</v>
      </c>
      <c r="BD78">
        <v>0.42617740540101101</v>
      </c>
      <c r="BE78">
        <v>0.58528504193586095</v>
      </c>
      <c r="BF78">
        <v>-5.5507290970592503E-2</v>
      </c>
      <c r="BG78">
        <v>0.25467235990916598</v>
      </c>
      <c r="BH78">
        <v>1000</v>
      </c>
      <c r="BI78">
        <v>0.48353142192009302</v>
      </c>
      <c r="BJ78">
        <v>0.59818830838787096</v>
      </c>
      <c r="BK78">
        <v>2</v>
      </c>
    </row>
    <row r="79" spans="1:63" x14ac:dyDescent="0.3">
      <c r="A79" t="s">
        <v>365</v>
      </c>
      <c r="B79" t="s">
        <v>109</v>
      </c>
      <c r="C79" t="s">
        <v>37</v>
      </c>
      <c r="D79" t="s">
        <v>66</v>
      </c>
      <c r="E79" t="s">
        <v>332</v>
      </c>
      <c r="F79">
        <v>5</v>
      </c>
      <c r="G79" t="s">
        <v>24</v>
      </c>
      <c r="H79" t="s">
        <v>36</v>
      </c>
      <c r="I79" t="s">
        <v>27</v>
      </c>
      <c r="J79" t="s">
        <v>28</v>
      </c>
      <c r="K79" t="s">
        <v>111</v>
      </c>
      <c r="L79">
        <v>10</v>
      </c>
      <c r="M79">
        <v>278</v>
      </c>
      <c r="N79">
        <v>42</v>
      </c>
      <c r="O79">
        <v>42</v>
      </c>
      <c r="P79" t="b">
        <v>1</v>
      </c>
      <c r="Q79" t="s">
        <v>112</v>
      </c>
      <c r="R79">
        <v>0.44047937356760802</v>
      </c>
      <c r="S79">
        <v>42</v>
      </c>
      <c r="T79">
        <v>0</v>
      </c>
      <c r="U79" t="s">
        <v>366</v>
      </c>
      <c r="V79" t="s">
        <v>316</v>
      </c>
      <c r="W79">
        <v>0.59523809523809501</v>
      </c>
      <c r="X79" t="b">
        <v>0</v>
      </c>
      <c r="Y79">
        <v>7.6379002046305597</v>
      </c>
      <c r="Z79">
        <v>0.56529000075533897</v>
      </c>
      <c r="AA79">
        <v>667.44296060013505</v>
      </c>
      <c r="AB79">
        <v>278</v>
      </c>
      <c r="AC79">
        <v>2</v>
      </c>
      <c r="AD79">
        <v>0.35971223021582699</v>
      </c>
      <c r="AE79">
        <v>0.35427856286176101</v>
      </c>
      <c r="AF79">
        <v>0.35388235294117598</v>
      </c>
      <c r="AG79">
        <v>0.35427856286176101</v>
      </c>
      <c r="AH79">
        <v>0.35406223893066002</v>
      </c>
      <c r="AI79">
        <v>-0.29183881524341199</v>
      </c>
      <c r="AJ79" t="s">
        <v>367</v>
      </c>
      <c r="AK79">
        <v>0.323877561662408</v>
      </c>
      <c r="AL79">
        <v>0.36246999403743702</v>
      </c>
      <c r="AM79">
        <v>151</v>
      </c>
      <c r="AN79">
        <v>0.41176470588235198</v>
      </c>
      <c r="AO79">
        <v>0.41721854304635703</v>
      </c>
      <c r="AP79">
        <v>0.41447368421052599</v>
      </c>
      <c r="AQ79">
        <v>127</v>
      </c>
      <c r="AR79">
        <v>0.29599999999999999</v>
      </c>
      <c r="AS79">
        <v>0.291338582677165</v>
      </c>
      <c r="AT79">
        <v>0.293650793650793</v>
      </c>
      <c r="AU79">
        <v>63</v>
      </c>
      <c r="AV79">
        <v>88</v>
      </c>
      <c r="AW79">
        <v>90</v>
      </c>
      <c r="AX79">
        <v>37</v>
      </c>
      <c r="AY79">
        <v>1000</v>
      </c>
      <c r="AZ79">
        <v>0.28320350144555001</v>
      </c>
      <c r="BA79">
        <v>0.43799502864846601</v>
      </c>
      <c r="BB79">
        <v>0.28103867066460603</v>
      </c>
      <c r="BC79">
        <v>0.43282900978727601</v>
      </c>
      <c r="BD79">
        <v>0.27860415113322601</v>
      </c>
      <c r="BE79">
        <v>0.427587963834826</v>
      </c>
      <c r="BF79">
        <v>-0.43489520492527201</v>
      </c>
      <c r="BG79">
        <v>-0.13682167222535299</v>
      </c>
      <c r="BH79">
        <v>1000</v>
      </c>
      <c r="BI79">
        <v>0.37563751091652797</v>
      </c>
      <c r="BJ79">
        <v>0.49927287778850199</v>
      </c>
      <c r="BK79">
        <v>9</v>
      </c>
    </row>
    <row r="80" spans="1:63" x14ac:dyDescent="0.3">
      <c r="A80" t="s">
        <v>368</v>
      </c>
      <c r="B80" t="s">
        <v>109</v>
      </c>
      <c r="C80" t="s">
        <v>37</v>
      </c>
      <c r="D80" t="s">
        <v>66</v>
      </c>
      <c r="E80" t="s">
        <v>336</v>
      </c>
      <c r="F80">
        <v>6</v>
      </c>
      <c r="G80" t="s">
        <v>24</v>
      </c>
      <c r="H80" t="s">
        <v>36</v>
      </c>
      <c r="I80" t="s">
        <v>32</v>
      </c>
      <c r="J80" t="s">
        <v>28</v>
      </c>
      <c r="K80" t="s">
        <v>111</v>
      </c>
      <c r="L80">
        <v>10</v>
      </c>
      <c r="M80">
        <v>278</v>
      </c>
      <c r="N80">
        <v>42</v>
      </c>
      <c r="O80">
        <v>42</v>
      </c>
      <c r="P80" t="b">
        <v>1</v>
      </c>
      <c r="Q80" t="s">
        <v>112</v>
      </c>
      <c r="R80">
        <v>0.47367954757660602</v>
      </c>
      <c r="S80">
        <v>42</v>
      </c>
      <c r="T80">
        <v>0</v>
      </c>
      <c r="U80" t="s">
        <v>369</v>
      </c>
      <c r="V80" t="s">
        <v>316</v>
      </c>
      <c r="W80">
        <v>0.476190476190476</v>
      </c>
      <c r="X80" t="b">
        <v>0</v>
      </c>
      <c r="Y80">
        <v>8.1795433019287795</v>
      </c>
      <c r="Z80">
        <v>0.60711049917154003</v>
      </c>
      <c r="AA80">
        <v>710.64923660014699</v>
      </c>
      <c r="AB80">
        <v>278</v>
      </c>
      <c r="AC80">
        <v>2</v>
      </c>
      <c r="AD80">
        <v>0.44604316546762501</v>
      </c>
      <c r="AE80">
        <v>0.44626375345465902</v>
      </c>
      <c r="AF80">
        <v>0.446653207019723</v>
      </c>
      <c r="AG80">
        <v>0.44626375345465902</v>
      </c>
      <c r="AH80">
        <v>0.445325456053068</v>
      </c>
      <c r="AI80">
        <v>-0.10708233131551401</v>
      </c>
      <c r="AJ80" t="s">
        <v>370</v>
      </c>
      <c r="AK80">
        <v>0.43901548730249701</v>
      </c>
      <c r="AL80">
        <v>0.42855440074106899</v>
      </c>
      <c r="AM80">
        <v>151</v>
      </c>
      <c r="AN80">
        <v>0.48905109489051002</v>
      </c>
      <c r="AO80">
        <v>0.443708609271523</v>
      </c>
      <c r="AP80">
        <v>0.46527777777777701</v>
      </c>
      <c r="AQ80">
        <v>127</v>
      </c>
      <c r="AR80">
        <v>0.40425531914893598</v>
      </c>
      <c r="AS80">
        <v>0.44881889763779498</v>
      </c>
      <c r="AT80">
        <v>0.42537313432835799</v>
      </c>
      <c r="AU80">
        <v>67</v>
      </c>
      <c r="AV80">
        <v>84</v>
      </c>
      <c r="AW80">
        <v>70</v>
      </c>
      <c r="AX80">
        <v>57</v>
      </c>
      <c r="AY80">
        <v>1000</v>
      </c>
      <c r="AZ80">
        <v>0.36517354394351897</v>
      </c>
      <c r="BA80">
        <v>0.534804955192409</v>
      </c>
      <c r="BB80">
        <v>0.36666689817554499</v>
      </c>
      <c r="BC80">
        <v>0.53506851559532798</v>
      </c>
      <c r="BD80">
        <v>0.361634112100021</v>
      </c>
      <c r="BE80">
        <v>0.52987017713481499</v>
      </c>
      <c r="BF80">
        <v>-0.26195961808438101</v>
      </c>
      <c r="BG80">
        <v>7.0087307835154294E-2</v>
      </c>
      <c r="BH80">
        <v>1000</v>
      </c>
      <c r="BI80">
        <v>0.40486103702191401</v>
      </c>
      <c r="BJ80">
        <v>0.54556965373658795</v>
      </c>
      <c r="BK80">
        <v>5</v>
      </c>
    </row>
    <row r="81" spans="1:63" x14ac:dyDescent="0.3">
      <c r="A81" t="s">
        <v>371</v>
      </c>
      <c r="B81" t="s">
        <v>109</v>
      </c>
      <c r="C81" t="s">
        <v>37</v>
      </c>
      <c r="D81" t="s">
        <v>66</v>
      </c>
      <c r="E81" t="s">
        <v>340</v>
      </c>
      <c r="F81">
        <v>7</v>
      </c>
      <c r="G81" t="s">
        <v>24</v>
      </c>
      <c r="H81" t="s">
        <v>36</v>
      </c>
      <c r="I81" t="s">
        <v>33</v>
      </c>
      <c r="J81" t="s">
        <v>28</v>
      </c>
      <c r="K81" t="s">
        <v>111</v>
      </c>
      <c r="L81">
        <v>10</v>
      </c>
      <c r="M81">
        <v>278</v>
      </c>
      <c r="N81">
        <v>42</v>
      </c>
      <c r="O81">
        <v>42</v>
      </c>
      <c r="P81" t="b">
        <v>1</v>
      </c>
      <c r="Q81" t="s">
        <v>112</v>
      </c>
      <c r="R81">
        <v>0.47364081996434898</v>
      </c>
      <c r="S81">
        <v>42</v>
      </c>
      <c r="T81">
        <v>0</v>
      </c>
      <c r="U81" t="s">
        <v>372</v>
      </c>
      <c r="V81" t="s">
        <v>325</v>
      </c>
      <c r="W81">
        <v>0.66666666666666596</v>
      </c>
      <c r="X81" t="b">
        <v>0</v>
      </c>
      <c r="Y81">
        <v>8.5628021003212709</v>
      </c>
      <c r="Z81">
        <v>0.61249040020629697</v>
      </c>
      <c r="AA81">
        <v>754.24028680007905</v>
      </c>
      <c r="AB81">
        <v>278</v>
      </c>
      <c r="AC81">
        <v>2</v>
      </c>
      <c r="AD81">
        <v>0.46762589928057502</v>
      </c>
      <c r="AE81">
        <v>0.46926005110288299</v>
      </c>
      <c r="AF81">
        <v>0.46943220119263601</v>
      </c>
      <c r="AG81">
        <v>0.46926005110288299</v>
      </c>
      <c r="AH81">
        <v>0.46737779618889802</v>
      </c>
      <c r="AI81">
        <v>-6.1307506008177401E-2</v>
      </c>
      <c r="AJ81" t="s">
        <v>373</v>
      </c>
      <c r="AK81">
        <v>0.478229128643687</v>
      </c>
      <c r="AL81">
        <v>0.47081726615080199</v>
      </c>
      <c r="AM81">
        <v>151</v>
      </c>
      <c r="AN81">
        <v>0.511278195488721</v>
      </c>
      <c r="AO81">
        <v>0.45033112582781398</v>
      </c>
      <c r="AP81">
        <v>0.47887323943661902</v>
      </c>
      <c r="AQ81">
        <v>127</v>
      </c>
      <c r="AR81">
        <v>0.42758620689655102</v>
      </c>
      <c r="AS81">
        <v>0.488188976377952</v>
      </c>
      <c r="AT81">
        <v>0.45588235294117602</v>
      </c>
      <c r="AU81">
        <v>68</v>
      </c>
      <c r="AV81">
        <v>83</v>
      </c>
      <c r="AW81">
        <v>65</v>
      </c>
      <c r="AX81">
        <v>62</v>
      </c>
      <c r="AY81">
        <v>1000</v>
      </c>
      <c r="AZ81">
        <v>0.39030835103558098</v>
      </c>
      <c r="BA81">
        <v>0.54316546762589901</v>
      </c>
      <c r="BB81">
        <v>0.39234249251475301</v>
      </c>
      <c r="BC81">
        <v>0.54494473311194302</v>
      </c>
      <c r="BD81">
        <v>0.387354678859679</v>
      </c>
      <c r="BE81">
        <v>0.53774805348313304</v>
      </c>
      <c r="BF81">
        <v>-0.21657551837410099</v>
      </c>
      <c r="BG81">
        <v>8.8039918781217197E-2</v>
      </c>
      <c r="BH81">
        <v>1000</v>
      </c>
      <c r="BI81">
        <v>0.40740894796398103</v>
      </c>
      <c r="BJ81">
        <v>0.53787464997759804</v>
      </c>
      <c r="BK81">
        <v>6</v>
      </c>
    </row>
    <row r="82" spans="1:63" x14ac:dyDescent="0.3">
      <c r="A82" t="s">
        <v>374</v>
      </c>
      <c r="B82" t="s">
        <v>109</v>
      </c>
      <c r="C82" t="s">
        <v>37</v>
      </c>
      <c r="D82" t="s">
        <v>66</v>
      </c>
      <c r="E82" t="s">
        <v>344</v>
      </c>
      <c r="F82">
        <v>8</v>
      </c>
      <c r="G82" t="s">
        <v>24</v>
      </c>
      <c r="H82" t="s">
        <v>36</v>
      </c>
      <c r="I82" t="s">
        <v>34</v>
      </c>
      <c r="J82" t="s">
        <v>28</v>
      </c>
      <c r="K82" t="s">
        <v>111</v>
      </c>
      <c r="L82">
        <v>10</v>
      </c>
      <c r="M82">
        <v>278</v>
      </c>
      <c r="N82">
        <v>42</v>
      </c>
      <c r="O82">
        <v>42</v>
      </c>
      <c r="P82" t="b">
        <v>1</v>
      </c>
      <c r="Q82" t="s">
        <v>112</v>
      </c>
      <c r="R82">
        <v>0.45239103217044302</v>
      </c>
      <c r="S82">
        <v>42</v>
      </c>
      <c r="T82">
        <v>0</v>
      </c>
      <c r="U82" t="s">
        <v>375</v>
      </c>
      <c r="V82" t="s">
        <v>316</v>
      </c>
      <c r="W82">
        <v>0.52380952380952295</v>
      </c>
      <c r="X82" t="b">
        <v>0</v>
      </c>
      <c r="Y82">
        <v>9.2513771993108094</v>
      </c>
      <c r="Z82">
        <v>0.67568330070935101</v>
      </c>
      <c r="AA82">
        <v>797.06867880001596</v>
      </c>
      <c r="AB82">
        <v>278</v>
      </c>
      <c r="AC82">
        <v>2</v>
      </c>
      <c r="AD82">
        <v>0.402877697841726</v>
      </c>
      <c r="AE82">
        <v>0.39964540856233999</v>
      </c>
      <c r="AF82">
        <v>0.40006231500233602</v>
      </c>
      <c r="AG82">
        <v>0.39964540856233999</v>
      </c>
      <c r="AH82">
        <v>0.399771083710524</v>
      </c>
      <c r="AI82">
        <v>-0.20029184254148699</v>
      </c>
      <c r="AJ82" t="s">
        <v>376</v>
      </c>
      <c r="AK82">
        <v>0.37597121551858997</v>
      </c>
      <c r="AL82">
        <v>0.40146498206644798</v>
      </c>
      <c r="AM82">
        <v>151</v>
      </c>
      <c r="AN82">
        <v>0.44897959183673403</v>
      </c>
      <c r="AO82">
        <v>0.43708609271523102</v>
      </c>
      <c r="AP82">
        <v>0.44295302013422799</v>
      </c>
      <c r="AQ82">
        <v>127</v>
      </c>
      <c r="AR82">
        <v>0.35114503816793802</v>
      </c>
      <c r="AS82">
        <v>0.36220472440944801</v>
      </c>
      <c r="AT82">
        <v>0.35658914728682101</v>
      </c>
      <c r="AU82">
        <v>66</v>
      </c>
      <c r="AV82">
        <v>85</v>
      </c>
      <c r="AW82">
        <v>81</v>
      </c>
      <c r="AX82">
        <v>46</v>
      </c>
      <c r="AY82">
        <v>1000</v>
      </c>
      <c r="AZ82">
        <v>0.332167523289431</v>
      </c>
      <c r="BA82">
        <v>0.48015147038041001</v>
      </c>
      <c r="BB82">
        <v>0.33212549224047699</v>
      </c>
      <c r="BC82">
        <v>0.480689015891819</v>
      </c>
      <c r="BD82">
        <v>0.32918119284108999</v>
      </c>
      <c r="BE82">
        <v>0.474394544546764</v>
      </c>
      <c r="BF82">
        <v>-0.33324127041312801</v>
      </c>
      <c r="BG82">
        <v>-3.9858006107321202E-2</v>
      </c>
      <c r="BH82">
        <v>1000</v>
      </c>
      <c r="BI82">
        <v>0.39559607974910399</v>
      </c>
      <c r="BJ82">
        <v>0.508238570694453</v>
      </c>
      <c r="BK82">
        <v>7</v>
      </c>
    </row>
    <row r="83" spans="1:63" x14ac:dyDescent="0.3">
      <c r="A83" t="s">
        <v>377</v>
      </c>
      <c r="B83" t="s">
        <v>109</v>
      </c>
      <c r="C83" t="s">
        <v>37</v>
      </c>
      <c r="D83" t="s">
        <v>66</v>
      </c>
      <c r="E83" t="s">
        <v>347</v>
      </c>
      <c r="F83">
        <v>9</v>
      </c>
      <c r="G83" t="s">
        <v>24</v>
      </c>
      <c r="H83" t="s">
        <v>36</v>
      </c>
      <c r="I83" t="s">
        <v>35</v>
      </c>
      <c r="J83" t="s">
        <v>28</v>
      </c>
      <c r="K83" t="s">
        <v>111</v>
      </c>
      <c r="L83">
        <v>10</v>
      </c>
      <c r="M83">
        <v>278</v>
      </c>
      <c r="N83">
        <v>42</v>
      </c>
      <c r="O83">
        <v>42</v>
      </c>
      <c r="P83" t="b">
        <v>1</v>
      </c>
      <c r="Q83" t="s">
        <v>112</v>
      </c>
      <c r="R83">
        <v>0.42242275698157999</v>
      </c>
      <c r="S83">
        <v>42</v>
      </c>
      <c r="T83">
        <v>0</v>
      </c>
      <c r="U83" t="s">
        <v>378</v>
      </c>
      <c r="V83" t="s">
        <v>316</v>
      </c>
      <c r="W83">
        <v>0.5</v>
      </c>
      <c r="X83" t="b">
        <v>0</v>
      </c>
      <c r="Y83">
        <v>9.3161730011925101</v>
      </c>
      <c r="Z83">
        <v>0.76742639928124801</v>
      </c>
      <c r="AA83">
        <v>840.38891239999703</v>
      </c>
      <c r="AB83">
        <v>278</v>
      </c>
      <c r="AC83">
        <v>2</v>
      </c>
      <c r="AD83">
        <v>0.35971223021582699</v>
      </c>
      <c r="AE83">
        <v>0.35865881003285099</v>
      </c>
      <c r="AF83">
        <v>0.35971223021582699</v>
      </c>
      <c r="AG83">
        <v>0.35865881003285099</v>
      </c>
      <c r="AH83">
        <v>0.35851698211044802</v>
      </c>
      <c r="AI83">
        <v>-0.28162698960953497</v>
      </c>
      <c r="AJ83" t="s">
        <v>379</v>
      </c>
      <c r="AK83">
        <v>0.33602753298221799</v>
      </c>
      <c r="AL83">
        <v>0.36904811860072601</v>
      </c>
      <c r="AM83">
        <v>151</v>
      </c>
      <c r="AN83">
        <v>0.402877697841726</v>
      </c>
      <c r="AO83">
        <v>0.370860927152317</v>
      </c>
      <c r="AP83">
        <v>0.38620689655172402</v>
      </c>
      <c r="AQ83">
        <v>127</v>
      </c>
      <c r="AR83">
        <v>0.31654676258992798</v>
      </c>
      <c r="AS83">
        <v>0.34645669291338499</v>
      </c>
      <c r="AT83">
        <v>0.33082706766917203</v>
      </c>
      <c r="AU83">
        <v>56</v>
      </c>
      <c r="AV83">
        <v>95</v>
      </c>
      <c r="AW83">
        <v>83</v>
      </c>
      <c r="AX83">
        <v>44</v>
      </c>
      <c r="AY83">
        <v>1000</v>
      </c>
      <c r="AZ83">
        <v>0.28460831595411801</v>
      </c>
      <c r="BA83">
        <v>0.43913277196681699</v>
      </c>
      <c r="BB83">
        <v>0.28427487842963201</v>
      </c>
      <c r="BC83">
        <v>0.43886738067875702</v>
      </c>
      <c r="BD83">
        <v>0.28214157563283698</v>
      </c>
      <c r="BE83">
        <v>0.43387450761817498</v>
      </c>
      <c r="BF83">
        <v>-0.42920361333166501</v>
      </c>
      <c r="BG83">
        <v>-0.12314582452686</v>
      </c>
      <c r="BH83">
        <v>1000</v>
      </c>
      <c r="BI83">
        <v>0.35966293797348398</v>
      </c>
      <c r="BJ83">
        <v>0.48029292070770901</v>
      </c>
      <c r="BK83">
        <v>10</v>
      </c>
    </row>
    <row r="84" spans="1:63" x14ac:dyDescent="0.3">
      <c r="A84" t="s">
        <v>0</v>
      </c>
      <c r="B84" t="s">
        <v>69</v>
      </c>
      <c r="C84" t="s">
        <v>2</v>
      </c>
      <c r="D84" t="s">
        <v>70</v>
      </c>
      <c r="E84" t="s">
        <v>71</v>
      </c>
      <c r="F84" t="s">
        <v>72</v>
      </c>
      <c r="G84" t="s">
        <v>1</v>
      </c>
      <c r="H84" t="s">
        <v>3</v>
      </c>
      <c r="I84" t="s">
        <v>4</v>
      </c>
      <c r="J84" t="s">
        <v>5</v>
      </c>
      <c r="K84" t="s">
        <v>73</v>
      </c>
      <c r="L84" t="s">
        <v>74</v>
      </c>
      <c r="M84" t="s">
        <v>75</v>
      </c>
      <c r="N84" t="s">
        <v>6</v>
      </c>
      <c r="O84" t="s">
        <v>7</v>
      </c>
      <c r="P84" t="s">
        <v>8</v>
      </c>
      <c r="Q84" t="s">
        <v>76</v>
      </c>
      <c r="R84" t="s">
        <v>77</v>
      </c>
      <c r="S84" t="s">
        <v>78</v>
      </c>
      <c r="T84" t="s">
        <v>79</v>
      </c>
      <c r="U84" t="s">
        <v>80</v>
      </c>
      <c r="V84" t="s">
        <v>81</v>
      </c>
      <c r="W84" t="s">
        <v>82</v>
      </c>
      <c r="X84" t="s">
        <v>9</v>
      </c>
      <c r="Y84" t="s">
        <v>83</v>
      </c>
      <c r="Z84" t="s">
        <v>84</v>
      </c>
      <c r="AA84" t="s">
        <v>85</v>
      </c>
      <c r="AB84" t="s">
        <v>10</v>
      </c>
      <c r="AC84" t="s">
        <v>86</v>
      </c>
      <c r="AD84" t="s">
        <v>11</v>
      </c>
      <c r="AE84" t="s">
        <v>87</v>
      </c>
      <c r="AF84" t="s">
        <v>88</v>
      </c>
      <c r="AG84" t="s">
        <v>89</v>
      </c>
      <c r="AH84" t="s">
        <v>90</v>
      </c>
      <c r="AI84" t="s">
        <v>12</v>
      </c>
      <c r="AJ84" t="s">
        <v>91</v>
      </c>
      <c r="AK84" t="s">
        <v>17</v>
      </c>
      <c r="AL84" t="s">
        <v>18</v>
      </c>
      <c r="AM84" t="s">
        <v>92</v>
      </c>
      <c r="AN84" t="s">
        <v>93</v>
      </c>
      <c r="AO84" t="s">
        <v>94</v>
      </c>
      <c r="AP84" t="s">
        <v>95</v>
      </c>
      <c r="AQ84" t="s">
        <v>380</v>
      </c>
      <c r="AR84" t="s">
        <v>381</v>
      </c>
      <c r="AS84" t="s">
        <v>382</v>
      </c>
      <c r="AT84" t="s">
        <v>383</v>
      </c>
      <c r="AU84" t="s">
        <v>96</v>
      </c>
      <c r="AV84" t="s">
        <v>97</v>
      </c>
      <c r="AW84" t="s">
        <v>98</v>
      </c>
      <c r="AX84" t="s">
        <v>99</v>
      </c>
      <c r="AY84" t="s">
        <v>19</v>
      </c>
      <c r="AZ84" t="s">
        <v>20</v>
      </c>
      <c r="BA84" t="s">
        <v>21</v>
      </c>
      <c r="BB84" t="s">
        <v>100</v>
      </c>
      <c r="BC84" t="s">
        <v>101</v>
      </c>
      <c r="BD84" t="s">
        <v>102</v>
      </c>
      <c r="BE84" t="s">
        <v>103</v>
      </c>
      <c r="BF84" t="s">
        <v>22</v>
      </c>
      <c r="BG84" t="s">
        <v>23</v>
      </c>
      <c r="BH84" t="s">
        <v>104</v>
      </c>
      <c r="BI84" t="s">
        <v>105</v>
      </c>
      <c r="BJ84" t="s">
        <v>106</v>
      </c>
      <c r="BK84" t="s">
        <v>107</v>
      </c>
    </row>
    <row r="85" spans="1:63" x14ac:dyDescent="0.3">
      <c r="A85" t="s">
        <v>384</v>
      </c>
      <c r="B85" t="s">
        <v>109</v>
      </c>
      <c r="C85" t="s">
        <v>25</v>
      </c>
      <c r="D85" t="s">
        <v>67</v>
      </c>
      <c r="E85" t="s">
        <v>309</v>
      </c>
      <c r="F85">
        <v>0</v>
      </c>
      <c r="G85" t="s">
        <v>24</v>
      </c>
      <c r="H85" t="s">
        <v>26</v>
      </c>
      <c r="I85" t="s">
        <v>27</v>
      </c>
      <c r="J85" t="s">
        <v>28</v>
      </c>
      <c r="K85" t="s">
        <v>111</v>
      </c>
      <c r="L85">
        <v>10</v>
      </c>
      <c r="M85">
        <v>332</v>
      </c>
      <c r="N85">
        <v>42</v>
      </c>
      <c r="O85">
        <v>42</v>
      </c>
      <c r="P85" t="b">
        <v>1</v>
      </c>
      <c r="Q85" t="s">
        <v>112</v>
      </c>
      <c r="R85">
        <v>0.28821851376408397</v>
      </c>
      <c r="S85">
        <v>42</v>
      </c>
      <c r="T85">
        <v>0</v>
      </c>
      <c r="U85" t="s">
        <v>385</v>
      </c>
      <c r="V85" t="s">
        <v>311</v>
      </c>
      <c r="W85">
        <v>0.40476190476190399</v>
      </c>
      <c r="X85" t="b">
        <v>0</v>
      </c>
      <c r="Y85">
        <v>17.0209896010346</v>
      </c>
      <c r="Z85">
        <v>1.5422980003058899</v>
      </c>
      <c r="AA85">
        <v>907.330508599989</v>
      </c>
      <c r="AB85">
        <v>332</v>
      </c>
      <c r="AC85">
        <v>3</v>
      </c>
      <c r="AD85">
        <v>0.29216867469879498</v>
      </c>
      <c r="AE85">
        <v>0.287278425837519</v>
      </c>
      <c r="AF85">
        <v>0.283895773257475</v>
      </c>
      <c r="AG85">
        <v>0.287278425837519</v>
      </c>
      <c r="AH85">
        <v>0.28340657124686103</v>
      </c>
      <c r="AI85">
        <v>-6.9022195463190703E-2</v>
      </c>
      <c r="AJ85" t="s">
        <v>386</v>
      </c>
      <c r="AK85">
        <v>0.43404691500415599</v>
      </c>
      <c r="AM85">
        <v>104</v>
      </c>
      <c r="AN85">
        <v>0.24175824175824101</v>
      </c>
      <c r="AO85">
        <v>0.21153846153846101</v>
      </c>
      <c r="AP85">
        <v>0.22564102564102501</v>
      </c>
      <c r="AQ85">
        <v>109</v>
      </c>
      <c r="AR85">
        <v>0.27659574468085102</v>
      </c>
      <c r="AS85">
        <v>0.23853211009174299</v>
      </c>
      <c r="AT85">
        <v>0.25615763546797998</v>
      </c>
      <c r="AU85">
        <v>119</v>
      </c>
      <c r="AV85">
        <v>0.33333333333333298</v>
      </c>
      <c r="AW85">
        <v>0.41176470588235198</v>
      </c>
      <c r="AX85">
        <v>0.36842105263157798</v>
      </c>
      <c r="AY85">
        <v>1000</v>
      </c>
      <c r="AZ85">
        <v>0.24404582616178999</v>
      </c>
      <c r="BA85">
        <v>0.33939393939393903</v>
      </c>
      <c r="BB85">
        <v>0.23862141254807001</v>
      </c>
      <c r="BC85">
        <v>0.334186469046658</v>
      </c>
      <c r="BD85">
        <v>0.234294897052686</v>
      </c>
      <c r="BE85">
        <v>0.330515101206666</v>
      </c>
      <c r="BF85">
        <v>-0.14485140008198499</v>
      </c>
      <c r="BG85">
        <v>4.1365846425464601E-3</v>
      </c>
      <c r="BH85">
        <v>1000</v>
      </c>
      <c r="BI85">
        <v>0.24606893780012301</v>
      </c>
      <c r="BJ85">
        <v>0.33214107741406301</v>
      </c>
      <c r="BK85">
        <v>10</v>
      </c>
    </row>
    <row r="86" spans="1:63" x14ac:dyDescent="0.3">
      <c r="A86" t="s">
        <v>387</v>
      </c>
      <c r="B86" t="s">
        <v>109</v>
      </c>
      <c r="C86" t="s">
        <v>25</v>
      </c>
      <c r="D86" t="s">
        <v>67</v>
      </c>
      <c r="E86" t="s">
        <v>314</v>
      </c>
      <c r="F86">
        <v>1</v>
      </c>
      <c r="G86" t="s">
        <v>24</v>
      </c>
      <c r="H86" t="s">
        <v>26</v>
      </c>
      <c r="I86" t="s">
        <v>32</v>
      </c>
      <c r="J86" t="s">
        <v>28</v>
      </c>
      <c r="K86" t="s">
        <v>111</v>
      </c>
      <c r="L86">
        <v>10</v>
      </c>
      <c r="M86">
        <v>332</v>
      </c>
      <c r="N86">
        <v>42</v>
      </c>
      <c r="O86">
        <v>42</v>
      </c>
      <c r="P86" t="b">
        <v>1</v>
      </c>
      <c r="Q86" t="s">
        <v>112</v>
      </c>
      <c r="R86">
        <v>0.37751747254314599</v>
      </c>
      <c r="S86">
        <v>42</v>
      </c>
      <c r="T86">
        <v>0</v>
      </c>
      <c r="U86" t="s">
        <v>388</v>
      </c>
      <c r="V86" t="s">
        <v>316</v>
      </c>
      <c r="W86">
        <v>0.54761904761904701</v>
      </c>
      <c r="X86" t="b">
        <v>0</v>
      </c>
      <c r="Y86">
        <v>16.5699189989827</v>
      </c>
      <c r="Z86">
        <v>1.7549467002972901</v>
      </c>
      <c r="AA86">
        <v>946.53727900004003</v>
      </c>
      <c r="AB86">
        <v>332</v>
      </c>
      <c r="AC86">
        <v>3</v>
      </c>
      <c r="AD86">
        <v>0.37951807228915602</v>
      </c>
      <c r="AE86">
        <v>0.37882979585623899</v>
      </c>
      <c r="AF86">
        <v>0.37898098633392702</v>
      </c>
      <c r="AG86">
        <v>0.37882979585623899</v>
      </c>
      <c r="AH86">
        <v>0.37888890063659503</v>
      </c>
      <c r="AI86">
        <v>6.7545645032146898E-2</v>
      </c>
      <c r="AJ86" t="s">
        <v>389</v>
      </c>
      <c r="AK86">
        <v>0.54668787218269799</v>
      </c>
      <c r="AM86">
        <v>104</v>
      </c>
      <c r="AN86">
        <v>0.37254901960784298</v>
      </c>
      <c r="AO86">
        <v>0.36538461538461497</v>
      </c>
      <c r="AP86">
        <v>0.36893203883495101</v>
      </c>
      <c r="AQ86">
        <v>109</v>
      </c>
      <c r="AR86">
        <v>0.37272727272727202</v>
      </c>
      <c r="AS86">
        <v>0.37614678899082499</v>
      </c>
      <c r="AT86">
        <v>0.37442922374429199</v>
      </c>
      <c r="AU86">
        <v>119</v>
      </c>
      <c r="AV86">
        <v>0.391666666666666</v>
      </c>
      <c r="AW86">
        <v>0.39495798319327702</v>
      </c>
      <c r="AX86">
        <v>0.39330543933054302</v>
      </c>
      <c r="AY86">
        <v>1000</v>
      </c>
      <c r="AZ86">
        <v>0.33030303030302999</v>
      </c>
      <c r="BA86">
        <v>0.433885885885885</v>
      </c>
      <c r="BB86">
        <v>0.328261877089494</v>
      </c>
      <c r="BC86">
        <v>0.43568740702582698</v>
      </c>
      <c r="BD86">
        <v>0.327391557249747</v>
      </c>
      <c r="BE86">
        <v>0.432546666451118</v>
      </c>
      <c r="BF86">
        <v>-8.03132008158664E-3</v>
      </c>
      <c r="BG86">
        <v>0.15215737371749699</v>
      </c>
      <c r="BH86">
        <v>1000</v>
      </c>
      <c r="BI86">
        <v>0.32958026842173099</v>
      </c>
      <c r="BJ86">
        <v>0.43329548117980099</v>
      </c>
      <c r="BK86">
        <v>2</v>
      </c>
    </row>
    <row r="87" spans="1:63" x14ac:dyDescent="0.3">
      <c r="A87" t="s">
        <v>390</v>
      </c>
      <c r="B87" t="s">
        <v>109</v>
      </c>
      <c r="C87" t="s">
        <v>25</v>
      </c>
      <c r="D87" t="s">
        <v>67</v>
      </c>
      <c r="E87" t="s">
        <v>319</v>
      </c>
      <c r="F87">
        <v>2</v>
      </c>
      <c r="G87" t="s">
        <v>24</v>
      </c>
      <c r="H87" t="s">
        <v>26</v>
      </c>
      <c r="I87" t="s">
        <v>33</v>
      </c>
      <c r="J87" t="s">
        <v>28</v>
      </c>
      <c r="K87" t="s">
        <v>111</v>
      </c>
      <c r="L87">
        <v>10</v>
      </c>
      <c r="M87">
        <v>332</v>
      </c>
      <c r="N87">
        <v>42</v>
      </c>
      <c r="O87">
        <v>42</v>
      </c>
      <c r="P87" t="b">
        <v>1</v>
      </c>
      <c r="Q87" t="s">
        <v>112</v>
      </c>
      <c r="R87">
        <v>0.34675153330480601</v>
      </c>
      <c r="S87">
        <v>42</v>
      </c>
      <c r="T87">
        <v>0</v>
      </c>
      <c r="U87" t="s">
        <v>385</v>
      </c>
      <c r="V87" t="s">
        <v>311</v>
      </c>
      <c r="W87">
        <v>0.40476190476190399</v>
      </c>
      <c r="X87" t="b">
        <v>0</v>
      </c>
      <c r="Y87">
        <v>19.113135199761</v>
      </c>
      <c r="Z87">
        <v>1.88251930079422</v>
      </c>
      <c r="AA87">
        <v>986.62552950019005</v>
      </c>
      <c r="AB87">
        <v>332</v>
      </c>
      <c r="AC87">
        <v>3</v>
      </c>
      <c r="AD87">
        <v>0.36445783132530102</v>
      </c>
      <c r="AE87">
        <v>0.36328229245120702</v>
      </c>
      <c r="AF87">
        <v>0.36356373095503502</v>
      </c>
      <c r="AG87">
        <v>0.36328229245120702</v>
      </c>
      <c r="AH87">
        <v>0.36291328471744599</v>
      </c>
      <c r="AI87">
        <v>4.6210699050989602E-2</v>
      </c>
      <c r="AJ87" t="s">
        <v>391</v>
      </c>
      <c r="AK87">
        <v>0.51967221678313202</v>
      </c>
      <c r="AM87">
        <v>104</v>
      </c>
      <c r="AN87">
        <v>0.33043478260869502</v>
      </c>
      <c r="AO87">
        <v>0.36538461538461497</v>
      </c>
      <c r="AP87">
        <v>0.347031963470319</v>
      </c>
      <c r="AQ87">
        <v>109</v>
      </c>
      <c r="AR87">
        <v>0.35</v>
      </c>
      <c r="AS87">
        <v>0.32110091743119201</v>
      </c>
      <c r="AT87">
        <v>0.33492822966507102</v>
      </c>
      <c r="AU87">
        <v>119</v>
      </c>
      <c r="AV87">
        <v>0.41025641025641002</v>
      </c>
      <c r="AW87">
        <v>0.40336134453781503</v>
      </c>
      <c r="AX87">
        <v>0.40677966101694901</v>
      </c>
      <c r="AY87">
        <v>1000</v>
      </c>
      <c r="AZ87">
        <v>0.31816140446379898</v>
      </c>
      <c r="BA87">
        <v>0.40543593292087199</v>
      </c>
      <c r="BB87">
        <v>0.31788622459493898</v>
      </c>
      <c r="BC87">
        <v>0.40265421906453602</v>
      </c>
      <c r="BD87">
        <v>0.31626370249348401</v>
      </c>
      <c r="BE87">
        <v>0.401693301942329</v>
      </c>
      <c r="BF87">
        <v>-2.2081759520464601E-2</v>
      </c>
      <c r="BG87">
        <v>0.107191750704057</v>
      </c>
      <c r="BH87">
        <v>1000</v>
      </c>
      <c r="BI87">
        <v>0.30283016252588602</v>
      </c>
      <c r="BJ87">
        <v>0.38780645858770801</v>
      </c>
      <c r="BK87">
        <v>6</v>
      </c>
    </row>
    <row r="88" spans="1:63" x14ac:dyDescent="0.3">
      <c r="A88" t="s">
        <v>392</v>
      </c>
      <c r="B88" t="s">
        <v>109</v>
      </c>
      <c r="C88" t="s">
        <v>25</v>
      </c>
      <c r="D88" t="s">
        <v>67</v>
      </c>
      <c r="E88" t="s">
        <v>323</v>
      </c>
      <c r="F88">
        <v>3</v>
      </c>
      <c r="G88" t="s">
        <v>24</v>
      </c>
      <c r="H88" t="s">
        <v>26</v>
      </c>
      <c r="I88" t="s">
        <v>34</v>
      </c>
      <c r="J88" t="s">
        <v>28</v>
      </c>
      <c r="K88" t="s">
        <v>111</v>
      </c>
      <c r="L88">
        <v>10</v>
      </c>
      <c r="M88">
        <v>332</v>
      </c>
      <c r="N88">
        <v>42</v>
      </c>
      <c r="O88">
        <v>42</v>
      </c>
      <c r="P88" t="b">
        <v>1</v>
      </c>
      <c r="Q88" t="s">
        <v>112</v>
      </c>
      <c r="R88">
        <v>0.35103408928826102</v>
      </c>
      <c r="S88">
        <v>42</v>
      </c>
      <c r="T88">
        <v>0</v>
      </c>
      <c r="U88" t="s">
        <v>393</v>
      </c>
      <c r="V88" t="s">
        <v>325</v>
      </c>
      <c r="W88">
        <v>0.57142857142857095</v>
      </c>
      <c r="X88" t="b">
        <v>0</v>
      </c>
      <c r="Y88">
        <v>20.653830998810001</v>
      </c>
      <c r="Z88">
        <v>2.1116653005592498</v>
      </c>
      <c r="AA88">
        <v>1026.45671460009</v>
      </c>
      <c r="AB88">
        <v>332</v>
      </c>
      <c r="AC88">
        <v>3</v>
      </c>
      <c r="AD88">
        <v>0.36746987951807197</v>
      </c>
      <c r="AE88">
        <v>0.36538535668325201</v>
      </c>
      <c r="AF88">
        <v>0.36706503754613701</v>
      </c>
      <c r="AG88">
        <v>0.36538535668325201</v>
      </c>
      <c r="AH88">
        <v>0.36534215983838902</v>
      </c>
      <c r="AI88">
        <v>4.7288892210284199E-2</v>
      </c>
      <c r="AJ88" t="s">
        <v>394</v>
      </c>
      <c r="AK88">
        <v>0.53726604660153798</v>
      </c>
      <c r="AM88">
        <v>104</v>
      </c>
      <c r="AN88">
        <v>0.36082474226804101</v>
      </c>
      <c r="AO88">
        <v>0.33653846153846101</v>
      </c>
      <c r="AP88">
        <v>0.34825870646766099</v>
      </c>
      <c r="AQ88">
        <v>109</v>
      </c>
      <c r="AR88">
        <v>0.37</v>
      </c>
      <c r="AS88">
        <v>0.33944954128440302</v>
      </c>
      <c r="AT88">
        <v>0.35406698564593297</v>
      </c>
      <c r="AU88">
        <v>119</v>
      </c>
      <c r="AV88">
        <v>0.37037037037037002</v>
      </c>
      <c r="AW88">
        <v>0.42016806722688999</v>
      </c>
      <c r="AX88">
        <v>0.39370078740157399</v>
      </c>
      <c r="AY88">
        <v>1000</v>
      </c>
      <c r="AZ88">
        <v>0.324240339171531</v>
      </c>
      <c r="BA88">
        <v>0.41641337386018201</v>
      </c>
      <c r="BB88">
        <v>0.321458846025233</v>
      </c>
      <c r="BC88">
        <v>0.41548997169249702</v>
      </c>
      <c r="BD88">
        <v>0.32047969005378601</v>
      </c>
      <c r="BE88">
        <v>0.413406618665419</v>
      </c>
      <c r="BF88">
        <v>-2.1263715769148199E-2</v>
      </c>
      <c r="BG88">
        <v>0.121581417849055</v>
      </c>
      <c r="BH88">
        <v>1000</v>
      </c>
      <c r="BI88">
        <v>0.30611515019971303</v>
      </c>
      <c r="BJ88">
        <v>0.40078211791931301</v>
      </c>
      <c r="BK88">
        <v>5</v>
      </c>
    </row>
    <row r="89" spans="1:63" x14ac:dyDescent="0.3">
      <c r="A89" t="s">
        <v>395</v>
      </c>
      <c r="B89" t="s">
        <v>109</v>
      </c>
      <c r="C89" t="s">
        <v>25</v>
      </c>
      <c r="D89" t="s">
        <v>67</v>
      </c>
      <c r="E89" t="s">
        <v>328</v>
      </c>
      <c r="F89">
        <v>4</v>
      </c>
      <c r="G89" t="s">
        <v>24</v>
      </c>
      <c r="H89" t="s">
        <v>26</v>
      </c>
      <c r="I89" t="s">
        <v>35</v>
      </c>
      <c r="J89" t="s">
        <v>28</v>
      </c>
      <c r="K89" t="s">
        <v>111</v>
      </c>
      <c r="L89">
        <v>10</v>
      </c>
      <c r="M89">
        <v>332</v>
      </c>
      <c r="N89">
        <v>42</v>
      </c>
      <c r="O89">
        <v>42</v>
      </c>
      <c r="P89" t="b">
        <v>1</v>
      </c>
      <c r="Q89" t="s">
        <v>112</v>
      </c>
      <c r="R89">
        <v>0.31571102553130698</v>
      </c>
      <c r="S89">
        <v>42</v>
      </c>
      <c r="T89">
        <v>0</v>
      </c>
      <c r="U89" t="s">
        <v>396</v>
      </c>
      <c r="V89" t="s">
        <v>316</v>
      </c>
      <c r="W89">
        <v>0.38095238095237999</v>
      </c>
      <c r="X89" t="b">
        <v>0</v>
      </c>
      <c r="Y89">
        <v>20.567593300016501</v>
      </c>
      <c r="Z89">
        <v>1.94322680030018</v>
      </c>
      <c r="AA89">
        <v>1066.14091850002</v>
      </c>
      <c r="AB89">
        <v>332</v>
      </c>
      <c r="AC89">
        <v>3</v>
      </c>
      <c r="AD89">
        <v>0.328313253012048</v>
      </c>
      <c r="AE89">
        <v>0.32430802243268497</v>
      </c>
      <c r="AF89">
        <v>0.32351756235787499</v>
      </c>
      <c r="AG89">
        <v>0.32430802243268497</v>
      </c>
      <c r="AH89">
        <v>0.31910574641374201</v>
      </c>
      <c r="AI89">
        <v>-1.5844985147014601E-2</v>
      </c>
      <c r="AJ89" t="s">
        <v>397</v>
      </c>
      <c r="AK89">
        <v>0.495723021858132</v>
      </c>
      <c r="AM89">
        <v>104</v>
      </c>
      <c r="AN89">
        <v>0.36263736263736202</v>
      </c>
      <c r="AO89">
        <v>0.31730769230769201</v>
      </c>
      <c r="AP89">
        <v>0.33846153846153798</v>
      </c>
      <c r="AQ89">
        <v>109</v>
      </c>
      <c r="AR89">
        <v>0.26829268292682901</v>
      </c>
      <c r="AS89">
        <v>0.201834862385321</v>
      </c>
      <c r="AT89">
        <v>0.23036649214659599</v>
      </c>
      <c r="AU89">
        <v>119</v>
      </c>
      <c r="AV89">
        <v>0.339622641509433</v>
      </c>
      <c r="AW89">
        <v>0.45378151260504201</v>
      </c>
      <c r="AX89">
        <v>0.388489208633093</v>
      </c>
      <c r="AY89">
        <v>1000</v>
      </c>
      <c r="AZ89">
        <v>0.27794561933534701</v>
      </c>
      <c r="BA89">
        <v>0.37650602409638501</v>
      </c>
      <c r="BB89">
        <v>0.27579012577677497</v>
      </c>
      <c r="BC89">
        <v>0.37249966616723201</v>
      </c>
      <c r="BD89">
        <v>0.26396506053375801</v>
      </c>
      <c r="BE89">
        <v>0.36458913762815398</v>
      </c>
      <c r="BF89">
        <v>-9.0025016471373398E-2</v>
      </c>
      <c r="BG89">
        <v>5.8320817540625097E-2</v>
      </c>
      <c r="BH89">
        <v>1000</v>
      </c>
      <c r="BI89">
        <v>0.27175464822272499</v>
      </c>
      <c r="BJ89">
        <v>0.35894372900775301</v>
      </c>
      <c r="BK89">
        <v>8</v>
      </c>
    </row>
    <row r="90" spans="1:63" x14ac:dyDescent="0.3">
      <c r="A90" t="s">
        <v>398</v>
      </c>
      <c r="B90" t="s">
        <v>109</v>
      </c>
      <c r="C90" t="s">
        <v>25</v>
      </c>
      <c r="D90" t="s">
        <v>67</v>
      </c>
      <c r="E90" t="s">
        <v>332</v>
      </c>
      <c r="F90">
        <v>5</v>
      </c>
      <c r="G90" t="s">
        <v>24</v>
      </c>
      <c r="H90" t="s">
        <v>36</v>
      </c>
      <c r="I90" t="s">
        <v>27</v>
      </c>
      <c r="J90" t="s">
        <v>28</v>
      </c>
      <c r="K90" t="s">
        <v>111</v>
      </c>
      <c r="L90">
        <v>10</v>
      </c>
      <c r="M90">
        <v>332</v>
      </c>
      <c r="N90">
        <v>42</v>
      </c>
      <c r="O90">
        <v>42</v>
      </c>
      <c r="P90" t="b">
        <v>1</v>
      </c>
      <c r="Q90" t="s">
        <v>112</v>
      </c>
      <c r="R90">
        <v>0.29398801882755599</v>
      </c>
      <c r="S90">
        <v>42</v>
      </c>
      <c r="T90">
        <v>0</v>
      </c>
      <c r="U90" t="s">
        <v>399</v>
      </c>
      <c r="V90" t="s">
        <v>311</v>
      </c>
      <c r="W90">
        <v>0.5</v>
      </c>
      <c r="X90" t="b">
        <v>0</v>
      </c>
      <c r="Y90">
        <v>8.8290847977623308</v>
      </c>
      <c r="Z90">
        <v>0.66364850057289004</v>
      </c>
      <c r="AA90">
        <v>1106.15381680009</v>
      </c>
      <c r="AB90">
        <v>332</v>
      </c>
      <c r="AC90">
        <v>3</v>
      </c>
      <c r="AD90">
        <v>0.313253012048192</v>
      </c>
      <c r="AE90">
        <v>0.31735464122134299</v>
      </c>
      <c r="AF90">
        <v>0.309548263310854</v>
      </c>
      <c r="AG90">
        <v>0.31735464122134299</v>
      </c>
      <c r="AH90">
        <v>0.29966671853926702</v>
      </c>
      <c r="AI90">
        <v>-2.6632086688381799E-2</v>
      </c>
      <c r="AJ90" t="s">
        <v>400</v>
      </c>
      <c r="AK90">
        <v>0.50566004252649899</v>
      </c>
      <c r="AM90">
        <v>104</v>
      </c>
      <c r="AN90">
        <v>0.31927710843373402</v>
      </c>
      <c r="AO90">
        <v>0.50961538461538403</v>
      </c>
      <c r="AP90">
        <v>0.39259259259259199</v>
      </c>
      <c r="AQ90">
        <v>109</v>
      </c>
      <c r="AR90">
        <v>0.29508196721311403</v>
      </c>
      <c r="AS90">
        <v>0.16513761467889901</v>
      </c>
      <c r="AT90">
        <v>0.21176470588235199</v>
      </c>
      <c r="AU90">
        <v>119</v>
      </c>
      <c r="AV90">
        <v>0.314285714285714</v>
      </c>
      <c r="AW90">
        <v>0.27731092436974702</v>
      </c>
      <c r="AX90">
        <v>0.29464285714285698</v>
      </c>
      <c r="AY90">
        <v>1000</v>
      </c>
      <c r="AZ90">
        <v>0.26486987082066799</v>
      </c>
      <c r="BA90">
        <v>0.358433734939759</v>
      </c>
      <c r="BB90">
        <v>0.26995723109762498</v>
      </c>
      <c r="BC90">
        <v>0.36112410261243499</v>
      </c>
      <c r="BD90">
        <v>0.24754916465211299</v>
      </c>
      <c r="BE90">
        <v>0.343569969790333</v>
      </c>
      <c r="BF90">
        <v>-0.100980136495847</v>
      </c>
      <c r="BG90">
        <v>4.0868634459425603E-2</v>
      </c>
      <c r="BH90">
        <v>1000</v>
      </c>
      <c r="BI90">
        <v>0.25577668700101303</v>
      </c>
      <c r="BJ90">
        <v>0.330769258977057</v>
      </c>
      <c r="BK90">
        <v>9</v>
      </c>
    </row>
    <row r="91" spans="1:63" x14ac:dyDescent="0.3">
      <c r="A91" t="s">
        <v>401</v>
      </c>
      <c r="B91" t="s">
        <v>109</v>
      </c>
      <c r="C91" t="s">
        <v>25</v>
      </c>
      <c r="D91" t="s">
        <v>67</v>
      </c>
      <c r="E91" t="s">
        <v>336</v>
      </c>
      <c r="F91">
        <v>6</v>
      </c>
      <c r="G91" t="s">
        <v>24</v>
      </c>
      <c r="H91" t="s">
        <v>36</v>
      </c>
      <c r="I91" t="s">
        <v>32</v>
      </c>
      <c r="J91" t="s">
        <v>28</v>
      </c>
      <c r="K91" t="s">
        <v>111</v>
      </c>
      <c r="L91">
        <v>10</v>
      </c>
      <c r="M91">
        <v>332</v>
      </c>
      <c r="N91">
        <v>42</v>
      </c>
      <c r="O91">
        <v>42</v>
      </c>
      <c r="P91" t="b">
        <v>1</v>
      </c>
      <c r="Q91" t="s">
        <v>112</v>
      </c>
      <c r="R91">
        <v>0.33815432891170999</v>
      </c>
      <c r="S91">
        <v>42</v>
      </c>
      <c r="T91">
        <v>0</v>
      </c>
      <c r="U91" t="s">
        <v>402</v>
      </c>
      <c r="V91" t="s">
        <v>316</v>
      </c>
      <c r="W91">
        <v>0.61904761904761896</v>
      </c>
      <c r="X91" t="b">
        <v>0</v>
      </c>
      <c r="Y91">
        <v>9.2029821996111405</v>
      </c>
      <c r="Z91">
        <v>0.701628499897196</v>
      </c>
      <c r="AA91">
        <v>1145.3463816000101</v>
      </c>
      <c r="AB91">
        <v>332</v>
      </c>
      <c r="AC91">
        <v>3</v>
      </c>
      <c r="AD91">
        <v>0.34939759036144502</v>
      </c>
      <c r="AE91">
        <v>0.34975359233319298</v>
      </c>
      <c r="AF91">
        <v>0.35058556520578199</v>
      </c>
      <c r="AG91">
        <v>0.34975359233319298</v>
      </c>
      <c r="AH91">
        <v>0.349228717157885</v>
      </c>
      <c r="AI91">
        <v>2.5136314151684502E-2</v>
      </c>
      <c r="AJ91" t="s">
        <v>403</v>
      </c>
      <c r="AK91">
        <v>0.53707143959696801</v>
      </c>
      <c r="AM91">
        <v>104</v>
      </c>
      <c r="AN91">
        <v>0.32727272727272699</v>
      </c>
      <c r="AO91">
        <v>0.34615384615384598</v>
      </c>
      <c r="AP91">
        <v>0.33644859813084099</v>
      </c>
      <c r="AQ91">
        <v>109</v>
      </c>
      <c r="AR91">
        <v>0.33613445378151202</v>
      </c>
      <c r="AS91">
        <v>0.36697247706421998</v>
      </c>
      <c r="AT91">
        <v>0.35087719298245601</v>
      </c>
      <c r="AU91">
        <v>119</v>
      </c>
      <c r="AV91">
        <v>0.38834951456310601</v>
      </c>
      <c r="AW91">
        <v>0.33613445378151202</v>
      </c>
      <c r="AX91">
        <v>0.36036036036036001</v>
      </c>
      <c r="AY91">
        <v>1000</v>
      </c>
      <c r="AZ91">
        <v>0.30029279279279197</v>
      </c>
      <c r="BA91">
        <v>0.40186910539327803</v>
      </c>
      <c r="BB91">
        <v>0.301184483536793</v>
      </c>
      <c r="BC91">
        <v>0.40457877661494301</v>
      </c>
      <c r="BD91">
        <v>0.29918588379946298</v>
      </c>
      <c r="BE91">
        <v>0.40131662291515002</v>
      </c>
      <c r="BF91">
        <v>-4.7933002761655803E-2</v>
      </c>
      <c r="BG91">
        <v>0.105366896590987</v>
      </c>
      <c r="BH91">
        <v>1000</v>
      </c>
      <c r="BI91">
        <v>0.28870566066249598</v>
      </c>
      <c r="BJ91">
        <v>0.39222704896274102</v>
      </c>
      <c r="BK91">
        <v>7</v>
      </c>
    </row>
    <row r="92" spans="1:63" x14ac:dyDescent="0.3">
      <c r="A92" t="s">
        <v>404</v>
      </c>
      <c r="B92" t="s">
        <v>109</v>
      </c>
      <c r="C92" t="s">
        <v>25</v>
      </c>
      <c r="D92" t="s">
        <v>67</v>
      </c>
      <c r="E92" t="s">
        <v>340</v>
      </c>
      <c r="F92">
        <v>7</v>
      </c>
      <c r="G92" t="s">
        <v>24</v>
      </c>
      <c r="H92" t="s">
        <v>36</v>
      </c>
      <c r="I92" t="s">
        <v>33</v>
      </c>
      <c r="J92" t="s">
        <v>28</v>
      </c>
      <c r="K92" t="s">
        <v>111</v>
      </c>
      <c r="L92">
        <v>10</v>
      </c>
      <c r="M92">
        <v>332</v>
      </c>
      <c r="N92">
        <v>42</v>
      </c>
      <c r="O92">
        <v>42</v>
      </c>
      <c r="P92" t="b">
        <v>1</v>
      </c>
      <c r="Q92" t="s">
        <v>112</v>
      </c>
      <c r="R92">
        <v>0.40845100556268699</v>
      </c>
      <c r="S92">
        <v>42</v>
      </c>
      <c r="T92">
        <v>0</v>
      </c>
      <c r="U92" t="s">
        <v>405</v>
      </c>
      <c r="V92" t="s">
        <v>325</v>
      </c>
      <c r="W92">
        <v>0.78571428571428503</v>
      </c>
      <c r="X92" t="b">
        <v>0</v>
      </c>
      <c r="Y92">
        <v>9.5067419034894503</v>
      </c>
      <c r="Z92">
        <v>0.66472910018637699</v>
      </c>
      <c r="AA92">
        <v>1184.4858923000199</v>
      </c>
      <c r="AB92">
        <v>332</v>
      </c>
      <c r="AC92">
        <v>3</v>
      </c>
      <c r="AD92">
        <v>0.40963855421686701</v>
      </c>
      <c r="AE92">
        <v>0.407758975149692</v>
      </c>
      <c r="AF92">
        <v>0.40784061372296598</v>
      </c>
      <c r="AG92">
        <v>0.407758975149692</v>
      </c>
      <c r="AH92">
        <v>0.40777712673771999</v>
      </c>
      <c r="AI92">
        <v>0.11293489135788599</v>
      </c>
      <c r="AJ92" t="s">
        <v>406</v>
      </c>
      <c r="AK92">
        <v>0.56764727849769203</v>
      </c>
      <c r="AM92">
        <v>104</v>
      </c>
      <c r="AN92">
        <v>0.38235294117647001</v>
      </c>
      <c r="AO92">
        <v>0.375</v>
      </c>
      <c r="AP92">
        <v>0.37864077669902901</v>
      </c>
      <c r="AQ92">
        <v>109</v>
      </c>
      <c r="AR92">
        <v>0.38738738738738698</v>
      </c>
      <c r="AS92">
        <v>0.394495412844036</v>
      </c>
      <c r="AT92">
        <v>0.39090909090908998</v>
      </c>
      <c r="AU92">
        <v>119</v>
      </c>
      <c r="AV92">
        <v>0.45378151260504201</v>
      </c>
      <c r="AW92">
        <v>0.45378151260504201</v>
      </c>
      <c r="AX92">
        <v>0.45378151260504201</v>
      </c>
      <c r="AY92">
        <v>1000</v>
      </c>
      <c r="AZ92">
        <v>0.36904761904761901</v>
      </c>
      <c r="BA92">
        <v>0.45093511805168202</v>
      </c>
      <c r="BB92">
        <v>0.36858732292200003</v>
      </c>
      <c r="BC92">
        <v>0.448916619865389</v>
      </c>
      <c r="BD92">
        <v>0.36721757138833799</v>
      </c>
      <c r="BE92">
        <v>0.44712075253178801</v>
      </c>
      <c r="BF92">
        <v>5.4930121592342299E-2</v>
      </c>
      <c r="BG92">
        <v>0.17407265710005901</v>
      </c>
      <c r="BH92">
        <v>1000</v>
      </c>
      <c r="BI92">
        <v>0.35898610362948502</v>
      </c>
      <c r="BJ92">
        <v>0.45447462137324901</v>
      </c>
      <c r="BK92">
        <v>1</v>
      </c>
    </row>
    <row r="93" spans="1:63" x14ac:dyDescent="0.3">
      <c r="A93" t="s">
        <v>407</v>
      </c>
      <c r="B93" t="s">
        <v>109</v>
      </c>
      <c r="C93" t="s">
        <v>25</v>
      </c>
      <c r="D93" t="s">
        <v>67</v>
      </c>
      <c r="E93" t="s">
        <v>344</v>
      </c>
      <c r="F93">
        <v>8</v>
      </c>
      <c r="G93" t="s">
        <v>24</v>
      </c>
      <c r="H93" t="s">
        <v>36</v>
      </c>
      <c r="I93" t="s">
        <v>34</v>
      </c>
      <c r="J93" t="s">
        <v>28</v>
      </c>
      <c r="K93" t="s">
        <v>111</v>
      </c>
      <c r="L93">
        <v>10</v>
      </c>
      <c r="M93">
        <v>332</v>
      </c>
      <c r="N93">
        <v>42</v>
      </c>
      <c r="O93">
        <v>42</v>
      </c>
      <c r="P93" t="b">
        <v>1</v>
      </c>
      <c r="Q93" t="s">
        <v>112</v>
      </c>
      <c r="R93">
        <v>0.35114462986735101</v>
      </c>
      <c r="S93">
        <v>42</v>
      </c>
      <c r="T93">
        <v>0</v>
      </c>
      <c r="U93" t="s">
        <v>408</v>
      </c>
      <c r="V93" t="s">
        <v>316</v>
      </c>
      <c r="W93">
        <v>0.52380952380952295</v>
      </c>
      <c r="X93" t="b">
        <v>0</v>
      </c>
      <c r="Y93">
        <v>10.349711003713301</v>
      </c>
      <c r="Z93">
        <v>0.84754140046425097</v>
      </c>
      <c r="AA93">
        <v>1223.9126518000801</v>
      </c>
      <c r="AB93">
        <v>332</v>
      </c>
      <c r="AC93">
        <v>3</v>
      </c>
      <c r="AD93">
        <v>0.32228915662650598</v>
      </c>
      <c r="AE93">
        <v>0.32208486782151102</v>
      </c>
      <c r="AF93">
        <v>0.31527860597627999</v>
      </c>
      <c r="AG93">
        <v>0.32208486782151102</v>
      </c>
      <c r="AH93">
        <v>0.316260330925348</v>
      </c>
      <c r="AI93">
        <v>-1.6303146117507002E-2</v>
      </c>
      <c r="AJ93" t="s">
        <v>409</v>
      </c>
      <c r="AK93">
        <v>0.49523689851047198</v>
      </c>
      <c r="AM93">
        <v>104</v>
      </c>
      <c r="AN93">
        <v>0.32558139534883701</v>
      </c>
      <c r="AO93">
        <v>0.40384615384615302</v>
      </c>
      <c r="AP93">
        <v>0.36051502145922698</v>
      </c>
      <c r="AQ93">
        <v>109</v>
      </c>
      <c r="AR93">
        <v>0.24418604651162701</v>
      </c>
      <c r="AS93">
        <v>0.192660550458715</v>
      </c>
      <c r="AT93">
        <v>0.21538461538461501</v>
      </c>
      <c r="AU93">
        <v>119</v>
      </c>
      <c r="AV93">
        <v>0.37606837606837601</v>
      </c>
      <c r="AW93">
        <v>0.369747899159663</v>
      </c>
      <c r="AX93">
        <v>0.37288135593220301</v>
      </c>
      <c r="AY93">
        <v>1000</v>
      </c>
      <c r="AZ93">
        <v>0.27710843373493899</v>
      </c>
      <c r="BA93">
        <v>0.36859174938857697</v>
      </c>
      <c r="BB93">
        <v>0.27910727543444502</v>
      </c>
      <c r="BC93">
        <v>0.36839268833938399</v>
      </c>
      <c r="BD93">
        <v>0.27195656092743797</v>
      </c>
      <c r="BE93">
        <v>0.36015430212749799</v>
      </c>
      <c r="BF93">
        <v>-8.0194891347336802E-2</v>
      </c>
      <c r="BG93">
        <v>5.1331270378488898E-2</v>
      </c>
      <c r="BH93">
        <v>1000</v>
      </c>
      <c r="BI93">
        <v>0.305929588325488</v>
      </c>
      <c r="BJ93">
        <v>0.40067525584795299</v>
      </c>
      <c r="BK93">
        <v>4</v>
      </c>
    </row>
    <row r="94" spans="1:63" x14ac:dyDescent="0.3">
      <c r="A94" t="s">
        <v>410</v>
      </c>
      <c r="B94" t="s">
        <v>109</v>
      </c>
      <c r="C94" t="s">
        <v>25</v>
      </c>
      <c r="D94" t="s">
        <v>67</v>
      </c>
      <c r="E94" t="s">
        <v>347</v>
      </c>
      <c r="F94">
        <v>9</v>
      </c>
      <c r="G94" t="s">
        <v>24</v>
      </c>
      <c r="H94" t="s">
        <v>36</v>
      </c>
      <c r="I94" t="s">
        <v>35</v>
      </c>
      <c r="J94" t="s">
        <v>28</v>
      </c>
      <c r="K94" t="s">
        <v>111</v>
      </c>
      <c r="L94">
        <v>10</v>
      </c>
      <c r="M94">
        <v>332</v>
      </c>
      <c r="N94">
        <v>42</v>
      </c>
      <c r="O94">
        <v>42</v>
      </c>
      <c r="P94" t="b">
        <v>1</v>
      </c>
      <c r="Q94" t="s">
        <v>112</v>
      </c>
      <c r="R94">
        <v>0.36275852232206501</v>
      </c>
      <c r="S94">
        <v>42</v>
      </c>
      <c r="T94">
        <v>0</v>
      </c>
      <c r="U94" t="s">
        <v>411</v>
      </c>
      <c r="V94" t="s">
        <v>325</v>
      </c>
      <c r="W94">
        <v>0.61904761904761896</v>
      </c>
      <c r="X94" t="b">
        <v>0</v>
      </c>
      <c r="Y94">
        <v>10.2628298941999</v>
      </c>
      <c r="Z94">
        <v>0.83125969930551902</v>
      </c>
      <c r="AA94">
        <v>1263.8182240000399</v>
      </c>
      <c r="AB94">
        <v>332</v>
      </c>
      <c r="AC94">
        <v>3</v>
      </c>
      <c r="AD94">
        <v>0.36144578313253001</v>
      </c>
      <c r="AE94">
        <v>0.36037121270526501</v>
      </c>
      <c r="AF94">
        <v>0.36010639330576399</v>
      </c>
      <c r="AG94">
        <v>0.36037121270526501</v>
      </c>
      <c r="AH94">
        <v>0.359464272374797</v>
      </c>
      <c r="AI94">
        <v>4.1714452182004501E-2</v>
      </c>
      <c r="AJ94" t="s">
        <v>412</v>
      </c>
      <c r="AK94">
        <v>0.523048653829703</v>
      </c>
      <c r="AM94">
        <v>104</v>
      </c>
      <c r="AN94">
        <v>0.33333333333333298</v>
      </c>
      <c r="AO94">
        <v>0.375</v>
      </c>
      <c r="AP94">
        <v>0.35294117647058798</v>
      </c>
      <c r="AQ94">
        <v>109</v>
      </c>
      <c r="AR94">
        <v>0.34020618556700999</v>
      </c>
      <c r="AS94">
        <v>0.302752293577981</v>
      </c>
      <c r="AT94">
        <v>0.32038834951456302</v>
      </c>
      <c r="AU94">
        <v>119</v>
      </c>
      <c r="AV94">
        <v>0.40677966101694901</v>
      </c>
      <c r="AW94">
        <v>0.40336134453781503</v>
      </c>
      <c r="AX94">
        <v>0.40506329113924</v>
      </c>
      <c r="AY94">
        <v>1000</v>
      </c>
      <c r="AZ94">
        <v>0.31531531531531498</v>
      </c>
      <c r="BA94">
        <v>0.41018350836321199</v>
      </c>
      <c r="BB94">
        <v>0.314679230116167</v>
      </c>
      <c r="BC94">
        <v>0.40785705013713203</v>
      </c>
      <c r="BD94">
        <v>0.31161388276158303</v>
      </c>
      <c r="BE94">
        <v>0.40575522660964602</v>
      </c>
      <c r="BF94">
        <v>-2.7207414774884999E-2</v>
      </c>
      <c r="BG94">
        <v>0.112232674277903</v>
      </c>
      <c r="BH94">
        <v>1000</v>
      </c>
      <c r="BI94">
        <v>0.313430998410138</v>
      </c>
      <c r="BJ94">
        <v>0.41002213983881097</v>
      </c>
      <c r="BK94">
        <v>3</v>
      </c>
    </row>
    <row r="95" spans="1:63" x14ac:dyDescent="0.3">
      <c r="A95" t="s">
        <v>413</v>
      </c>
      <c r="B95" t="s">
        <v>109</v>
      </c>
      <c r="C95" t="s">
        <v>37</v>
      </c>
      <c r="D95" t="s">
        <v>67</v>
      </c>
      <c r="E95" t="s">
        <v>309</v>
      </c>
      <c r="F95">
        <v>0</v>
      </c>
      <c r="G95" t="s">
        <v>24</v>
      </c>
      <c r="H95" t="s">
        <v>26</v>
      </c>
      <c r="I95" t="s">
        <v>27</v>
      </c>
      <c r="J95" t="s">
        <v>28</v>
      </c>
      <c r="K95" t="s">
        <v>111</v>
      </c>
      <c r="L95">
        <v>10</v>
      </c>
      <c r="M95">
        <v>332</v>
      </c>
      <c r="N95">
        <v>42</v>
      </c>
      <c r="O95">
        <v>42</v>
      </c>
      <c r="P95" t="b">
        <v>1</v>
      </c>
      <c r="Q95" t="s">
        <v>112</v>
      </c>
      <c r="R95">
        <v>0.296257037297677</v>
      </c>
      <c r="S95">
        <v>42</v>
      </c>
      <c r="T95">
        <v>0</v>
      </c>
      <c r="U95" t="s">
        <v>414</v>
      </c>
      <c r="V95" t="s">
        <v>311</v>
      </c>
      <c r="W95">
        <v>0.54761904761904701</v>
      </c>
      <c r="X95" t="b">
        <v>0</v>
      </c>
      <c r="Y95">
        <v>21.8106197016313</v>
      </c>
      <c r="Z95">
        <v>2.0308761002961502</v>
      </c>
      <c r="AA95">
        <v>1142.04867649986</v>
      </c>
      <c r="AB95">
        <v>332</v>
      </c>
      <c r="AC95">
        <v>3</v>
      </c>
      <c r="AD95">
        <v>0.27409638554216798</v>
      </c>
      <c r="AE95">
        <v>0.26790328624201298</v>
      </c>
      <c r="AF95">
        <v>0.27389102243001001</v>
      </c>
      <c r="AG95">
        <v>0.26790328624201298</v>
      </c>
      <c r="AH95">
        <v>0.26699454111656801</v>
      </c>
      <c r="AI95">
        <v>-9.1062695778627994E-2</v>
      </c>
      <c r="AJ95" t="s">
        <v>415</v>
      </c>
      <c r="AK95">
        <v>0.42293604415521902</v>
      </c>
      <c r="AM95">
        <v>103</v>
      </c>
      <c r="AN95">
        <v>0.26415094339622602</v>
      </c>
      <c r="AO95">
        <v>0.27184466019417403</v>
      </c>
      <c r="AP95">
        <v>0.26794258373205698</v>
      </c>
      <c r="AQ95">
        <v>148</v>
      </c>
      <c r="AR95">
        <v>0.38938053097345099</v>
      </c>
      <c r="AS95">
        <v>0.29729729729729698</v>
      </c>
      <c r="AT95">
        <v>0.33716475095785398</v>
      </c>
      <c r="AU95">
        <v>81</v>
      </c>
      <c r="AV95">
        <v>0.16814159292035399</v>
      </c>
      <c r="AW95">
        <v>0.234567901234567</v>
      </c>
      <c r="AX95">
        <v>0.19587628865979301</v>
      </c>
      <c r="AY95">
        <v>1000</v>
      </c>
      <c r="AZ95">
        <v>0.21382340740206299</v>
      </c>
      <c r="BA95">
        <v>0.34036304793642602</v>
      </c>
      <c r="BB95">
        <v>0.20756477566609499</v>
      </c>
      <c r="BC95">
        <v>0.33269406080799901</v>
      </c>
      <c r="BD95">
        <v>0.209773514197169</v>
      </c>
      <c r="BE95">
        <v>0.32712243230625498</v>
      </c>
      <c r="BF95">
        <v>-0.175756597272483</v>
      </c>
      <c r="BG95">
        <v>6.0808281024730699E-4</v>
      </c>
      <c r="BH95">
        <v>1000</v>
      </c>
      <c r="BI95">
        <v>0.23335046126655301</v>
      </c>
      <c r="BJ95">
        <v>0.36056872295625197</v>
      </c>
      <c r="BK95">
        <v>10</v>
      </c>
    </row>
    <row r="96" spans="1:63" x14ac:dyDescent="0.3">
      <c r="A96" t="s">
        <v>416</v>
      </c>
      <c r="B96" t="s">
        <v>109</v>
      </c>
      <c r="C96" t="s">
        <v>37</v>
      </c>
      <c r="D96" t="s">
        <v>67</v>
      </c>
      <c r="E96" t="s">
        <v>314</v>
      </c>
      <c r="F96">
        <v>1</v>
      </c>
      <c r="G96" t="s">
        <v>24</v>
      </c>
      <c r="H96" t="s">
        <v>26</v>
      </c>
      <c r="I96" t="s">
        <v>32</v>
      </c>
      <c r="J96" t="s">
        <v>28</v>
      </c>
      <c r="K96" t="s">
        <v>111</v>
      </c>
      <c r="L96">
        <v>10</v>
      </c>
      <c r="M96">
        <v>332</v>
      </c>
      <c r="N96">
        <v>42</v>
      </c>
      <c r="O96">
        <v>42</v>
      </c>
      <c r="P96" t="b">
        <v>1</v>
      </c>
      <c r="Q96" t="s">
        <v>112</v>
      </c>
      <c r="R96">
        <v>0.344043807178043</v>
      </c>
      <c r="S96">
        <v>42</v>
      </c>
      <c r="T96">
        <v>0</v>
      </c>
      <c r="U96" t="s">
        <v>417</v>
      </c>
      <c r="V96" t="s">
        <v>316</v>
      </c>
      <c r="W96">
        <v>0.40476190476190399</v>
      </c>
      <c r="X96" t="b">
        <v>0</v>
      </c>
      <c r="Y96">
        <v>21.253566301660602</v>
      </c>
      <c r="Z96">
        <v>2.07674020109698</v>
      </c>
      <c r="AA96">
        <v>1173.17578879999</v>
      </c>
      <c r="AB96">
        <v>332</v>
      </c>
      <c r="AC96">
        <v>3</v>
      </c>
      <c r="AD96">
        <v>0.39156626506024</v>
      </c>
      <c r="AE96">
        <v>0.36568607442393802</v>
      </c>
      <c r="AF96">
        <v>0.36652024357365298</v>
      </c>
      <c r="AG96">
        <v>0.36568607442393802</v>
      </c>
      <c r="AH96">
        <v>0.36551047851357399</v>
      </c>
      <c r="AI96">
        <v>4.7338161324564601E-2</v>
      </c>
      <c r="AJ96" t="s">
        <v>418</v>
      </c>
      <c r="AK96">
        <v>0.53800405792621897</v>
      </c>
      <c r="AM96">
        <v>103</v>
      </c>
      <c r="AN96">
        <v>0.396039603960396</v>
      </c>
      <c r="AO96">
        <v>0.38834951456310601</v>
      </c>
      <c r="AP96">
        <v>0.39215686274509798</v>
      </c>
      <c r="AQ96">
        <v>148</v>
      </c>
      <c r="AR96">
        <v>0.45</v>
      </c>
      <c r="AS96">
        <v>0.48648648648648601</v>
      </c>
      <c r="AT96">
        <v>0.46753246753246702</v>
      </c>
      <c r="AU96">
        <v>81</v>
      </c>
      <c r="AV96">
        <v>0.25352112676056299</v>
      </c>
      <c r="AW96">
        <v>0.22222222222222199</v>
      </c>
      <c r="AX96">
        <v>0.23684210526315699</v>
      </c>
      <c r="AY96">
        <v>1000</v>
      </c>
      <c r="AZ96">
        <v>0.33333333333333298</v>
      </c>
      <c r="BA96">
        <v>0.45048436991208002</v>
      </c>
      <c r="BB96">
        <v>0.30175774267687999</v>
      </c>
      <c r="BC96">
        <v>0.422796623526288</v>
      </c>
      <c r="BD96">
        <v>0.30060147485679201</v>
      </c>
      <c r="BE96">
        <v>0.42101874830242803</v>
      </c>
      <c r="BF96">
        <v>-5.0192627921341597E-2</v>
      </c>
      <c r="BG96">
        <v>0.139033275707828</v>
      </c>
      <c r="BH96">
        <v>1000</v>
      </c>
      <c r="BI96">
        <v>0.28388271369537899</v>
      </c>
      <c r="BJ96">
        <v>0.40740876926178898</v>
      </c>
      <c r="BK96">
        <v>5</v>
      </c>
    </row>
    <row r="97" spans="1:63" x14ac:dyDescent="0.3">
      <c r="A97" t="s">
        <v>419</v>
      </c>
      <c r="B97" t="s">
        <v>109</v>
      </c>
      <c r="C97" t="s">
        <v>37</v>
      </c>
      <c r="D97" t="s">
        <v>67</v>
      </c>
      <c r="E97" t="s">
        <v>319</v>
      </c>
      <c r="F97">
        <v>2</v>
      </c>
      <c r="G97" t="s">
        <v>24</v>
      </c>
      <c r="H97" t="s">
        <v>26</v>
      </c>
      <c r="I97" t="s">
        <v>33</v>
      </c>
      <c r="J97" t="s">
        <v>28</v>
      </c>
      <c r="K97" t="s">
        <v>111</v>
      </c>
      <c r="L97">
        <v>10</v>
      </c>
      <c r="M97">
        <v>332</v>
      </c>
      <c r="N97">
        <v>42</v>
      </c>
      <c r="O97">
        <v>42</v>
      </c>
      <c r="P97" t="b">
        <v>1</v>
      </c>
      <c r="Q97" t="s">
        <v>112</v>
      </c>
      <c r="R97">
        <v>0.36774415513331699</v>
      </c>
      <c r="S97">
        <v>42</v>
      </c>
      <c r="T97">
        <v>0</v>
      </c>
      <c r="U97" t="s">
        <v>420</v>
      </c>
      <c r="V97" t="s">
        <v>311</v>
      </c>
      <c r="W97">
        <v>0.83333333333333304</v>
      </c>
      <c r="X97" t="b">
        <v>0</v>
      </c>
      <c r="Y97">
        <v>24.3748569039162</v>
      </c>
      <c r="Z97">
        <v>2.1935927006416001</v>
      </c>
      <c r="AA97">
        <v>1204.3493071999401</v>
      </c>
      <c r="AB97">
        <v>332</v>
      </c>
      <c r="AC97">
        <v>3</v>
      </c>
      <c r="AD97">
        <v>0.358433734939759</v>
      </c>
      <c r="AE97">
        <v>0.36885591092710801</v>
      </c>
      <c r="AF97">
        <v>0.36594839595879503</v>
      </c>
      <c r="AG97">
        <v>0.36885591092710801</v>
      </c>
      <c r="AH97">
        <v>0.35851734022584503</v>
      </c>
      <c r="AI97">
        <v>4.6270554094702501E-2</v>
      </c>
      <c r="AJ97" t="s">
        <v>421</v>
      </c>
      <c r="AK97">
        <v>0.51699987695782401</v>
      </c>
      <c r="AM97">
        <v>103</v>
      </c>
      <c r="AN97">
        <v>0.40404040404040398</v>
      </c>
      <c r="AO97">
        <v>0.38834951456310601</v>
      </c>
      <c r="AP97">
        <v>0.396039603960396</v>
      </c>
      <c r="AQ97">
        <v>148</v>
      </c>
      <c r="AR97">
        <v>0.43396226415094302</v>
      </c>
      <c r="AS97">
        <v>0.31081081081081002</v>
      </c>
      <c r="AT97">
        <v>0.36220472440944801</v>
      </c>
      <c r="AU97">
        <v>81</v>
      </c>
      <c r="AV97">
        <v>0.25984251968503902</v>
      </c>
      <c r="AW97">
        <v>0.407407407407407</v>
      </c>
      <c r="AX97">
        <v>0.31730769230769201</v>
      </c>
      <c r="AY97">
        <v>1000</v>
      </c>
      <c r="AZ97">
        <v>0.299985029940119</v>
      </c>
      <c r="BA97">
        <v>0.41616766467065802</v>
      </c>
      <c r="BB97">
        <v>0.30414811865283498</v>
      </c>
      <c r="BC97">
        <v>0.43894586643649602</v>
      </c>
      <c r="BD97">
        <v>0.29495803341668703</v>
      </c>
      <c r="BE97">
        <v>0.41309624327816002</v>
      </c>
      <c r="BF97">
        <v>-4.77296561662637E-2</v>
      </c>
      <c r="BG97">
        <v>0.13911121961734799</v>
      </c>
      <c r="BH97">
        <v>1000</v>
      </c>
      <c r="BI97">
        <v>0.304559955440251</v>
      </c>
      <c r="BJ97">
        <v>0.437169680811545</v>
      </c>
      <c r="BK97">
        <v>1</v>
      </c>
    </row>
    <row r="98" spans="1:63" x14ac:dyDescent="0.3">
      <c r="A98" t="s">
        <v>422</v>
      </c>
      <c r="B98" t="s">
        <v>109</v>
      </c>
      <c r="C98" t="s">
        <v>37</v>
      </c>
      <c r="D98" t="s">
        <v>67</v>
      </c>
      <c r="E98" t="s">
        <v>323</v>
      </c>
      <c r="F98">
        <v>3</v>
      </c>
      <c r="G98" t="s">
        <v>24</v>
      </c>
      <c r="H98" t="s">
        <v>26</v>
      </c>
      <c r="I98" t="s">
        <v>34</v>
      </c>
      <c r="J98" t="s">
        <v>28</v>
      </c>
      <c r="K98" t="s">
        <v>111</v>
      </c>
      <c r="L98">
        <v>10</v>
      </c>
      <c r="M98">
        <v>332</v>
      </c>
      <c r="N98">
        <v>42</v>
      </c>
      <c r="O98">
        <v>42</v>
      </c>
      <c r="P98" t="b">
        <v>1</v>
      </c>
      <c r="Q98" t="s">
        <v>112</v>
      </c>
      <c r="R98">
        <v>0.30270975056689298</v>
      </c>
      <c r="S98">
        <v>42</v>
      </c>
      <c r="T98">
        <v>0</v>
      </c>
      <c r="U98" t="s">
        <v>423</v>
      </c>
      <c r="V98" t="s">
        <v>325</v>
      </c>
      <c r="W98">
        <v>0.38095238095237999</v>
      </c>
      <c r="X98" t="b">
        <v>0</v>
      </c>
      <c r="Y98">
        <v>25.792992902221101</v>
      </c>
      <c r="Z98">
        <v>2.51476219855248</v>
      </c>
      <c r="AA98">
        <v>1235.52622649981</v>
      </c>
      <c r="AB98">
        <v>332</v>
      </c>
      <c r="AC98">
        <v>3</v>
      </c>
      <c r="AD98">
        <v>0.29518072289156599</v>
      </c>
      <c r="AE98">
        <v>0.283984091966832</v>
      </c>
      <c r="AF98">
        <v>0.285942480021738</v>
      </c>
      <c r="AG98">
        <v>0.283984091966832</v>
      </c>
      <c r="AH98">
        <v>0.28363165379455202</v>
      </c>
      <c r="AI98">
        <v>-7.2068884615130197E-2</v>
      </c>
      <c r="AJ98" t="s">
        <v>424</v>
      </c>
      <c r="AK98">
        <v>0.45487891854199902</v>
      </c>
      <c r="AM98">
        <v>103</v>
      </c>
      <c r="AN98">
        <v>0.31192660550458701</v>
      </c>
      <c r="AO98">
        <v>0.33009708737864002</v>
      </c>
      <c r="AP98">
        <v>0.320754716981132</v>
      </c>
      <c r="AQ98">
        <v>148</v>
      </c>
      <c r="AR98">
        <v>0.38095238095237999</v>
      </c>
      <c r="AS98">
        <v>0.32432432432432401</v>
      </c>
      <c r="AT98">
        <v>0.35036496350364899</v>
      </c>
      <c r="AU98">
        <v>81</v>
      </c>
      <c r="AV98">
        <v>0.164948453608247</v>
      </c>
      <c r="AW98">
        <v>0.19753086419752999</v>
      </c>
      <c r="AX98">
        <v>0.17977528089887601</v>
      </c>
      <c r="AY98">
        <v>1000</v>
      </c>
      <c r="AZ98">
        <v>0.23423423423423401</v>
      </c>
      <c r="BA98">
        <v>0.36036650286650201</v>
      </c>
      <c r="BB98">
        <v>0.225202934602418</v>
      </c>
      <c r="BC98">
        <v>0.34838128708559901</v>
      </c>
      <c r="BD98">
        <v>0.22504167416856999</v>
      </c>
      <c r="BE98">
        <v>0.34023533149757101</v>
      </c>
      <c r="BF98">
        <v>-0.15239329831456799</v>
      </c>
      <c r="BG98">
        <v>1.73867087844751E-2</v>
      </c>
      <c r="BH98">
        <v>1000</v>
      </c>
      <c r="BI98">
        <v>0.243707562568557</v>
      </c>
      <c r="BJ98">
        <v>0.37185328014839097</v>
      </c>
      <c r="BK98">
        <v>9</v>
      </c>
    </row>
    <row r="99" spans="1:63" x14ac:dyDescent="0.3">
      <c r="A99" t="s">
        <v>425</v>
      </c>
      <c r="B99" t="s">
        <v>109</v>
      </c>
      <c r="C99" t="s">
        <v>37</v>
      </c>
      <c r="D99" t="s">
        <v>67</v>
      </c>
      <c r="E99" t="s">
        <v>328</v>
      </c>
      <c r="F99">
        <v>4</v>
      </c>
      <c r="G99" t="s">
        <v>24</v>
      </c>
      <c r="H99" t="s">
        <v>26</v>
      </c>
      <c r="I99" t="s">
        <v>35</v>
      </c>
      <c r="J99" t="s">
        <v>28</v>
      </c>
      <c r="K99" t="s">
        <v>111</v>
      </c>
      <c r="L99">
        <v>10</v>
      </c>
      <c r="M99">
        <v>332</v>
      </c>
      <c r="N99">
        <v>42</v>
      </c>
      <c r="O99">
        <v>42</v>
      </c>
      <c r="P99" t="b">
        <v>1</v>
      </c>
      <c r="Q99" t="s">
        <v>112</v>
      </c>
      <c r="R99">
        <v>0.35102070138400099</v>
      </c>
      <c r="S99">
        <v>42</v>
      </c>
      <c r="T99">
        <v>0</v>
      </c>
      <c r="U99" t="s">
        <v>426</v>
      </c>
      <c r="V99" t="s">
        <v>311</v>
      </c>
      <c r="W99">
        <v>0.78571428571428503</v>
      </c>
      <c r="X99" t="b">
        <v>0</v>
      </c>
      <c r="Y99">
        <v>25.517924599116601</v>
      </c>
      <c r="Z99">
        <v>2.3960063003469201</v>
      </c>
      <c r="AA99">
        <v>1266.86756649985</v>
      </c>
      <c r="AB99">
        <v>332</v>
      </c>
      <c r="AC99">
        <v>3</v>
      </c>
      <c r="AD99">
        <v>0.32228915662650598</v>
      </c>
      <c r="AE99">
        <v>0.32924699240772498</v>
      </c>
      <c r="AF99">
        <v>0.348531610325436</v>
      </c>
      <c r="AG99">
        <v>0.32924699240772498</v>
      </c>
      <c r="AH99">
        <v>0.32298149485129402</v>
      </c>
      <c r="AI99">
        <v>2.1033515907296998E-3</v>
      </c>
      <c r="AJ99" t="s">
        <v>427</v>
      </c>
      <c r="AK99">
        <v>0.48943668630320197</v>
      </c>
      <c r="AM99">
        <v>103</v>
      </c>
      <c r="AN99">
        <v>0.39743589743589702</v>
      </c>
      <c r="AO99">
        <v>0.30097087378640702</v>
      </c>
      <c r="AP99">
        <v>0.34254143646408802</v>
      </c>
      <c r="AQ99">
        <v>148</v>
      </c>
      <c r="AR99">
        <v>0.445544554455445</v>
      </c>
      <c r="AS99">
        <v>0.304054054054054</v>
      </c>
      <c r="AT99">
        <v>0.36144578313253001</v>
      </c>
      <c r="AU99">
        <v>81</v>
      </c>
      <c r="AV99">
        <v>0.20261437908496699</v>
      </c>
      <c r="AW99">
        <v>0.38271604938271597</v>
      </c>
      <c r="AX99">
        <v>0.26495726495726402</v>
      </c>
      <c r="AY99">
        <v>1000</v>
      </c>
      <c r="AZ99">
        <v>0.246246246246246</v>
      </c>
      <c r="BA99">
        <v>0.389221556886227</v>
      </c>
      <c r="BB99">
        <v>0.25230430772989898</v>
      </c>
      <c r="BC99">
        <v>0.40469745692485598</v>
      </c>
      <c r="BD99">
        <v>0.24680738206268801</v>
      </c>
      <c r="BE99">
        <v>0.38351943945785899</v>
      </c>
      <c r="BF99">
        <v>-0.10981795207282299</v>
      </c>
      <c r="BG99">
        <v>0.10484747666443101</v>
      </c>
      <c r="BH99">
        <v>1000</v>
      </c>
      <c r="BI99">
        <v>0.28151176928337002</v>
      </c>
      <c r="BJ99">
        <v>0.41178024596153201</v>
      </c>
      <c r="BK99">
        <v>3</v>
      </c>
    </row>
    <row r="100" spans="1:63" x14ac:dyDescent="0.3">
      <c r="A100" t="s">
        <v>428</v>
      </c>
      <c r="B100" t="s">
        <v>109</v>
      </c>
      <c r="C100" t="s">
        <v>37</v>
      </c>
      <c r="D100" t="s">
        <v>67</v>
      </c>
      <c r="E100" t="s">
        <v>332</v>
      </c>
      <c r="F100">
        <v>5</v>
      </c>
      <c r="G100" t="s">
        <v>24</v>
      </c>
      <c r="H100" t="s">
        <v>36</v>
      </c>
      <c r="I100" t="s">
        <v>27</v>
      </c>
      <c r="J100" t="s">
        <v>28</v>
      </c>
      <c r="K100" t="s">
        <v>111</v>
      </c>
      <c r="L100">
        <v>10</v>
      </c>
      <c r="M100">
        <v>332</v>
      </c>
      <c r="N100">
        <v>42</v>
      </c>
      <c r="O100">
        <v>42</v>
      </c>
      <c r="P100" t="b">
        <v>1</v>
      </c>
      <c r="Q100" t="s">
        <v>112</v>
      </c>
      <c r="R100">
        <v>0.32197142075220803</v>
      </c>
      <c r="S100">
        <v>42</v>
      </c>
      <c r="T100">
        <v>0</v>
      </c>
      <c r="U100" t="s">
        <v>429</v>
      </c>
      <c r="V100" t="s">
        <v>325</v>
      </c>
      <c r="W100">
        <v>0.35714285714285698</v>
      </c>
      <c r="X100" t="b">
        <v>0</v>
      </c>
      <c r="Y100">
        <v>11.133190500549899</v>
      </c>
      <c r="Z100">
        <v>0.93337689992040396</v>
      </c>
      <c r="AA100">
        <v>1298.03645369992</v>
      </c>
      <c r="AB100">
        <v>332</v>
      </c>
      <c r="AC100">
        <v>3</v>
      </c>
      <c r="AD100">
        <v>0.373493975903614</v>
      </c>
      <c r="AE100">
        <v>0.34584854541704502</v>
      </c>
      <c r="AF100">
        <v>0.35352079900961503</v>
      </c>
      <c r="AG100">
        <v>0.34584854541704502</v>
      </c>
      <c r="AH100">
        <v>0.344385257379</v>
      </c>
      <c r="AI100">
        <v>1.6847828888283199E-2</v>
      </c>
      <c r="AJ100" t="s">
        <v>430</v>
      </c>
      <c r="AK100">
        <v>0.49330220482675102</v>
      </c>
      <c r="AM100">
        <v>103</v>
      </c>
      <c r="AN100">
        <v>0.376811594202898</v>
      </c>
      <c r="AO100">
        <v>0.25242718446601897</v>
      </c>
      <c r="AP100">
        <v>0.30232558139534799</v>
      </c>
      <c r="AQ100">
        <v>148</v>
      </c>
      <c r="AR100">
        <v>0.439306358381502</v>
      </c>
      <c r="AS100">
        <v>0.51351351351351304</v>
      </c>
      <c r="AT100">
        <v>0.47352024922118302</v>
      </c>
      <c r="AU100">
        <v>81</v>
      </c>
      <c r="AV100">
        <v>0.24444444444444399</v>
      </c>
      <c r="AW100">
        <v>0.27160493827160398</v>
      </c>
      <c r="AX100">
        <v>0.25730994152046699</v>
      </c>
      <c r="AY100">
        <v>1000</v>
      </c>
      <c r="AZ100">
        <v>0.31302261728757802</v>
      </c>
      <c r="BA100">
        <v>0.44347718253968199</v>
      </c>
      <c r="BB100">
        <v>0.28721602125400397</v>
      </c>
      <c r="BC100">
        <v>0.408610963420593</v>
      </c>
      <c r="BD100">
        <v>0.280804923139503</v>
      </c>
      <c r="BE100">
        <v>0.406954318446343</v>
      </c>
      <c r="BF100">
        <v>-7.2188431366703401E-2</v>
      </c>
      <c r="BG100">
        <v>0.111243057506079</v>
      </c>
      <c r="BH100">
        <v>1000</v>
      </c>
      <c r="BI100">
        <v>0.27583572878384999</v>
      </c>
      <c r="BJ100">
        <v>0.37279388924409101</v>
      </c>
      <c r="BK100">
        <v>8</v>
      </c>
    </row>
    <row r="101" spans="1:63" x14ac:dyDescent="0.3">
      <c r="A101" t="s">
        <v>431</v>
      </c>
      <c r="B101" t="s">
        <v>109</v>
      </c>
      <c r="C101" t="s">
        <v>37</v>
      </c>
      <c r="D101" t="s">
        <v>67</v>
      </c>
      <c r="E101" t="s">
        <v>336</v>
      </c>
      <c r="F101">
        <v>6</v>
      </c>
      <c r="G101" t="s">
        <v>24</v>
      </c>
      <c r="H101" t="s">
        <v>36</v>
      </c>
      <c r="I101" t="s">
        <v>32</v>
      </c>
      <c r="J101" t="s">
        <v>28</v>
      </c>
      <c r="K101" t="s">
        <v>111</v>
      </c>
      <c r="L101">
        <v>10</v>
      </c>
      <c r="M101">
        <v>332</v>
      </c>
      <c r="N101">
        <v>42</v>
      </c>
      <c r="O101">
        <v>42</v>
      </c>
      <c r="P101" t="b">
        <v>1</v>
      </c>
      <c r="Q101" t="s">
        <v>112</v>
      </c>
      <c r="R101">
        <v>0.33528647665962902</v>
      </c>
      <c r="S101">
        <v>42</v>
      </c>
      <c r="T101">
        <v>0</v>
      </c>
      <c r="U101" t="s">
        <v>408</v>
      </c>
      <c r="V101" t="s">
        <v>316</v>
      </c>
      <c r="W101">
        <v>0.52380952380952295</v>
      </c>
      <c r="X101" t="b">
        <v>0</v>
      </c>
      <c r="Y101">
        <v>11.527449997374701</v>
      </c>
      <c r="Z101">
        <v>0.93899019970558495</v>
      </c>
      <c r="AA101">
        <v>1336.7156131998599</v>
      </c>
      <c r="AB101">
        <v>332</v>
      </c>
      <c r="AC101">
        <v>3</v>
      </c>
      <c r="AD101">
        <v>0.37048192771084298</v>
      </c>
      <c r="AE101">
        <v>0.35825118538171302</v>
      </c>
      <c r="AF101">
        <v>0.36041740639917902</v>
      </c>
      <c r="AG101">
        <v>0.35825118538171302</v>
      </c>
      <c r="AH101">
        <v>0.35822419515704401</v>
      </c>
      <c r="AI101">
        <v>2.5519742981031299E-2</v>
      </c>
      <c r="AJ101" t="s">
        <v>432</v>
      </c>
      <c r="AK101">
        <v>0.54414061140856596</v>
      </c>
      <c r="AM101">
        <v>103</v>
      </c>
      <c r="AN101">
        <v>0.32773109243697401</v>
      </c>
      <c r="AO101">
        <v>0.37864077669902901</v>
      </c>
      <c r="AP101">
        <v>0.35135135135135098</v>
      </c>
      <c r="AQ101">
        <v>148</v>
      </c>
      <c r="AR101">
        <v>0.42957746478873199</v>
      </c>
      <c r="AS101">
        <v>0.412162162162162</v>
      </c>
      <c r="AT101">
        <v>0.42068965517241302</v>
      </c>
      <c r="AU101">
        <v>81</v>
      </c>
      <c r="AV101">
        <v>0.323943661971831</v>
      </c>
      <c r="AW101">
        <v>0.28395061728394999</v>
      </c>
      <c r="AX101">
        <v>0.30263157894736797</v>
      </c>
      <c r="AY101">
        <v>1000</v>
      </c>
      <c r="AZ101">
        <v>0.31322471705001798</v>
      </c>
      <c r="BA101">
        <v>0.43283809610484097</v>
      </c>
      <c r="BB101">
        <v>0.299139292673957</v>
      </c>
      <c r="BC101">
        <v>0.42109932407011902</v>
      </c>
      <c r="BD101">
        <v>0.29791654868952</v>
      </c>
      <c r="BE101">
        <v>0.41557614637017198</v>
      </c>
      <c r="BF101">
        <v>-6.5777916923065505E-2</v>
      </c>
      <c r="BG101">
        <v>0.12339249885530899</v>
      </c>
      <c r="BH101">
        <v>1000</v>
      </c>
      <c r="BI101">
        <v>0.273375409030507</v>
      </c>
      <c r="BJ101">
        <v>0.40227061636028999</v>
      </c>
      <c r="BK101">
        <v>6</v>
      </c>
    </row>
    <row r="102" spans="1:63" x14ac:dyDescent="0.3">
      <c r="A102" t="s">
        <v>433</v>
      </c>
      <c r="B102" t="s">
        <v>109</v>
      </c>
      <c r="C102" t="s">
        <v>37</v>
      </c>
      <c r="D102" t="s">
        <v>67</v>
      </c>
      <c r="E102" t="s">
        <v>340</v>
      </c>
      <c r="F102">
        <v>7</v>
      </c>
      <c r="G102" t="s">
        <v>24</v>
      </c>
      <c r="H102" t="s">
        <v>36</v>
      </c>
      <c r="I102" t="s">
        <v>33</v>
      </c>
      <c r="J102" t="s">
        <v>28</v>
      </c>
      <c r="K102" t="s">
        <v>111</v>
      </c>
      <c r="L102">
        <v>10</v>
      </c>
      <c r="M102">
        <v>332</v>
      </c>
      <c r="N102">
        <v>42</v>
      </c>
      <c r="O102">
        <v>42</v>
      </c>
      <c r="P102" t="b">
        <v>1</v>
      </c>
      <c r="Q102" t="s">
        <v>112</v>
      </c>
      <c r="R102">
        <v>0.32557344202048599</v>
      </c>
      <c r="S102">
        <v>42</v>
      </c>
      <c r="T102">
        <v>0</v>
      </c>
      <c r="U102" t="s">
        <v>434</v>
      </c>
      <c r="V102" t="s">
        <v>311</v>
      </c>
      <c r="W102">
        <v>0.40476190476190399</v>
      </c>
      <c r="X102" t="b">
        <v>0</v>
      </c>
      <c r="Y102">
        <v>12.067029698751799</v>
      </c>
      <c r="Z102">
        <v>0.96548670041374796</v>
      </c>
      <c r="AA102">
        <v>1375.78702859999</v>
      </c>
      <c r="AB102">
        <v>332</v>
      </c>
      <c r="AC102">
        <v>3</v>
      </c>
      <c r="AD102">
        <v>0.343373493975903</v>
      </c>
      <c r="AE102">
        <v>0.32364106285357602</v>
      </c>
      <c r="AF102">
        <v>0.32747545959707203</v>
      </c>
      <c r="AG102">
        <v>0.32364106285357602</v>
      </c>
      <c r="AH102">
        <v>0.32472006890611499</v>
      </c>
      <c r="AI102">
        <v>-1.76549053266381E-2</v>
      </c>
      <c r="AJ102" t="s">
        <v>435</v>
      </c>
      <c r="AK102">
        <v>0.47793048672627397</v>
      </c>
      <c r="AM102">
        <v>103</v>
      </c>
      <c r="AN102">
        <v>0.35955056179775202</v>
      </c>
      <c r="AO102">
        <v>0.31067961165048502</v>
      </c>
      <c r="AP102">
        <v>0.33333333333333298</v>
      </c>
      <c r="AQ102">
        <v>148</v>
      </c>
      <c r="AR102">
        <v>0.41176470588235198</v>
      </c>
      <c r="AS102">
        <v>0.42567567567567499</v>
      </c>
      <c r="AT102">
        <v>0.41860465116279</v>
      </c>
      <c r="AU102">
        <v>81</v>
      </c>
      <c r="AV102">
        <v>0.211111111111111</v>
      </c>
      <c r="AW102">
        <v>0.234567901234567</v>
      </c>
      <c r="AX102">
        <v>0.22222222222222199</v>
      </c>
      <c r="AY102">
        <v>1000</v>
      </c>
      <c r="AZ102">
        <v>0.29305135951661598</v>
      </c>
      <c r="BA102">
        <v>0.39821874108924998</v>
      </c>
      <c r="BB102">
        <v>0.26821506338575701</v>
      </c>
      <c r="BC102">
        <v>0.379239912798225</v>
      </c>
      <c r="BD102">
        <v>0.26629962625415099</v>
      </c>
      <c r="BE102">
        <v>0.37574985455290499</v>
      </c>
      <c r="BF102">
        <v>-0.10387790643210799</v>
      </c>
      <c r="BG102">
        <v>6.9384146232671307E-2</v>
      </c>
      <c r="BH102">
        <v>1000</v>
      </c>
      <c r="BI102">
        <v>0.28103712269138797</v>
      </c>
      <c r="BJ102">
        <v>0.37025374741760397</v>
      </c>
      <c r="BK102">
        <v>7</v>
      </c>
    </row>
    <row r="103" spans="1:63" x14ac:dyDescent="0.3">
      <c r="A103" t="s">
        <v>436</v>
      </c>
      <c r="B103" t="s">
        <v>109</v>
      </c>
      <c r="C103" t="s">
        <v>37</v>
      </c>
      <c r="D103" t="s">
        <v>67</v>
      </c>
      <c r="E103" t="s">
        <v>344</v>
      </c>
      <c r="F103">
        <v>8</v>
      </c>
      <c r="G103" t="s">
        <v>24</v>
      </c>
      <c r="H103" t="s">
        <v>36</v>
      </c>
      <c r="I103" t="s">
        <v>34</v>
      </c>
      <c r="J103" t="s">
        <v>28</v>
      </c>
      <c r="K103" t="s">
        <v>111</v>
      </c>
      <c r="L103">
        <v>10</v>
      </c>
      <c r="M103">
        <v>332</v>
      </c>
      <c r="N103">
        <v>42</v>
      </c>
      <c r="O103">
        <v>42</v>
      </c>
      <c r="P103" t="b">
        <v>1</v>
      </c>
      <c r="Q103" t="s">
        <v>112</v>
      </c>
      <c r="R103">
        <v>0.34645691609977303</v>
      </c>
      <c r="S103">
        <v>42</v>
      </c>
      <c r="T103">
        <v>0</v>
      </c>
      <c r="U103" t="s">
        <v>437</v>
      </c>
      <c r="V103" t="s">
        <v>311</v>
      </c>
      <c r="W103">
        <v>0.80952380952380898</v>
      </c>
      <c r="X103" t="b">
        <v>0</v>
      </c>
      <c r="Y103">
        <v>13.481315000681199</v>
      </c>
      <c r="Z103">
        <v>1.0412881006486701</v>
      </c>
      <c r="AA103">
        <v>1414.9353685998301</v>
      </c>
      <c r="AB103">
        <v>332</v>
      </c>
      <c r="AC103">
        <v>3</v>
      </c>
      <c r="AD103">
        <v>0.38855421686746899</v>
      </c>
      <c r="AE103">
        <v>0.354367852210354</v>
      </c>
      <c r="AF103">
        <v>0.364726857794893</v>
      </c>
      <c r="AG103">
        <v>0.354367852210354</v>
      </c>
      <c r="AH103">
        <v>0.35359564524867299</v>
      </c>
      <c r="AI103">
        <v>2.08089526537646E-2</v>
      </c>
      <c r="AJ103" t="s">
        <v>438</v>
      </c>
      <c r="AK103">
        <v>0.46964826214632699</v>
      </c>
      <c r="AM103">
        <v>103</v>
      </c>
      <c r="AN103">
        <v>0.32926829268292601</v>
      </c>
      <c r="AO103">
        <v>0.26213592233009703</v>
      </c>
      <c r="AP103">
        <v>0.29189189189189102</v>
      </c>
      <c r="AQ103">
        <v>148</v>
      </c>
      <c r="AR103">
        <v>0.43157894736842101</v>
      </c>
      <c r="AS103">
        <v>0.55405405405405395</v>
      </c>
      <c r="AT103">
        <v>0.48520710059171501</v>
      </c>
      <c r="AU103">
        <v>81</v>
      </c>
      <c r="AV103">
        <v>0.33333333333333298</v>
      </c>
      <c r="AW103">
        <v>0.24691358024691301</v>
      </c>
      <c r="AX103">
        <v>0.28368794326241098</v>
      </c>
      <c r="AY103">
        <v>1000</v>
      </c>
      <c r="AZ103">
        <v>0.32614329268292602</v>
      </c>
      <c r="BA103">
        <v>0.44987048042462402</v>
      </c>
      <c r="BB103">
        <v>0.29089569778626201</v>
      </c>
      <c r="BC103">
        <v>0.42344104930026399</v>
      </c>
      <c r="BD103">
        <v>0.27604927294061798</v>
      </c>
      <c r="BE103">
        <v>0.420059126810223</v>
      </c>
      <c r="BF103">
        <v>-8.0836617201463207E-2</v>
      </c>
      <c r="BG103">
        <v>0.13050518544852499</v>
      </c>
      <c r="BH103">
        <v>1000</v>
      </c>
      <c r="BI103">
        <v>0.302101599508313</v>
      </c>
      <c r="BJ103">
        <v>0.389634174183145</v>
      </c>
      <c r="BK103">
        <v>4</v>
      </c>
    </row>
    <row r="104" spans="1:63" x14ac:dyDescent="0.3">
      <c r="A104" t="s">
        <v>439</v>
      </c>
      <c r="B104" t="s">
        <v>109</v>
      </c>
      <c r="C104" t="s">
        <v>37</v>
      </c>
      <c r="D104" t="s">
        <v>67</v>
      </c>
      <c r="E104" t="s">
        <v>347</v>
      </c>
      <c r="F104">
        <v>9</v>
      </c>
      <c r="G104" t="s">
        <v>24</v>
      </c>
      <c r="H104" t="s">
        <v>36</v>
      </c>
      <c r="I104" t="s">
        <v>35</v>
      </c>
      <c r="J104" t="s">
        <v>28</v>
      </c>
      <c r="K104" t="s">
        <v>111</v>
      </c>
      <c r="L104">
        <v>10</v>
      </c>
      <c r="M104">
        <v>332</v>
      </c>
      <c r="N104">
        <v>42</v>
      </c>
      <c r="O104">
        <v>42</v>
      </c>
      <c r="P104" t="b">
        <v>1</v>
      </c>
      <c r="Q104" t="s">
        <v>112</v>
      </c>
      <c r="R104">
        <v>0.35419325201344898</v>
      </c>
      <c r="S104">
        <v>42</v>
      </c>
      <c r="T104">
        <v>0</v>
      </c>
      <c r="U104" t="s">
        <v>440</v>
      </c>
      <c r="V104" t="s">
        <v>311</v>
      </c>
      <c r="W104">
        <v>0.42857142857142799</v>
      </c>
      <c r="X104" t="b">
        <v>0</v>
      </c>
      <c r="Y104">
        <v>13.2784589009825</v>
      </c>
      <c r="Z104">
        <v>1.0030682994983999</v>
      </c>
      <c r="AA104">
        <v>1454.4037687999601</v>
      </c>
      <c r="AB104">
        <v>332</v>
      </c>
      <c r="AC104">
        <v>3</v>
      </c>
      <c r="AD104">
        <v>0.37951807228915602</v>
      </c>
      <c r="AE104">
        <v>0.34409517392257399</v>
      </c>
      <c r="AF104">
        <v>0.35410388530310399</v>
      </c>
      <c r="AG104">
        <v>0.34409517392257399</v>
      </c>
      <c r="AH104">
        <v>0.34280870369375599</v>
      </c>
      <c r="AI104">
        <v>1.00081984483764E-2</v>
      </c>
      <c r="AJ104" t="s">
        <v>441</v>
      </c>
      <c r="AK104">
        <v>0.48594949050263297</v>
      </c>
      <c r="AM104">
        <v>103</v>
      </c>
      <c r="AN104">
        <v>0.30097087378640702</v>
      </c>
      <c r="AO104">
        <v>0.30097087378640702</v>
      </c>
      <c r="AP104">
        <v>0.30097087378640702</v>
      </c>
      <c r="AQ104">
        <v>148</v>
      </c>
      <c r="AR104">
        <v>0.44134078212290501</v>
      </c>
      <c r="AS104">
        <v>0.53378378378378299</v>
      </c>
      <c r="AT104">
        <v>0.48318042813455597</v>
      </c>
      <c r="AU104">
        <v>81</v>
      </c>
      <c r="AV104">
        <v>0.32</v>
      </c>
      <c r="AW104">
        <v>0.19753086419752999</v>
      </c>
      <c r="AX104">
        <v>0.244274809160305</v>
      </c>
      <c r="AY104">
        <v>1000</v>
      </c>
      <c r="AZ104">
        <v>0.32226496074387601</v>
      </c>
      <c r="BA104">
        <v>0.43285829886711003</v>
      </c>
      <c r="BB104">
        <v>0.29222288547490999</v>
      </c>
      <c r="BC104">
        <v>0.392385759311146</v>
      </c>
      <c r="BD104">
        <v>0.27937207462566799</v>
      </c>
      <c r="BE104">
        <v>0.39150313642488699</v>
      </c>
      <c r="BF104">
        <v>-7.1214139020909395E-2</v>
      </c>
      <c r="BG104">
        <v>8.8890548481745102E-2</v>
      </c>
      <c r="BH104">
        <v>1000</v>
      </c>
      <c r="BI104">
        <v>0.30973633204479101</v>
      </c>
      <c r="BJ104">
        <v>0.39693283403784002</v>
      </c>
      <c r="BK104">
        <v>2</v>
      </c>
    </row>
    <row r="105" spans="1:63" x14ac:dyDescent="0.3">
      <c r="A105" t="s">
        <v>0</v>
      </c>
      <c r="B105" t="s">
        <v>69</v>
      </c>
      <c r="C105" t="s">
        <v>2</v>
      </c>
      <c r="D105" t="s">
        <v>70</v>
      </c>
      <c r="E105" t="s">
        <v>71</v>
      </c>
      <c r="F105" t="s">
        <v>72</v>
      </c>
      <c r="G105" t="s">
        <v>1</v>
      </c>
      <c r="H105" t="s">
        <v>3</v>
      </c>
      <c r="I105" t="s">
        <v>4</v>
      </c>
      <c r="J105" t="s">
        <v>5</v>
      </c>
      <c r="K105" t="s">
        <v>73</v>
      </c>
      <c r="L105" t="s">
        <v>74</v>
      </c>
      <c r="M105" t="s">
        <v>75</v>
      </c>
      <c r="N105" t="s">
        <v>6</v>
      </c>
      <c r="O105" t="s">
        <v>7</v>
      </c>
      <c r="P105" t="s">
        <v>8</v>
      </c>
      <c r="Q105" t="s">
        <v>76</v>
      </c>
      <c r="R105" t="s">
        <v>77</v>
      </c>
      <c r="S105" t="s">
        <v>78</v>
      </c>
      <c r="T105" t="s">
        <v>79</v>
      </c>
      <c r="U105" t="s">
        <v>80</v>
      </c>
      <c r="V105" t="s">
        <v>81</v>
      </c>
      <c r="W105" t="s">
        <v>82</v>
      </c>
      <c r="X105" t="s">
        <v>9</v>
      </c>
      <c r="Y105" t="s">
        <v>83</v>
      </c>
      <c r="Z105" t="s">
        <v>84</v>
      </c>
      <c r="AA105" t="s">
        <v>85</v>
      </c>
      <c r="AB105" t="s">
        <v>10</v>
      </c>
      <c r="AC105" t="s">
        <v>282</v>
      </c>
      <c r="AD105" t="s">
        <v>283</v>
      </c>
      <c r="AE105" t="s">
        <v>284</v>
      </c>
      <c r="AF105" t="s">
        <v>285</v>
      </c>
      <c r="AG105" t="s">
        <v>19</v>
      </c>
      <c r="AH105" t="s">
        <v>286</v>
      </c>
      <c r="AI105" t="s">
        <v>287</v>
      </c>
      <c r="AJ105" t="s">
        <v>288</v>
      </c>
      <c r="AK105" t="s">
        <v>289</v>
      </c>
      <c r="AL105" t="s">
        <v>290</v>
      </c>
      <c r="AM105" t="s">
        <v>291</v>
      </c>
      <c r="AN105" t="s">
        <v>292</v>
      </c>
      <c r="AO105" t="s">
        <v>293</v>
      </c>
      <c r="AP105" t="s">
        <v>104</v>
      </c>
      <c r="AQ105" t="s">
        <v>105</v>
      </c>
      <c r="AR105" t="s">
        <v>106</v>
      </c>
      <c r="AS105" t="s">
        <v>107</v>
      </c>
    </row>
    <row r="106" spans="1:63" x14ac:dyDescent="0.3">
      <c r="A106" t="s">
        <v>442</v>
      </c>
      <c r="B106" t="s">
        <v>109</v>
      </c>
      <c r="C106" t="s">
        <v>25</v>
      </c>
      <c r="D106" t="s">
        <v>68</v>
      </c>
      <c r="E106" t="s">
        <v>309</v>
      </c>
      <c r="F106">
        <v>0</v>
      </c>
      <c r="G106" t="s">
        <v>24</v>
      </c>
      <c r="H106" t="s">
        <v>26</v>
      </c>
      <c r="I106" t="s">
        <v>27</v>
      </c>
      <c r="J106" t="s">
        <v>28</v>
      </c>
      <c r="K106" t="s">
        <v>111</v>
      </c>
      <c r="L106">
        <v>10</v>
      </c>
      <c r="M106">
        <v>332</v>
      </c>
      <c r="N106">
        <v>42</v>
      </c>
      <c r="O106">
        <v>42</v>
      </c>
      <c r="P106" t="b">
        <v>1</v>
      </c>
      <c r="Q106" t="s">
        <v>248</v>
      </c>
      <c r="R106">
        <v>2.0502030123080499</v>
      </c>
      <c r="S106">
        <v>42</v>
      </c>
      <c r="T106">
        <v>0</v>
      </c>
      <c r="U106" t="s">
        <v>443</v>
      </c>
      <c r="V106" t="s">
        <v>325</v>
      </c>
      <c r="W106">
        <v>0.80952380952380898</v>
      </c>
      <c r="X106" t="b">
        <v>0</v>
      </c>
      <c r="Y106">
        <v>12.9870306984521</v>
      </c>
      <c r="Z106">
        <v>1.18861010181717</v>
      </c>
      <c r="AA106">
        <v>413.37969879992301</v>
      </c>
      <c r="AB106">
        <v>332</v>
      </c>
      <c r="AC106">
        <v>2.0491996800521601</v>
      </c>
      <c r="AD106">
        <v>2.3547318409654099</v>
      </c>
      <c r="AE106">
        <v>-6.4889865926151202E-2</v>
      </c>
      <c r="AF106">
        <v>5.93645124419494E-3</v>
      </c>
      <c r="AG106">
        <v>1000</v>
      </c>
      <c r="AH106">
        <v>1.8869547681921</v>
      </c>
      <c r="AI106">
        <v>2.2181424251987698</v>
      </c>
      <c r="AJ106">
        <v>2.1969562883646501</v>
      </c>
      <c r="AK106">
        <v>2.5156878273604502</v>
      </c>
      <c r="AL106">
        <v>-0.12307775915407899</v>
      </c>
      <c r="AM106">
        <v>-1.5091702211279799E-2</v>
      </c>
      <c r="AN106">
        <v>-8.0679512294638905E-2</v>
      </c>
      <c r="AO106">
        <v>9.7432650333814402E-2</v>
      </c>
      <c r="AP106">
        <v>1000</v>
      </c>
      <c r="AQ106">
        <v>1.88804086418298</v>
      </c>
      <c r="AR106">
        <v>2.21261208841997</v>
      </c>
      <c r="AS106">
        <v>9</v>
      </c>
    </row>
    <row r="107" spans="1:63" x14ac:dyDescent="0.3">
      <c r="A107" t="s">
        <v>444</v>
      </c>
      <c r="B107" t="s">
        <v>109</v>
      </c>
      <c r="C107" t="s">
        <v>25</v>
      </c>
      <c r="D107" t="s">
        <v>68</v>
      </c>
      <c r="E107" t="s">
        <v>314</v>
      </c>
      <c r="F107">
        <v>1</v>
      </c>
      <c r="G107" t="s">
        <v>24</v>
      </c>
      <c r="H107" t="s">
        <v>26</v>
      </c>
      <c r="I107" t="s">
        <v>32</v>
      </c>
      <c r="J107" t="s">
        <v>28</v>
      </c>
      <c r="K107" t="s">
        <v>111</v>
      </c>
      <c r="L107">
        <v>10</v>
      </c>
      <c r="M107">
        <v>332</v>
      </c>
      <c r="N107">
        <v>42</v>
      </c>
      <c r="O107">
        <v>42</v>
      </c>
      <c r="P107" t="b">
        <v>1</v>
      </c>
      <c r="Q107" t="s">
        <v>248</v>
      </c>
      <c r="R107">
        <v>2.0186661373835899</v>
      </c>
      <c r="S107">
        <v>42</v>
      </c>
      <c r="T107">
        <v>0</v>
      </c>
      <c r="U107" t="s">
        <v>445</v>
      </c>
      <c r="V107" t="s">
        <v>311</v>
      </c>
      <c r="W107">
        <v>0.80952380952380898</v>
      </c>
      <c r="X107" t="b">
        <v>0</v>
      </c>
      <c r="Y107">
        <v>12.637676201527899</v>
      </c>
      <c r="Z107">
        <v>1.09745339979417</v>
      </c>
      <c r="AA107">
        <v>444.89364830008702</v>
      </c>
      <c r="AB107">
        <v>332</v>
      </c>
      <c r="AC107">
        <v>2.0173089200927601</v>
      </c>
      <c r="AD107">
        <v>2.3249089375612302</v>
      </c>
      <c r="AE107">
        <v>-3.8086815721163299E-2</v>
      </c>
      <c r="AF107">
        <v>8.1032526381603395E-2</v>
      </c>
      <c r="AG107">
        <v>1000</v>
      </c>
      <c r="AH107">
        <v>1.8568855022211701</v>
      </c>
      <c r="AI107">
        <v>2.1966264269000799</v>
      </c>
      <c r="AJ107">
        <v>2.15188729837076</v>
      </c>
      <c r="AK107">
        <v>2.4993599659547598</v>
      </c>
      <c r="AL107">
        <v>-8.2657065171876903E-2</v>
      </c>
      <c r="AM107">
        <v>-2.2606353300914199E-3</v>
      </c>
      <c r="AN107">
        <v>-2.3221284000466299E-2</v>
      </c>
      <c r="AO107">
        <v>0.18877881289935999</v>
      </c>
      <c r="AP107">
        <v>1000</v>
      </c>
      <c r="AQ107">
        <v>1.85909437229053</v>
      </c>
      <c r="AR107">
        <v>2.1960515857134699</v>
      </c>
      <c r="AS107">
        <v>4</v>
      </c>
    </row>
    <row r="108" spans="1:63" x14ac:dyDescent="0.3">
      <c r="A108" t="s">
        <v>446</v>
      </c>
      <c r="B108" t="s">
        <v>109</v>
      </c>
      <c r="C108" t="s">
        <v>25</v>
      </c>
      <c r="D108" t="s">
        <v>68</v>
      </c>
      <c r="E108" t="s">
        <v>319</v>
      </c>
      <c r="F108">
        <v>2</v>
      </c>
      <c r="G108" t="s">
        <v>24</v>
      </c>
      <c r="H108" t="s">
        <v>26</v>
      </c>
      <c r="I108" t="s">
        <v>33</v>
      </c>
      <c r="J108" t="s">
        <v>28</v>
      </c>
      <c r="K108" t="s">
        <v>111</v>
      </c>
      <c r="L108">
        <v>10</v>
      </c>
      <c r="M108">
        <v>332</v>
      </c>
      <c r="N108">
        <v>42</v>
      </c>
      <c r="O108">
        <v>42</v>
      </c>
      <c r="P108" t="b">
        <v>1</v>
      </c>
      <c r="Q108" t="s">
        <v>248</v>
      </c>
      <c r="R108">
        <v>2.0360376786457901</v>
      </c>
      <c r="S108">
        <v>42</v>
      </c>
      <c r="T108">
        <v>0</v>
      </c>
      <c r="U108" t="s">
        <v>447</v>
      </c>
      <c r="V108" t="s">
        <v>311</v>
      </c>
      <c r="W108">
        <v>1</v>
      </c>
      <c r="X108" t="b">
        <v>0</v>
      </c>
      <c r="Y108">
        <v>14.1818148975726</v>
      </c>
      <c r="Z108">
        <v>1.2555835004895901</v>
      </c>
      <c r="AA108">
        <v>476.066350699868</v>
      </c>
      <c r="AB108">
        <v>332</v>
      </c>
      <c r="AC108">
        <v>2.03401036318582</v>
      </c>
      <c r="AD108">
        <v>2.31637306436417</v>
      </c>
      <c r="AE108">
        <v>-3.04781642153477E-2</v>
      </c>
      <c r="AF108">
        <v>-7.2316363454397098E-2</v>
      </c>
      <c r="AG108">
        <v>1000</v>
      </c>
      <c r="AH108">
        <v>1.8748717603988501</v>
      </c>
      <c r="AI108">
        <v>2.1996276861536499</v>
      </c>
      <c r="AJ108">
        <v>2.1524848502389302</v>
      </c>
      <c r="AK108">
        <v>2.4759887852327198</v>
      </c>
      <c r="AL108">
        <v>-5.6070699046014499E-2</v>
      </c>
      <c r="AM108">
        <v>-1.3491839773035001E-2</v>
      </c>
      <c r="AN108">
        <v>-0.14972267512038301</v>
      </c>
      <c r="AO108">
        <v>3.4043881073140899E-3</v>
      </c>
      <c r="AP108">
        <v>1000</v>
      </c>
      <c r="AQ108">
        <v>1.8763271117986999</v>
      </c>
      <c r="AR108">
        <v>2.2007836385777799</v>
      </c>
      <c r="AS108">
        <v>6</v>
      </c>
    </row>
    <row r="109" spans="1:63" x14ac:dyDescent="0.3">
      <c r="A109" t="s">
        <v>448</v>
      </c>
      <c r="B109" t="s">
        <v>109</v>
      </c>
      <c r="C109" t="s">
        <v>25</v>
      </c>
      <c r="D109" t="s">
        <v>68</v>
      </c>
      <c r="E109" t="s">
        <v>323</v>
      </c>
      <c r="F109">
        <v>3</v>
      </c>
      <c r="G109" t="s">
        <v>24</v>
      </c>
      <c r="H109" t="s">
        <v>26</v>
      </c>
      <c r="I109" t="s">
        <v>34</v>
      </c>
      <c r="J109" t="s">
        <v>28</v>
      </c>
      <c r="K109" t="s">
        <v>111</v>
      </c>
      <c r="L109">
        <v>10</v>
      </c>
      <c r="M109">
        <v>332</v>
      </c>
      <c r="N109">
        <v>42</v>
      </c>
      <c r="O109">
        <v>42</v>
      </c>
      <c r="P109" t="b">
        <v>1</v>
      </c>
      <c r="Q109" t="s">
        <v>248</v>
      </c>
      <c r="R109">
        <v>2.0112276989074198</v>
      </c>
      <c r="S109">
        <v>42</v>
      </c>
      <c r="T109">
        <v>0</v>
      </c>
      <c r="U109" t="s">
        <v>449</v>
      </c>
      <c r="V109" t="s">
        <v>325</v>
      </c>
      <c r="W109">
        <v>0.97619047619047605</v>
      </c>
      <c r="X109" t="b">
        <v>0</v>
      </c>
      <c r="Y109">
        <v>15.2070291996933</v>
      </c>
      <c r="Z109">
        <v>1.4170690004248101</v>
      </c>
      <c r="AA109">
        <v>507.34038270008699</v>
      </c>
      <c r="AB109">
        <v>332</v>
      </c>
      <c r="AC109">
        <v>2.0108771536005898</v>
      </c>
      <c r="AD109">
        <v>2.3171966055082698</v>
      </c>
      <c r="AE109">
        <v>-3.12110271883012E-2</v>
      </c>
      <c r="AF109">
        <v>7.2689419133677102E-2</v>
      </c>
      <c r="AG109">
        <v>1000</v>
      </c>
      <c r="AH109">
        <v>1.85746128072441</v>
      </c>
      <c r="AI109">
        <v>2.1721210777471001</v>
      </c>
      <c r="AJ109">
        <v>2.1521406533298402</v>
      </c>
      <c r="AK109">
        <v>2.4787958416941298</v>
      </c>
      <c r="AL109">
        <v>-9.2184770776046504E-2</v>
      </c>
      <c r="AM109">
        <v>1.9129904863697401E-2</v>
      </c>
      <c r="AN109">
        <v>-2.9832237302063101E-2</v>
      </c>
      <c r="AO109">
        <v>0.170483900680163</v>
      </c>
      <c r="AP109">
        <v>1000</v>
      </c>
      <c r="AQ109">
        <v>1.85728409400963</v>
      </c>
      <c r="AR109">
        <v>2.1721042787478</v>
      </c>
      <c r="AS109">
        <v>3</v>
      </c>
    </row>
    <row r="110" spans="1:63" x14ac:dyDescent="0.3">
      <c r="A110" t="s">
        <v>450</v>
      </c>
      <c r="B110" t="s">
        <v>109</v>
      </c>
      <c r="C110" t="s">
        <v>25</v>
      </c>
      <c r="D110" t="s">
        <v>68</v>
      </c>
      <c r="E110" t="s">
        <v>328</v>
      </c>
      <c r="F110">
        <v>4</v>
      </c>
      <c r="G110" t="s">
        <v>24</v>
      </c>
      <c r="H110" t="s">
        <v>26</v>
      </c>
      <c r="I110" t="s">
        <v>35</v>
      </c>
      <c r="J110" t="s">
        <v>28</v>
      </c>
      <c r="K110" t="s">
        <v>111</v>
      </c>
      <c r="L110">
        <v>10</v>
      </c>
      <c r="M110">
        <v>332</v>
      </c>
      <c r="N110">
        <v>42</v>
      </c>
      <c r="O110">
        <v>42</v>
      </c>
      <c r="P110" t="b">
        <v>1</v>
      </c>
      <c r="Q110" t="s">
        <v>248</v>
      </c>
      <c r="R110">
        <v>2.0416764720464999</v>
      </c>
      <c r="S110">
        <v>42</v>
      </c>
      <c r="T110">
        <v>0</v>
      </c>
      <c r="U110" t="s">
        <v>447</v>
      </c>
      <c r="V110" t="s">
        <v>311</v>
      </c>
      <c r="W110">
        <v>1</v>
      </c>
      <c r="X110" t="b">
        <v>0</v>
      </c>
      <c r="Y110">
        <v>14.858357702149</v>
      </c>
      <c r="Z110">
        <v>1.3436492993496301</v>
      </c>
      <c r="AA110">
        <v>538.30113149993099</v>
      </c>
      <c r="AB110">
        <v>332</v>
      </c>
      <c r="AC110">
        <v>2.03979192885161</v>
      </c>
      <c r="AD110">
        <v>2.3132874604502298</v>
      </c>
      <c r="AE110">
        <v>-2.7734625424825798E-2</v>
      </c>
      <c r="AF110">
        <v>-0.13081791568704401</v>
      </c>
      <c r="AG110">
        <v>1000</v>
      </c>
      <c r="AH110">
        <v>1.86669051809716</v>
      </c>
      <c r="AI110">
        <v>2.2260171614250401</v>
      </c>
      <c r="AJ110">
        <v>2.1401352206371</v>
      </c>
      <c r="AK110">
        <v>2.4923437130405102</v>
      </c>
      <c r="AL110">
        <v>-4.9316323350718401E-2</v>
      </c>
      <c r="AM110">
        <v>-1.2579256333279E-2</v>
      </c>
      <c r="AN110">
        <v>-0.21428014003141399</v>
      </c>
      <c r="AO110">
        <v>-4.4363972311317001E-2</v>
      </c>
      <c r="AP110">
        <v>1000</v>
      </c>
      <c r="AQ110">
        <v>1.8693176628341099</v>
      </c>
      <c r="AR110">
        <v>2.22793070846495</v>
      </c>
      <c r="AS110">
        <v>7</v>
      </c>
    </row>
    <row r="111" spans="1:63" x14ac:dyDescent="0.3">
      <c r="A111" t="s">
        <v>451</v>
      </c>
      <c r="B111" t="s">
        <v>109</v>
      </c>
      <c r="C111" t="s">
        <v>25</v>
      </c>
      <c r="D111" t="s">
        <v>68</v>
      </c>
      <c r="E111" t="s">
        <v>332</v>
      </c>
      <c r="F111">
        <v>5</v>
      </c>
      <c r="G111" t="s">
        <v>24</v>
      </c>
      <c r="H111" t="s">
        <v>36</v>
      </c>
      <c r="I111" t="s">
        <v>27</v>
      </c>
      <c r="J111" t="s">
        <v>28</v>
      </c>
      <c r="K111" t="s">
        <v>111</v>
      </c>
      <c r="L111">
        <v>10</v>
      </c>
      <c r="M111">
        <v>332</v>
      </c>
      <c r="N111">
        <v>42</v>
      </c>
      <c r="O111">
        <v>42</v>
      </c>
      <c r="P111" t="b">
        <v>1</v>
      </c>
      <c r="Q111" t="s">
        <v>248</v>
      </c>
      <c r="R111">
        <v>2.0417579970018802</v>
      </c>
      <c r="S111">
        <v>42</v>
      </c>
      <c r="T111">
        <v>0</v>
      </c>
      <c r="U111" t="s">
        <v>452</v>
      </c>
      <c r="V111" t="s">
        <v>311</v>
      </c>
      <c r="W111">
        <v>0.69047619047619002</v>
      </c>
      <c r="X111" t="b">
        <v>0</v>
      </c>
      <c r="Y111">
        <v>6.2901745955459702</v>
      </c>
      <c r="Z111">
        <v>0.46745020034722901</v>
      </c>
      <c r="AA111">
        <v>568.97593940002798</v>
      </c>
      <c r="AB111">
        <v>332</v>
      </c>
      <c r="AC111">
        <v>2.0401838399978698</v>
      </c>
      <c r="AD111">
        <v>2.3211438289860302</v>
      </c>
      <c r="AE111">
        <v>-3.4727247816017402E-2</v>
      </c>
      <c r="AF111">
        <v>-2.70217105047252E-2</v>
      </c>
      <c r="AG111">
        <v>1000</v>
      </c>
      <c r="AH111">
        <v>1.8840669074990399</v>
      </c>
      <c r="AI111">
        <v>2.2006140816784101</v>
      </c>
      <c r="AJ111">
        <v>2.16321540080081</v>
      </c>
      <c r="AK111">
        <v>2.4771640456519801</v>
      </c>
      <c r="AL111">
        <v>-6.9287362498928098E-2</v>
      </c>
      <c r="AM111">
        <v>-5.6751318619163403E-3</v>
      </c>
      <c r="AN111">
        <v>-0.108125482237461</v>
      </c>
      <c r="AO111">
        <v>6.5698774618415501E-2</v>
      </c>
      <c r="AP111">
        <v>1000</v>
      </c>
      <c r="AQ111">
        <v>1.8869141623271199</v>
      </c>
      <c r="AR111">
        <v>2.20163049872746</v>
      </c>
      <c r="AS111">
        <v>8</v>
      </c>
    </row>
    <row r="112" spans="1:63" x14ac:dyDescent="0.3">
      <c r="A112" t="s">
        <v>453</v>
      </c>
      <c r="B112" t="s">
        <v>109</v>
      </c>
      <c r="C112" t="s">
        <v>25</v>
      </c>
      <c r="D112" t="s">
        <v>68</v>
      </c>
      <c r="E112" t="s">
        <v>336</v>
      </c>
      <c r="F112">
        <v>6</v>
      </c>
      <c r="G112" t="s">
        <v>24</v>
      </c>
      <c r="H112" t="s">
        <v>36</v>
      </c>
      <c r="I112" t="s">
        <v>32</v>
      </c>
      <c r="J112" t="s">
        <v>28</v>
      </c>
      <c r="K112" t="s">
        <v>111</v>
      </c>
      <c r="L112">
        <v>10</v>
      </c>
      <c r="M112">
        <v>332</v>
      </c>
      <c r="N112">
        <v>42</v>
      </c>
      <c r="O112">
        <v>42</v>
      </c>
      <c r="P112" t="b">
        <v>1</v>
      </c>
      <c r="Q112" t="s">
        <v>248</v>
      </c>
      <c r="R112">
        <v>1.99487231995173</v>
      </c>
      <c r="S112">
        <v>42</v>
      </c>
      <c r="T112">
        <v>0</v>
      </c>
      <c r="U112" t="s">
        <v>454</v>
      </c>
      <c r="V112" t="s">
        <v>325</v>
      </c>
      <c r="W112">
        <v>0.88095238095238004</v>
      </c>
      <c r="X112" t="b">
        <v>0</v>
      </c>
      <c r="Y112">
        <v>6.7199021026026404</v>
      </c>
      <c r="Z112">
        <v>0.50386990094557405</v>
      </c>
      <c r="AA112">
        <v>600.270442599896</v>
      </c>
      <c r="AB112">
        <v>332</v>
      </c>
      <c r="AC112">
        <v>1.9950575083238899</v>
      </c>
      <c r="AD112">
        <v>2.3037300713473101</v>
      </c>
      <c r="AE112">
        <v>-1.92599597880771E-2</v>
      </c>
      <c r="AF112">
        <v>0.14775669582911799</v>
      </c>
      <c r="AG112">
        <v>1000</v>
      </c>
      <c r="AH112">
        <v>1.83889411532474</v>
      </c>
      <c r="AI112">
        <v>2.1682882233819498</v>
      </c>
      <c r="AJ112">
        <v>2.1472405985359599</v>
      </c>
      <c r="AK112">
        <v>2.4678450331958</v>
      </c>
      <c r="AL112">
        <v>-7.6240737221143703E-2</v>
      </c>
      <c r="AM112">
        <v>2.6180702357609099E-2</v>
      </c>
      <c r="AN112">
        <v>4.7576747209440502E-2</v>
      </c>
      <c r="AO112">
        <v>0.23799677200812</v>
      </c>
      <c r="AP112">
        <v>1000</v>
      </c>
      <c r="AQ112">
        <v>1.83937226987678</v>
      </c>
      <c r="AR112">
        <v>2.1680015399137198</v>
      </c>
      <c r="AS112">
        <v>2</v>
      </c>
    </row>
    <row r="113" spans="1:63" x14ac:dyDescent="0.3">
      <c r="A113" t="s">
        <v>455</v>
      </c>
      <c r="B113" t="s">
        <v>109</v>
      </c>
      <c r="C113" t="s">
        <v>25</v>
      </c>
      <c r="D113" t="s">
        <v>68</v>
      </c>
      <c r="E113" t="s">
        <v>340</v>
      </c>
      <c r="F113">
        <v>7</v>
      </c>
      <c r="G113" t="s">
        <v>24</v>
      </c>
      <c r="H113" t="s">
        <v>36</v>
      </c>
      <c r="I113" t="s">
        <v>33</v>
      </c>
      <c r="J113" t="s">
        <v>28</v>
      </c>
      <c r="K113" t="s">
        <v>111</v>
      </c>
      <c r="L113">
        <v>10</v>
      </c>
      <c r="M113">
        <v>332</v>
      </c>
      <c r="N113">
        <v>42</v>
      </c>
      <c r="O113">
        <v>42</v>
      </c>
      <c r="P113" t="b">
        <v>1</v>
      </c>
      <c r="Q113" t="s">
        <v>248</v>
      </c>
      <c r="R113">
        <v>2.0568890940392501</v>
      </c>
      <c r="S113">
        <v>42</v>
      </c>
      <c r="T113">
        <v>0</v>
      </c>
      <c r="U113" t="s">
        <v>456</v>
      </c>
      <c r="V113" t="s">
        <v>325</v>
      </c>
      <c r="W113">
        <v>0.52380952380952295</v>
      </c>
      <c r="X113" t="b">
        <v>0</v>
      </c>
      <c r="Y113">
        <v>7.0266156983561796</v>
      </c>
      <c r="Z113">
        <v>0.54303729976527304</v>
      </c>
      <c r="AA113">
        <v>630.62866570008896</v>
      </c>
      <c r="AB113">
        <v>332</v>
      </c>
      <c r="AC113">
        <v>2.05601487546621</v>
      </c>
      <c r="AD113">
        <v>2.34226027783459</v>
      </c>
      <c r="AE113">
        <v>-5.3639607408372703E-2</v>
      </c>
      <c r="AF113">
        <v>5.5007341273925599E-2</v>
      </c>
      <c r="AG113">
        <v>1000</v>
      </c>
      <c r="AH113">
        <v>1.8870138859955401</v>
      </c>
      <c r="AI113">
        <v>2.2307271036929501</v>
      </c>
      <c r="AJ113">
        <v>2.1724916513660801</v>
      </c>
      <c r="AK113">
        <v>2.5136125171638102</v>
      </c>
      <c r="AL113">
        <v>-9.82320894854114E-2</v>
      </c>
      <c r="AM113">
        <v>-1.62923350119367E-2</v>
      </c>
      <c r="AN113">
        <v>-4.0391607633625197E-2</v>
      </c>
      <c r="AO113">
        <v>0.14244787999073399</v>
      </c>
      <c r="AP113">
        <v>1000</v>
      </c>
      <c r="AQ113">
        <v>1.88632260356371</v>
      </c>
      <c r="AR113">
        <v>2.23078750716871</v>
      </c>
      <c r="AS113">
        <v>10</v>
      </c>
    </row>
    <row r="114" spans="1:63" x14ac:dyDescent="0.3">
      <c r="A114" t="s">
        <v>457</v>
      </c>
      <c r="B114" t="s">
        <v>109</v>
      </c>
      <c r="C114" t="s">
        <v>25</v>
      </c>
      <c r="D114" t="s">
        <v>68</v>
      </c>
      <c r="E114" t="s">
        <v>344</v>
      </c>
      <c r="F114">
        <v>8</v>
      </c>
      <c r="G114" t="s">
        <v>24</v>
      </c>
      <c r="H114" t="s">
        <v>36</v>
      </c>
      <c r="I114" t="s">
        <v>34</v>
      </c>
      <c r="J114" t="s">
        <v>28</v>
      </c>
      <c r="K114" t="s">
        <v>111</v>
      </c>
      <c r="L114">
        <v>10</v>
      </c>
      <c r="M114">
        <v>332</v>
      </c>
      <c r="N114">
        <v>42</v>
      </c>
      <c r="O114">
        <v>42</v>
      </c>
      <c r="P114" t="b">
        <v>1</v>
      </c>
      <c r="Q114" t="s">
        <v>248</v>
      </c>
      <c r="R114">
        <v>1.9797277355891401</v>
      </c>
      <c r="S114">
        <v>42</v>
      </c>
      <c r="T114">
        <v>0</v>
      </c>
      <c r="U114" t="s">
        <v>458</v>
      </c>
      <c r="V114" t="s">
        <v>325</v>
      </c>
      <c r="W114">
        <v>1</v>
      </c>
      <c r="X114" t="b">
        <v>0</v>
      </c>
      <c r="Y114">
        <v>7.9495822964236096</v>
      </c>
      <c r="Z114">
        <v>0.61566130002029196</v>
      </c>
      <c r="AA114">
        <v>658.26728260004802</v>
      </c>
      <c r="AB114">
        <v>332</v>
      </c>
      <c r="AC114">
        <v>1.97993411650027</v>
      </c>
      <c r="AD114">
        <v>2.27493496880858</v>
      </c>
      <c r="AE114">
        <v>6.0609487056654202E-3</v>
      </c>
      <c r="AF114">
        <v>0.15829626355606999</v>
      </c>
      <c r="AG114">
        <v>1000</v>
      </c>
      <c r="AH114">
        <v>1.8249886997120399</v>
      </c>
      <c r="AI114">
        <v>2.1499663196171799</v>
      </c>
      <c r="AJ114">
        <v>2.1162071721644402</v>
      </c>
      <c r="AK114">
        <v>2.43835386975478</v>
      </c>
      <c r="AL114">
        <v>-4.6612914591698203E-2</v>
      </c>
      <c r="AM114">
        <v>5.58219954315681E-2</v>
      </c>
      <c r="AN114">
        <v>6.5399191430522405E-2</v>
      </c>
      <c r="AO114">
        <v>0.251333618264866</v>
      </c>
      <c r="AP114">
        <v>1000</v>
      </c>
      <c r="AQ114">
        <v>1.8250098549615199</v>
      </c>
      <c r="AR114">
        <v>2.1423317864763098</v>
      </c>
      <c r="AS114">
        <v>1</v>
      </c>
    </row>
    <row r="115" spans="1:63" x14ac:dyDescent="0.3">
      <c r="A115" t="s">
        <v>459</v>
      </c>
      <c r="B115" t="s">
        <v>109</v>
      </c>
      <c r="C115" t="s">
        <v>25</v>
      </c>
      <c r="D115" t="s">
        <v>68</v>
      </c>
      <c r="E115" t="s">
        <v>347</v>
      </c>
      <c r="F115">
        <v>9</v>
      </c>
      <c r="G115" t="s">
        <v>24</v>
      </c>
      <c r="H115" t="s">
        <v>36</v>
      </c>
      <c r="I115" t="s">
        <v>35</v>
      </c>
      <c r="J115" t="s">
        <v>28</v>
      </c>
      <c r="K115" t="s">
        <v>111</v>
      </c>
      <c r="L115">
        <v>10</v>
      </c>
      <c r="M115">
        <v>332</v>
      </c>
      <c r="N115">
        <v>42</v>
      </c>
      <c r="O115">
        <v>42</v>
      </c>
      <c r="P115" t="b">
        <v>1</v>
      </c>
      <c r="Q115" t="s">
        <v>248</v>
      </c>
      <c r="R115">
        <v>2.0243090419873102</v>
      </c>
      <c r="S115">
        <v>42</v>
      </c>
      <c r="T115">
        <v>0</v>
      </c>
      <c r="U115" t="s">
        <v>460</v>
      </c>
      <c r="V115" t="s">
        <v>325</v>
      </c>
      <c r="W115">
        <v>0.71428571428571397</v>
      </c>
      <c r="X115" t="b">
        <v>0</v>
      </c>
      <c r="Y115">
        <v>7.7626260982360602</v>
      </c>
      <c r="Z115">
        <v>0.60799039970152002</v>
      </c>
      <c r="AA115">
        <v>682.744836899917</v>
      </c>
      <c r="AB115">
        <v>332</v>
      </c>
      <c r="AC115">
        <v>2.02253687362334</v>
      </c>
      <c r="AD115">
        <v>2.3107752639180599</v>
      </c>
      <c r="AE115">
        <v>-2.55036277916076E-2</v>
      </c>
      <c r="AF115">
        <v>8.2075394099058396E-2</v>
      </c>
      <c r="AG115">
        <v>1000</v>
      </c>
      <c r="AH115">
        <v>1.86351160275641</v>
      </c>
      <c r="AI115">
        <v>2.1751188149098701</v>
      </c>
      <c r="AJ115">
        <v>2.1443126729549</v>
      </c>
      <c r="AK115">
        <v>2.4661911777710901</v>
      </c>
      <c r="AL115">
        <v>-6.8727208543800197E-2</v>
      </c>
      <c r="AM115">
        <v>6.9776677678836203E-3</v>
      </c>
      <c r="AN115">
        <v>-4.6152872506124102E-3</v>
      </c>
      <c r="AO115">
        <v>0.16008666242584901</v>
      </c>
      <c r="AP115">
        <v>1000</v>
      </c>
      <c r="AQ115">
        <v>1.86207732473579</v>
      </c>
      <c r="AR115">
        <v>2.1794890326900598</v>
      </c>
      <c r="AS115">
        <v>5</v>
      </c>
    </row>
    <row r="116" spans="1:63" x14ac:dyDescent="0.3">
      <c r="A116" t="s">
        <v>461</v>
      </c>
      <c r="B116" t="s">
        <v>109</v>
      </c>
      <c r="C116" t="s">
        <v>37</v>
      </c>
      <c r="D116" t="s">
        <v>68</v>
      </c>
      <c r="E116" t="s">
        <v>309</v>
      </c>
      <c r="F116">
        <v>0</v>
      </c>
      <c r="G116" t="s">
        <v>24</v>
      </c>
      <c r="H116" t="s">
        <v>26</v>
      </c>
      <c r="I116" t="s">
        <v>27</v>
      </c>
      <c r="J116" t="s">
        <v>28</v>
      </c>
      <c r="K116" t="s">
        <v>111</v>
      </c>
      <c r="L116">
        <v>10</v>
      </c>
      <c r="M116">
        <v>332</v>
      </c>
      <c r="N116">
        <v>42</v>
      </c>
      <c r="O116">
        <v>42</v>
      </c>
      <c r="P116" t="b">
        <v>1</v>
      </c>
      <c r="Q116" t="s">
        <v>248</v>
      </c>
      <c r="R116">
        <v>1.7552565926271899</v>
      </c>
      <c r="S116">
        <v>42</v>
      </c>
      <c r="T116">
        <v>0</v>
      </c>
      <c r="U116" t="s">
        <v>462</v>
      </c>
      <c r="V116" t="s">
        <v>311</v>
      </c>
      <c r="W116">
        <v>0.88095238095238004</v>
      </c>
      <c r="X116" t="b">
        <v>0</v>
      </c>
      <c r="Y116">
        <v>14.707451602211201</v>
      </c>
      <c r="Z116">
        <v>1.11622829874977</v>
      </c>
      <c r="AA116">
        <v>443.02087779994997</v>
      </c>
      <c r="AB116">
        <v>332</v>
      </c>
      <c r="AC116">
        <v>1.75465395111621</v>
      </c>
      <c r="AD116">
        <v>2.0680666752568801</v>
      </c>
      <c r="AE116">
        <v>-7.3151022491437706E-2</v>
      </c>
      <c r="AF116">
        <v>-0.12822842004989199</v>
      </c>
      <c r="AG116">
        <v>1000</v>
      </c>
      <c r="AH116">
        <v>1.5961538834370299</v>
      </c>
      <c r="AI116">
        <v>1.93028483776517</v>
      </c>
      <c r="AJ116">
        <v>1.9075986692206399</v>
      </c>
      <c r="AK116">
        <v>2.2382841003699498</v>
      </c>
      <c r="AL116">
        <v>-0.17292862003336301</v>
      </c>
      <c r="AM116">
        <v>-2.3540177887157499E-2</v>
      </c>
      <c r="AN116">
        <v>-0.297332058416232</v>
      </c>
      <c r="AO116">
        <v>5.0499384831041799E-2</v>
      </c>
      <c r="AP116">
        <v>1000</v>
      </c>
      <c r="AQ116">
        <v>1.5910333284113001</v>
      </c>
      <c r="AR116">
        <v>1.9342653595044701</v>
      </c>
      <c r="AS116">
        <v>7</v>
      </c>
    </row>
    <row r="117" spans="1:63" x14ac:dyDescent="0.3">
      <c r="A117" t="s">
        <v>463</v>
      </c>
      <c r="B117" t="s">
        <v>109</v>
      </c>
      <c r="C117" t="s">
        <v>37</v>
      </c>
      <c r="D117" t="s">
        <v>68</v>
      </c>
      <c r="E117" t="s">
        <v>314</v>
      </c>
      <c r="F117">
        <v>1</v>
      </c>
      <c r="G117" t="s">
        <v>24</v>
      </c>
      <c r="H117" t="s">
        <v>26</v>
      </c>
      <c r="I117" t="s">
        <v>32</v>
      </c>
      <c r="J117" t="s">
        <v>28</v>
      </c>
      <c r="K117" t="s">
        <v>111</v>
      </c>
      <c r="L117">
        <v>10</v>
      </c>
      <c r="M117">
        <v>332</v>
      </c>
      <c r="N117">
        <v>42</v>
      </c>
      <c r="O117">
        <v>42</v>
      </c>
      <c r="P117" t="b">
        <v>1</v>
      </c>
      <c r="Q117" t="s">
        <v>248</v>
      </c>
      <c r="R117">
        <v>1.7070786861518501</v>
      </c>
      <c r="S117">
        <v>42</v>
      </c>
      <c r="T117">
        <v>0</v>
      </c>
      <c r="U117" t="s">
        <v>458</v>
      </c>
      <c r="V117" t="s">
        <v>325</v>
      </c>
      <c r="W117">
        <v>1</v>
      </c>
      <c r="X117" t="b">
        <v>0</v>
      </c>
      <c r="Y117">
        <v>13.6973673019092</v>
      </c>
      <c r="Z117">
        <v>1.1782376000192001</v>
      </c>
      <c r="AA117">
        <v>473.64053520001403</v>
      </c>
      <c r="AB117">
        <v>332</v>
      </c>
      <c r="AC117">
        <v>1.7058836311401899</v>
      </c>
      <c r="AD117">
        <v>2.02895632172714</v>
      </c>
      <c r="AE117">
        <v>-3.2944925671253199E-2</v>
      </c>
      <c r="AF117">
        <v>0.103731634218688</v>
      </c>
      <c r="AG117">
        <v>1000</v>
      </c>
      <c r="AH117">
        <v>1.56208963847639</v>
      </c>
      <c r="AI117">
        <v>1.86527526129313</v>
      </c>
      <c r="AJ117">
        <v>1.87985468896705</v>
      </c>
      <c r="AK117">
        <v>2.1869317923144198</v>
      </c>
      <c r="AL117">
        <v>-0.146762354554967</v>
      </c>
      <c r="AM117">
        <v>3.51245138009866E-2</v>
      </c>
      <c r="AN117">
        <v>-2.3110535213744499E-2</v>
      </c>
      <c r="AO117">
        <v>0.23510866812009401</v>
      </c>
      <c r="AP117">
        <v>1000</v>
      </c>
      <c r="AQ117">
        <v>1.56654859093072</v>
      </c>
      <c r="AR117">
        <v>1.8666275684531499</v>
      </c>
      <c r="AS117">
        <v>2</v>
      </c>
    </row>
    <row r="118" spans="1:63" x14ac:dyDescent="0.3">
      <c r="A118" t="s">
        <v>464</v>
      </c>
      <c r="B118" t="s">
        <v>109</v>
      </c>
      <c r="C118" t="s">
        <v>37</v>
      </c>
      <c r="D118" t="s">
        <v>68</v>
      </c>
      <c r="E118" t="s">
        <v>319</v>
      </c>
      <c r="F118">
        <v>2</v>
      </c>
      <c r="G118" t="s">
        <v>24</v>
      </c>
      <c r="H118" t="s">
        <v>26</v>
      </c>
      <c r="I118" t="s">
        <v>33</v>
      </c>
      <c r="J118" t="s">
        <v>28</v>
      </c>
      <c r="K118" t="s">
        <v>111</v>
      </c>
      <c r="L118">
        <v>10</v>
      </c>
      <c r="M118">
        <v>332</v>
      </c>
      <c r="N118">
        <v>42</v>
      </c>
      <c r="O118">
        <v>42</v>
      </c>
      <c r="P118" t="b">
        <v>1</v>
      </c>
      <c r="Q118" t="s">
        <v>248</v>
      </c>
      <c r="R118">
        <v>1.7445290147794601</v>
      </c>
      <c r="S118">
        <v>42</v>
      </c>
      <c r="T118">
        <v>0</v>
      </c>
      <c r="U118" t="s">
        <v>465</v>
      </c>
      <c r="V118" t="s">
        <v>311</v>
      </c>
      <c r="W118">
        <v>0.85714285714285698</v>
      </c>
      <c r="X118" t="b">
        <v>0</v>
      </c>
      <c r="Y118">
        <v>16.0447485048789</v>
      </c>
      <c r="Z118">
        <v>1.36634489940479</v>
      </c>
      <c r="AA118">
        <v>507.961003100033</v>
      </c>
      <c r="AB118">
        <v>332</v>
      </c>
      <c r="AC118">
        <v>1.7434524644007801</v>
      </c>
      <c r="AD118">
        <v>2.0653337957716702</v>
      </c>
      <c r="AE118">
        <v>-7.03166316505172E-2</v>
      </c>
      <c r="AF118">
        <v>-1.0043707037923901E-2</v>
      </c>
      <c r="AG118">
        <v>1000</v>
      </c>
      <c r="AH118">
        <v>1.5883289598365999</v>
      </c>
      <c r="AI118">
        <v>1.9132435275091999</v>
      </c>
      <c r="AJ118">
        <v>1.9149601383231101</v>
      </c>
      <c r="AK118">
        <v>2.2260652752974401</v>
      </c>
      <c r="AL118">
        <v>-0.18085086907544501</v>
      </c>
      <c r="AM118">
        <v>-2.1914419650328198E-3</v>
      </c>
      <c r="AN118">
        <v>-0.164736915427067</v>
      </c>
      <c r="AO118">
        <v>0.167104571500064</v>
      </c>
      <c r="AP118">
        <v>1000</v>
      </c>
      <c r="AQ118">
        <v>1.5848206475357001</v>
      </c>
      <c r="AR118">
        <v>1.9144786894028201</v>
      </c>
      <c r="AS118">
        <v>5</v>
      </c>
    </row>
    <row r="119" spans="1:63" x14ac:dyDescent="0.3">
      <c r="A119" t="s">
        <v>466</v>
      </c>
      <c r="B119" t="s">
        <v>109</v>
      </c>
      <c r="C119" t="s">
        <v>37</v>
      </c>
      <c r="D119" t="s">
        <v>68</v>
      </c>
      <c r="E119" t="s">
        <v>323</v>
      </c>
      <c r="F119">
        <v>3</v>
      </c>
      <c r="G119" t="s">
        <v>24</v>
      </c>
      <c r="H119" t="s">
        <v>26</v>
      </c>
      <c r="I119" t="s">
        <v>34</v>
      </c>
      <c r="J119" t="s">
        <v>28</v>
      </c>
      <c r="K119" t="s">
        <v>111</v>
      </c>
      <c r="L119">
        <v>10</v>
      </c>
      <c r="M119">
        <v>332</v>
      </c>
      <c r="N119">
        <v>42</v>
      </c>
      <c r="O119">
        <v>42</v>
      </c>
      <c r="P119" t="b">
        <v>1</v>
      </c>
      <c r="Q119" t="s">
        <v>248</v>
      </c>
      <c r="R119">
        <v>1.7639257248272799</v>
      </c>
      <c r="S119">
        <v>42</v>
      </c>
      <c r="T119">
        <v>0</v>
      </c>
      <c r="U119" t="s">
        <v>467</v>
      </c>
      <c r="V119" t="s">
        <v>325</v>
      </c>
      <c r="W119">
        <v>0.64285714285714202</v>
      </c>
      <c r="X119" t="b">
        <v>0</v>
      </c>
      <c r="Y119">
        <v>16.746682494645899</v>
      </c>
      <c r="Z119">
        <v>1.4555396991781799</v>
      </c>
      <c r="AA119">
        <v>532.63952620001498</v>
      </c>
      <c r="AB119">
        <v>332</v>
      </c>
      <c r="AC119">
        <v>1.76312238620038</v>
      </c>
      <c r="AD119">
        <v>2.0720577758597201</v>
      </c>
      <c r="AE119">
        <v>-7.7297104059610197E-2</v>
      </c>
      <c r="AF119">
        <v>-7.7679252378823199E-2</v>
      </c>
      <c r="AG119">
        <v>1000</v>
      </c>
      <c r="AH119">
        <v>1.61880306562844</v>
      </c>
      <c r="AI119">
        <v>1.91408141564599</v>
      </c>
      <c r="AJ119">
        <v>1.93638252613565</v>
      </c>
      <c r="AK119">
        <v>2.21764754053636</v>
      </c>
      <c r="AL119">
        <v>-0.16916904920016301</v>
      </c>
      <c r="AM119">
        <v>-2.26223640296664E-2</v>
      </c>
      <c r="AN119">
        <v>-0.211291627785342</v>
      </c>
      <c r="AO119">
        <v>6.0212437893705999E-2</v>
      </c>
      <c r="AP119">
        <v>1000</v>
      </c>
      <c r="AQ119">
        <v>1.62053603051787</v>
      </c>
      <c r="AR119">
        <v>1.9176306287279701</v>
      </c>
      <c r="AS119">
        <v>8</v>
      </c>
    </row>
    <row r="120" spans="1:63" x14ac:dyDescent="0.3">
      <c r="A120" t="s">
        <v>468</v>
      </c>
      <c r="B120" t="s">
        <v>109</v>
      </c>
      <c r="C120" t="s">
        <v>37</v>
      </c>
      <c r="D120" t="s">
        <v>68</v>
      </c>
      <c r="E120" t="s">
        <v>328</v>
      </c>
      <c r="F120">
        <v>4</v>
      </c>
      <c r="G120" t="s">
        <v>24</v>
      </c>
      <c r="H120" t="s">
        <v>26</v>
      </c>
      <c r="I120" t="s">
        <v>35</v>
      </c>
      <c r="J120" t="s">
        <v>28</v>
      </c>
      <c r="K120" t="s">
        <v>111</v>
      </c>
      <c r="L120">
        <v>10</v>
      </c>
      <c r="M120">
        <v>332</v>
      </c>
      <c r="N120">
        <v>42</v>
      </c>
      <c r="O120">
        <v>42</v>
      </c>
      <c r="P120" t="b">
        <v>1</v>
      </c>
      <c r="Q120" t="s">
        <v>248</v>
      </c>
      <c r="R120">
        <v>1.7060498663567101</v>
      </c>
      <c r="S120">
        <v>42</v>
      </c>
      <c r="T120">
        <v>0</v>
      </c>
      <c r="U120" t="s">
        <v>469</v>
      </c>
      <c r="V120" t="s">
        <v>311</v>
      </c>
      <c r="W120">
        <v>0.97619047619047605</v>
      </c>
      <c r="X120" t="b">
        <v>0</v>
      </c>
      <c r="Y120">
        <v>16.564703197916899</v>
      </c>
      <c r="Z120">
        <v>1.42070420039817</v>
      </c>
      <c r="AA120">
        <v>557.320943000027</v>
      </c>
      <c r="AB120">
        <v>332</v>
      </c>
      <c r="AC120">
        <v>1.7043628619306199</v>
      </c>
      <c r="AD120">
        <v>2.01458109074628</v>
      </c>
      <c r="AE120">
        <v>-1.83598707728767E-2</v>
      </c>
      <c r="AF120">
        <v>-3.1540615995860798E-2</v>
      </c>
      <c r="AG120">
        <v>1000</v>
      </c>
      <c r="AH120">
        <v>1.55062818486174</v>
      </c>
      <c r="AI120">
        <v>1.85636376133968</v>
      </c>
      <c r="AJ120">
        <v>1.8664324556965199</v>
      </c>
      <c r="AK120">
        <v>2.16583431667316</v>
      </c>
      <c r="AL120">
        <v>-9.7957996283606005E-2</v>
      </c>
      <c r="AM120">
        <v>1.26708284334293E-2</v>
      </c>
      <c r="AN120">
        <v>-0.179272846896881</v>
      </c>
      <c r="AO120">
        <v>0.122888551205024</v>
      </c>
      <c r="AP120">
        <v>1000</v>
      </c>
      <c r="AQ120">
        <v>1.5506585982005601</v>
      </c>
      <c r="AR120">
        <v>1.85871679844015</v>
      </c>
      <c r="AS120">
        <v>1</v>
      </c>
    </row>
    <row r="121" spans="1:63" x14ac:dyDescent="0.3">
      <c r="A121" t="s">
        <v>470</v>
      </c>
      <c r="B121" t="s">
        <v>109</v>
      </c>
      <c r="C121" t="s">
        <v>37</v>
      </c>
      <c r="D121" t="s">
        <v>68</v>
      </c>
      <c r="E121" t="s">
        <v>332</v>
      </c>
      <c r="F121">
        <v>5</v>
      </c>
      <c r="G121" t="s">
        <v>24</v>
      </c>
      <c r="H121" t="s">
        <v>36</v>
      </c>
      <c r="I121" t="s">
        <v>27</v>
      </c>
      <c r="J121" t="s">
        <v>28</v>
      </c>
      <c r="K121" t="s">
        <v>111</v>
      </c>
      <c r="L121">
        <v>10</v>
      </c>
      <c r="M121">
        <v>332</v>
      </c>
      <c r="N121">
        <v>42</v>
      </c>
      <c r="O121">
        <v>42</v>
      </c>
      <c r="P121" t="b">
        <v>1</v>
      </c>
      <c r="Q121" t="s">
        <v>248</v>
      </c>
      <c r="R121">
        <v>1.7544239977737801</v>
      </c>
      <c r="S121">
        <v>42</v>
      </c>
      <c r="T121">
        <v>0</v>
      </c>
      <c r="U121" t="s">
        <v>471</v>
      </c>
      <c r="V121" t="s">
        <v>311</v>
      </c>
      <c r="W121">
        <v>0.64285714285714202</v>
      </c>
      <c r="X121" t="b">
        <v>0</v>
      </c>
      <c r="Y121">
        <v>6.7341471968684301</v>
      </c>
      <c r="Z121">
        <v>0.52141710021533005</v>
      </c>
      <c r="AA121">
        <v>581.98785250005301</v>
      </c>
      <c r="AB121">
        <v>332</v>
      </c>
      <c r="AC121">
        <v>1.7524708036320999</v>
      </c>
      <c r="AD121">
        <v>2.0824205700934502</v>
      </c>
      <c r="AE121">
        <v>-8.8099625705536602E-2</v>
      </c>
      <c r="AF121">
        <v>-0.171682406820207</v>
      </c>
      <c r="AG121">
        <v>1000</v>
      </c>
      <c r="AH121">
        <v>1.59671717512642</v>
      </c>
      <c r="AI121">
        <v>1.90179913593436</v>
      </c>
      <c r="AJ121">
        <v>1.9409822254373199</v>
      </c>
      <c r="AK121">
        <v>2.2172416164752602</v>
      </c>
      <c r="AL121">
        <v>-0.204590274210909</v>
      </c>
      <c r="AM121">
        <v>-2.8490996035414301E-2</v>
      </c>
      <c r="AN121">
        <v>-0.315741870729357</v>
      </c>
      <c r="AO121">
        <v>-3.3728580103808102E-2</v>
      </c>
      <c r="AP121">
        <v>1000</v>
      </c>
      <c r="AQ121">
        <v>1.5967372441219301</v>
      </c>
      <c r="AR121">
        <v>1.9059065474931001</v>
      </c>
      <c r="AS121">
        <v>6</v>
      </c>
    </row>
    <row r="122" spans="1:63" x14ac:dyDescent="0.3">
      <c r="A122" t="s">
        <v>472</v>
      </c>
      <c r="B122" t="s">
        <v>109</v>
      </c>
      <c r="C122" t="s">
        <v>37</v>
      </c>
      <c r="D122" t="s">
        <v>68</v>
      </c>
      <c r="E122" t="s">
        <v>336</v>
      </c>
      <c r="F122">
        <v>6</v>
      </c>
      <c r="G122" t="s">
        <v>24</v>
      </c>
      <c r="H122" t="s">
        <v>36</v>
      </c>
      <c r="I122" t="s">
        <v>32</v>
      </c>
      <c r="J122" t="s">
        <v>28</v>
      </c>
      <c r="K122" t="s">
        <v>111</v>
      </c>
      <c r="L122">
        <v>10</v>
      </c>
      <c r="M122">
        <v>332</v>
      </c>
      <c r="N122">
        <v>42</v>
      </c>
      <c r="O122">
        <v>42</v>
      </c>
      <c r="P122" t="b">
        <v>1</v>
      </c>
      <c r="Q122" t="s">
        <v>248</v>
      </c>
      <c r="R122">
        <v>1.7781014511265001</v>
      </c>
      <c r="S122">
        <v>42</v>
      </c>
      <c r="T122">
        <v>0</v>
      </c>
      <c r="U122" t="s">
        <v>473</v>
      </c>
      <c r="V122" t="s">
        <v>316</v>
      </c>
      <c r="W122">
        <v>0.40476190476190399</v>
      </c>
      <c r="X122" t="b">
        <v>0</v>
      </c>
      <c r="Y122">
        <v>7.3292567990720201</v>
      </c>
      <c r="Z122">
        <v>0.59762070095166497</v>
      </c>
      <c r="AA122">
        <v>606.887655300088</v>
      </c>
      <c r="AB122">
        <v>332</v>
      </c>
      <c r="AC122">
        <v>1.7794968821878401</v>
      </c>
      <c r="AD122">
        <v>2.1175551248653401</v>
      </c>
      <c r="AE122">
        <v>-0.12512615477292899</v>
      </c>
      <c r="AF122">
        <v>-1.8802486140677699E-2</v>
      </c>
      <c r="AG122">
        <v>1000</v>
      </c>
      <c r="AH122">
        <v>1.6274646854413699</v>
      </c>
      <c r="AI122">
        <v>1.9437733027628901</v>
      </c>
      <c r="AJ122">
        <v>1.9523364414142099</v>
      </c>
      <c r="AK122">
        <v>2.2762256185963401</v>
      </c>
      <c r="AL122">
        <v>-0.27443025060975101</v>
      </c>
      <c r="AM122">
        <v>-3.7372794462264297E-2</v>
      </c>
      <c r="AN122">
        <v>-0.148930269845022</v>
      </c>
      <c r="AO122">
        <v>9.0205675772259103E-2</v>
      </c>
      <c r="AP122">
        <v>1000</v>
      </c>
      <c r="AQ122">
        <v>1.62647840389722</v>
      </c>
      <c r="AR122">
        <v>1.94147421870007</v>
      </c>
      <c r="AS122">
        <v>9</v>
      </c>
    </row>
    <row r="123" spans="1:63" x14ac:dyDescent="0.3">
      <c r="A123" t="s">
        <v>474</v>
      </c>
      <c r="B123" t="s">
        <v>109</v>
      </c>
      <c r="C123" t="s">
        <v>37</v>
      </c>
      <c r="D123" t="s">
        <v>68</v>
      </c>
      <c r="E123" t="s">
        <v>340</v>
      </c>
      <c r="F123">
        <v>7</v>
      </c>
      <c r="G123" t="s">
        <v>24</v>
      </c>
      <c r="H123" t="s">
        <v>36</v>
      </c>
      <c r="I123" t="s">
        <v>33</v>
      </c>
      <c r="J123" t="s">
        <v>28</v>
      </c>
      <c r="K123" t="s">
        <v>111</v>
      </c>
      <c r="L123">
        <v>10</v>
      </c>
      <c r="M123">
        <v>332</v>
      </c>
      <c r="N123">
        <v>42</v>
      </c>
      <c r="O123">
        <v>42</v>
      </c>
      <c r="P123" t="b">
        <v>1</v>
      </c>
      <c r="Q123" t="s">
        <v>248</v>
      </c>
      <c r="R123">
        <v>1.7308418430149899</v>
      </c>
      <c r="S123">
        <v>42</v>
      </c>
      <c r="T123">
        <v>0</v>
      </c>
      <c r="U123" t="s">
        <v>475</v>
      </c>
      <c r="V123" t="s">
        <v>311</v>
      </c>
      <c r="W123">
        <v>0.64285714285714202</v>
      </c>
      <c r="X123" t="b">
        <v>0</v>
      </c>
      <c r="Y123">
        <v>7.5555804984178296</v>
      </c>
      <c r="Z123">
        <v>0.58139549964107495</v>
      </c>
      <c r="AA123">
        <v>631.54364340007305</v>
      </c>
      <c r="AB123">
        <v>332</v>
      </c>
      <c r="AC123">
        <v>1.72817381069057</v>
      </c>
      <c r="AD123">
        <v>2.04568536410155</v>
      </c>
      <c r="AE123">
        <v>-5.0048712532280597E-2</v>
      </c>
      <c r="AF123">
        <v>-7.3452092912842895E-2</v>
      </c>
      <c r="AG123">
        <v>1000</v>
      </c>
      <c r="AH123">
        <v>1.5933663725228999</v>
      </c>
      <c r="AI123">
        <v>1.88829736597492</v>
      </c>
      <c r="AJ123">
        <v>1.91513905775732</v>
      </c>
      <c r="AK123">
        <v>2.1974699062798102</v>
      </c>
      <c r="AL123">
        <v>-0.12769519744211399</v>
      </c>
      <c r="AM123">
        <v>-1.97556283984529E-2</v>
      </c>
      <c r="AN123">
        <v>-0.20589508693061101</v>
      </c>
      <c r="AO123">
        <v>5.7000082100642599E-2</v>
      </c>
      <c r="AP123">
        <v>1000</v>
      </c>
      <c r="AQ123">
        <v>1.59709542878486</v>
      </c>
      <c r="AR123">
        <v>1.8915900359542901</v>
      </c>
      <c r="AS123">
        <v>4</v>
      </c>
    </row>
    <row r="124" spans="1:63" x14ac:dyDescent="0.3">
      <c r="A124" t="s">
        <v>476</v>
      </c>
      <c r="B124" t="s">
        <v>109</v>
      </c>
      <c r="C124" t="s">
        <v>37</v>
      </c>
      <c r="D124" t="s">
        <v>68</v>
      </c>
      <c r="E124" t="s">
        <v>344</v>
      </c>
      <c r="F124">
        <v>8</v>
      </c>
      <c r="G124" t="s">
        <v>24</v>
      </c>
      <c r="H124" t="s">
        <v>36</v>
      </c>
      <c r="I124" t="s">
        <v>34</v>
      </c>
      <c r="J124" t="s">
        <v>28</v>
      </c>
      <c r="K124" t="s">
        <v>111</v>
      </c>
      <c r="L124">
        <v>10</v>
      </c>
      <c r="M124">
        <v>332</v>
      </c>
      <c r="N124">
        <v>42</v>
      </c>
      <c r="O124">
        <v>42</v>
      </c>
      <c r="P124" t="b">
        <v>1</v>
      </c>
      <c r="Q124" t="s">
        <v>248</v>
      </c>
      <c r="R124">
        <v>1.7933326297020999</v>
      </c>
      <c r="S124">
        <v>42</v>
      </c>
      <c r="T124">
        <v>0</v>
      </c>
      <c r="U124" t="s">
        <v>477</v>
      </c>
      <c r="V124" t="s">
        <v>311</v>
      </c>
      <c r="W124">
        <v>0.54761904761904701</v>
      </c>
      <c r="X124" t="b">
        <v>0</v>
      </c>
      <c r="Y124">
        <v>8.4649130960460699</v>
      </c>
      <c r="Z124">
        <v>0.69112680037505902</v>
      </c>
      <c r="AA124">
        <v>656.10274869995101</v>
      </c>
      <c r="AB124">
        <v>332</v>
      </c>
      <c r="AC124">
        <v>1.79252889717916</v>
      </c>
      <c r="AD124">
        <v>2.1511762281756699</v>
      </c>
      <c r="AE124">
        <v>-0.16113776623811399</v>
      </c>
      <c r="AF124">
        <v>-0.123817723114249</v>
      </c>
      <c r="AG124">
        <v>1000</v>
      </c>
      <c r="AH124">
        <v>1.6337150810069201</v>
      </c>
      <c r="AI124">
        <v>1.9601982001807099</v>
      </c>
      <c r="AJ124">
        <v>1.98459396746939</v>
      </c>
      <c r="AK124">
        <v>2.32740476466729</v>
      </c>
      <c r="AL124">
        <v>-0.32420815597184999</v>
      </c>
      <c r="AM124">
        <v>-4.6730787208669501E-2</v>
      </c>
      <c r="AN124">
        <v>-0.27681536361562797</v>
      </c>
      <c r="AO124">
        <v>3.9089609168979501E-2</v>
      </c>
      <c r="AP124">
        <v>1000</v>
      </c>
      <c r="AQ124">
        <v>1.6339278433264699</v>
      </c>
      <c r="AR124">
        <v>1.96088567694472</v>
      </c>
      <c r="AS124">
        <v>10</v>
      </c>
    </row>
    <row r="125" spans="1:63" x14ac:dyDescent="0.3">
      <c r="A125" t="s">
        <v>478</v>
      </c>
      <c r="B125" t="s">
        <v>109</v>
      </c>
      <c r="C125" t="s">
        <v>37</v>
      </c>
      <c r="D125" t="s">
        <v>68</v>
      </c>
      <c r="E125" t="s">
        <v>347</v>
      </c>
      <c r="F125">
        <v>9</v>
      </c>
      <c r="G125" t="s">
        <v>24</v>
      </c>
      <c r="H125" t="s">
        <v>36</v>
      </c>
      <c r="I125" t="s">
        <v>35</v>
      </c>
      <c r="J125" t="s">
        <v>28</v>
      </c>
      <c r="K125" t="s">
        <v>111</v>
      </c>
      <c r="L125">
        <v>10</v>
      </c>
      <c r="M125">
        <v>332</v>
      </c>
      <c r="N125">
        <v>42</v>
      </c>
      <c r="O125">
        <v>42</v>
      </c>
      <c r="P125" t="b">
        <v>1</v>
      </c>
      <c r="Q125" t="s">
        <v>248</v>
      </c>
      <c r="R125">
        <v>1.7305695054066099</v>
      </c>
      <c r="S125">
        <v>42</v>
      </c>
      <c r="T125">
        <v>0</v>
      </c>
      <c r="U125" t="s">
        <v>479</v>
      </c>
      <c r="V125" t="s">
        <v>311</v>
      </c>
      <c r="W125">
        <v>0.59523809523809501</v>
      </c>
      <c r="X125" t="b">
        <v>0</v>
      </c>
      <c r="Y125">
        <v>8.2689487950410694</v>
      </c>
      <c r="Z125">
        <v>0.64985689986497097</v>
      </c>
      <c r="AA125">
        <v>680.60201920010104</v>
      </c>
      <c r="AB125">
        <v>332</v>
      </c>
      <c r="AC125">
        <v>1.7279944476627001</v>
      </c>
      <c r="AD125">
        <v>2.0446124287717602</v>
      </c>
      <c r="AE125">
        <v>-4.8947527639517902E-2</v>
      </c>
      <c r="AF125">
        <v>-0.116784494391883</v>
      </c>
      <c r="AG125">
        <v>1000</v>
      </c>
      <c r="AH125">
        <v>1.57583231822417</v>
      </c>
      <c r="AI125">
        <v>1.8668050855524401</v>
      </c>
      <c r="AJ125">
        <v>1.8890747774614201</v>
      </c>
      <c r="AK125">
        <v>2.1802851266731</v>
      </c>
      <c r="AL125">
        <v>-0.126344589521423</v>
      </c>
      <c r="AM125">
        <v>-1.49892715347817E-2</v>
      </c>
      <c r="AN125">
        <v>-0.25236422526491298</v>
      </c>
      <c r="AO125">
        <v>2.1906663253444501E-2</v>
      </c>
      <c r="AP125">
        <v>1000</v>
      </c>
      <c r="AQ125">
        <v>1.57925897960701</v>
      </c>
      <c r="AR125">
        <v>1.8741737549043</v>
      </c>
      <c r="AS125">
        <v>3</v>
      </c>
    </row>
    <row r="126" spans="1:63" x14ac:dyDescent="0.3">
      <c r="A126" t="s">
        <v>0</v>
      </c>
      <c r="B126" t="s">
        <v>69</v>
      </c>
      <c r="C126" t="s">
        <v>2</v>
      </c>
      <c r="D126" t="s">
        <v>70</v>
      </c>
      <c r="E126" t="s">
        <v>71</v>
      </c>
      <c r="F126" t="s">
        <v>72</v>
      </c>
      <c r="G126" t="s">
        <v>1</v>
      </c>
      <c r="H126" t="s">
        <v>3</v>
      </c>
      <c r="I126" t="s">
        <v>4</v>
      </c>
      <c r="J126" t="s">
        <v>5</v>
      </c>
      <c r="K126" t="s">
        <v>73</v>
      </c>
      <c r="L126" t="s">
        <v>74</v>
      </c>
      <c r="M126" t="s">
        <v>75</v>
      </c>
      <c r="N126" t="s">
        <v>6</v>
      </c>
      <c r="O126" t="s">
        <v>7</v>
      </c>
      <c r="P126" t="s">
        <v>8</v>
      </c>
      <c r="Q126" t="s">
        <v>76</v>
      </c>
      <c r="R126" t="s">
        <v>77</v>
      </c>
      <c r="S126" t="s">
        <v>78</v>
      </c>
      <c r="T126" t="s">
        <v>79</v>
      </c>
      <c r="U126" t="s">
        <v>80</v>
      </c>
      <c r="V126" t="s">
        <v>81</v>
      </c>
      <c r="W126" t="s">
        <v>82</v>
      </c>
      <c r="X126" t="s">
        <v>9</v>
      </c>
      <c r="Y126" t="s">
        <v>83</v>
      </c>
      <c r="Z126" t="s">
        <v>84</v>
      </c>
      <c r="AA126" t="s">
        <v>85</v>
      </c>
      <c r="AB126" t="s">
        <v>10</v>
      </c>
      <c r="AC126" t="s">
        <v>86</v>
      </c>
      <c r="AD126" t="s">
        <v>11</v>
      </c>
      <c r="AE126" t="s">
        <v>87</v>
      </c>
      <c r="AF126" t="s">
        <v>88</v>
      </c>
      <c r="AG126" t="s">
        <v>89</v>
      </c>
      <c r="AH126" t="s">
        <v>90</v>
      </c>
      <c r="AI126" t="s">
        <v>12</v>
      </c>
      <c r="AJ126" t="s">
        <v>91</v>
      </c>
      <c r="AK126" t="s">
        <v>17</v>
      </c>
      <c r="AL126" t="s">
        <v>18</v>
      </c>
      <c r="AM126" t="s">
        <v>92</v>
      </c>
      <c r="AN126" t="s">
        <v>93</v>
      </c>
      <c r="AO126" t="s">
        <v>94</v>
      </c>
      <c r="AP126" t="s">
        <v>95</v>
      </c>
      <c r="AQ126" t="s">
        <v>96</v>
      </c>
      <c r="AR126" t="s">
        <v>97</v>
      </c>
      <c r="AS126" t="s">
        <v>98</v>
      </c>
      <c r="AT126" t="s">
        <v>99</v>
      </c>
      <c r="AU126" t="s">
        <v>13</v>
      </c>
      <c r="AV126" t="s">
        <v>14</v>
      </c>
      <c r="AW126" t="s">
        <v>15</v>
      </c>
      <c r="AX126" t="s">
        <v>16</v>
      </c>
      <c r="AY126" t="s">
        <v>19</v>
      </c>
      <c r="AZ126" t="s">
        <v>20</v>
      </c>
      <c r="BA126" t="s">
        <v>21</v>
      </c>
      <c r="BB126" t="s">
        <v>100</v>
      </c>
      <c r="BC126" t="s">
        <v>101</v>
      </c>
      <c r="BD126" t="s">
        <v>102</v>
      </c>
      <c r="BE126" t="s">
        <v>103</v>
      </c>
      <c r="BF126" t="s">
        <v>22</v>
      </c>
      <c r="BG126" t="s">
        <v>23</v>
      </c>
      <c r="BH126" t="s">
        <v>104</v>
      </c>
      <c r="BI126" t="s">
        <v>105</v>
      </c>
      <c r="BJ126" t="s">
        <v>106</v>
      </c>
      <c r="BK126" t="s">
        <v>107</v>
      </c>
    </row>
    <row r="127" spans="1:63" x14ac:dyDescent="0.3">
      <c r="A127" t="s">
        <v>304</v>
      </c>
      <c r="B127" t="s">
        <v>109</v>
      </c>
      <c r="C127" t="s">
        <v>25</v>
      </c>
      <c r="D127" t="s">
        <v>66</v>
      </c>
      <c r="E127" t="s">
        <v>480</v>
      </c>
      <c r="F127">
        <v>0</v>
      </c>
      <c r="G127" t="s">
        <v>24</v>
      </c>
      <c r="H127" t="s">
        <v>26</v>
      </c>
      <c r="I127" t="s">
        <v>27</v>
      </c>
      <c r="J127" t="s">
        <v>29</v>
      </c>
      <c r="K127" t="s">
        <v>111</v>
      </c>
      <c r="L127">
        <v>10</v>
      </c>
      <c r="M127">
        <v>304</v>
      </c>
      <c r="N127">
        <v>42</v>
      </c>
      <c r="O127">
        <v>42</v>
      </c>
      <c r="P127" t="b">
        <v>1</v>
      </c>
      <c r="Q127" t="s">
        <v>112</v>
      </c>
      <c r="R127">
        <v>0.50853243736519005</v>
      </c>
      <c r="S127">
        <v>42</v>
      </c>
      <c r="T127">
        <v>0</v>
      </c>
      <c r="U127" t="s">
        <v>481</v>
      </c>
      <c r="V127" t="s">
        <v>482</v>
      </c>
      <c r="W127">
        <v>0.38095238095237999</v>
      </c>
      <c r="X127" t="b">
        <v>0</v>
      </c>
      <c r="Y127">
        <v>378.63225740007999</v>
      </c>
      <c r="Z127">
        <v>37.642198400339097</v>
      </c>
      <c r="AA127">
        <v>4574.1749277999597</v>
      </c>
      <c r="AB127">
        <v>304</v>
      </c>
      <c r="AC127">
        <v>2</v>
      </c>
      <c r="AD127">
        <v>0.50986842105263097</v>
      </c>
      <c r="AE127">
        <v>0.50182926829268204</v>
      </c>
      <c r="AF127">
        <v>0.501896761956374</v>
      </c>
      <c r="AG127">
        <v>0.50182926829268204</v>
      </c>
      <c r="AH127">
        <v>0.49986198063312198</v>
      </c>
      <c r="AI127">
        <v>3.7254189056067501E-3</v>
      </c>
      <c r="AJ127" t="s">
        <v>483</v>
      </c>
      <c r="AK127">
        <v>0.49427264808362298</v>
      </c>
      <c r="AL127">
        <v>0.52266709480377005</v>
      </c>
      <c r="AM127">
        <v>140</v>
      </c>
      <c r="AN127">
        <v>0.46280991735537103</v>
      </c>
      <c r="AO127">
        <v>0.4</v>
      </c>
      <c r="AP127">
        <v>0.42911877394636</v>
      </c>
      <c r="AQ127">
        <v>164</v>
      </c>
      <c r="AR127">
        <v>0.54098360655737698</v>
      </c>
      <c r="AS127">
        <v>0.60365853658536495</v>
      </c>
      <c r="AT127">
        <v>0.57060518731988397</v>
      </c>
      <c r="AU127">
        <v>56</v>
      </c>
      <c r="AV127">
        <v>84</v>
      </c>
      <c r="AW127">
        <v>65</v>
      </c>
      <c r="AX127">
        <v>99</v>
      </c>
      <c r="AY127">
        <v>1000</v>
      </c>
      <c r="AZ127">
        <v>0.46179401993355401</v>
      </c>
      <c r="BA127">
        <v>0.55734333264844804</v>
      </c>
      <c r="BB127">
        <v>0.45607200523154201</v>
      </c>
      <c r="BC127">
        <v>0.54708017232196804</v>
      </c>
      <c r="BD127">
        <v>0.45295018993275998</v>
      </c>
      <c r="BE127">
        <v>0.54612690880639003</v>
      </c>
      <c r="BF127">
        <v>-8.8873996145443598E-2</v>
      </c>
      <c r="BG127">
        <v>9.70585594406327E-2</v>
      </c>
      <c r="BH127">
        <v>1000</v>
      </c>
      <c r="BI127">
        <v>0.46976551697914898</v>
      </c>
      <c r="BJ127">
        <v>0.550345597588628</v>
      </c>
      <c r="BK127">
        <v>8</v>
      </c>
    </row>
    <row r="128" spans="1:63" x14ac:dyDescent="0.3">
      <c r="A128" t="s">
        <v>484</v>
      </c>
      <c r="B128" t="s">
        <v>109</v>
      </c>
      <c r="C128" t="s">
        <v>25</v>
      </c>
      <c r="D128" t="s">
        <v>66</v>
      </c>
      <c r="E128" t="s">
        <v>485</v>
      </c>
      <c r="F128">
        <v>1</v>
      </c>
      <c r="G128" t="s">
        <v>24</v>
      </c>
      <c r="H128" t="s">
        <v>26</v>
      </c>
      <c r="I128" t="s">
        <v>32</v>
      </c>
      <c r="J128" t="s">
        <v>29</v>
      </c>
      <c r="K128" t="s">
        <v>111</v>
      </c>
      <c r="L128">
        <v>10</v>
      </c>
      <c r="M128">
        <v>304</v>
      </c>
      <c r="N128">
        <v>42</v>
      </c>
      <c r="O128">
        <v>42</v>
      </c>
      <c r="P128" t="b">
        <v>1</v>
      </c>
      <c r="Q128" t="s">
        <v>112</v>
      </c>
      <c r="R128">
        <v>0.53746405066091396</v>
      </c>
      <c r="S128">
        <v>42</v>
      </c>
      <c r="T128">
        <v>0</v>
      </c>
      <c r="U128" t="s">
        <v>486</v>
      </c>
      <c r="V128" t="s">
        <v>487</v>
      </c>
      <c r="W128">
        <v>0.30952380952380898</v>
      </c>
      <c r="X128" t="b">
        <v>0</v>
      </c>
      <c r="Y128">
        <v>376.26417430071098</v>
      </c>
      <c r="Z128">
        <v>38.811261100461699</v>
      </c>
      <c r="AA128">
        <v>4641.4822478999804</v>
      </c>
      <c r="AB128">
        <v>304</v>
      </c>
      <c r="AC128">
        <v>2</v>
      </c>
      <c r="AD128">
        <v>0.54934210526315697</v>
      </c>
      <c r="AE128">
        <v>0.54050522648083599</v>
      </c>
      <c r="AF128">
        <v>0.54250651309474796</v>
      </c>
      <c r="AG128">
        <v>0.54050522648083599</v>
      </c>
      <c r="AH128">
        <v>0.53830633986276</v>
      </c>
      <c r="AI128">
        <v>8.2987612083091397E-2</v>
      </c>
      <c r="AJ128" t="s">
        <v>488</v>
      </c>
      <c r="AK128">
        <v>0.55879790940766505</v>
      </c>
      <c r="AL128">
        <v>0.57321958695630804</v>
      </c>
      <c r="AM128">
        <v>140</v>
      </c>
      <c r="AN128">
        <v>0.512820512820512</v>
      </c>
      <c r="AO128">
        <v>0.42857142857142799</v>
      </c>
      <c r="AP128">
        <v>0.46692607003891001</v>
      </c>
      <c r="AQ128">
        <v>164</v>
      </c>
      <c r="AR128">
        <v>0.57219251336898302</v>
      </c>
      <c r="AS128">
        <v>0.65243902439024304</v>
      </c>
      <c r="AT128">
        <v>0.60968660968660904</v>
      </c>
      <c r="AU128">
        <v>60</v>
      </c>
      <c r="AV128">
        <v>80</v>
      </c>
      <c r="AW128">
        <v>57</v>
      </c>
      <c r="AX128">
        <v>107</v>
      </c>
      <c r="AY128">
        <v>1000</v>
      </c>
      <c r="AZ128">
        <v>0.49675217874230998</v>
      </c>
      <c r="BA128">
        <v>0.60132890365448499</v>
      </c>
      <c r="BB128">
        <v>0.48798483310252599</v>
      </c>
      <c r="BC128">
        <v>0.59086429642568905</v>
      </c>
      <c r="BD128">
        <v>0.48287793651918998</v>
      </c>
      <c r="BE128">
        <v>0.59045046589876704</v>
      </c>
      <c r="BF128">
        <v>-2.4592244887445599E-2</v>
      </c>
      <c r="BG128">
        <v>0.186495146057365</v>
      </c>
      <c r="BH128">
        <v>1000</v>
      </c>
      <c r="BI128">
        <v>0.47999555818262202</v>
      </c>
      <c r="BJ128">
        <v>0.59527110641004299</v>
      </c>
      <c r="BK128">
        <v>5</v>
      </c>
    </row>
    <row r="129" spans="1:63" x14ac:dyDescent="0.3">
      <c r="A129" t="s">
        <v>489</v>
      </c>
      <c r="B129" t="s">
        <v>109</v>
      </c>
      <c r="C129" t="s">
        <v>25</v>
      </c>
      <c r="D129" t="s">
        <v>66</v>
      </c>
      <c r="E129" t="s">
        <v>490</v>
      </c>
      <c r="F129">
        <v>2</v>
      </c>
      <c r="G129" t="s">
        <v>24</v>
      </c>
      <c r="H129" t="s">
        <v>26</v>
      </c>
      <c r="I129" t="s">
        <v>33</v>
      </c>
      <c r="J129" t="s">
        <v>29</v>
      </c>
      <c r="K129" t="s">
        <v>111</v>
      </c>
      <c r="L129">
        <v>10</v>
      </c>
      <c r="M129">
        <v>304</v>
      </c>
      <c r="N129">
        <v>42</v>
      </c>
      <c r="O129">
        <v>42</v>
      </c>
      <c r="P129" t="b">
        <v>1</v>
      </c>
      <c r="Q129" t="s">
        <v>112</v>
      </c>
      <c r="R129">
        <v>0.46048752834467099</v>
      </c>
      <c r="S129">
        <v>42</v>
      </c>
      <c r="T129">
        <v>0</v>
      </c>
      <c r="U129" t="s">
        <v>491</v>
      </c>
      <c r="V129" t="s">
        <v>492</v>
      </c>
      <c r="W129">
        <v>0.33333333333333298</v>
      </c>
      <c r="X129" t="b">
        <v>0</v>
      </c>
      <c r="Y129">
        <v>369.79614440072299</v>
      </c>
      <c r="Z129">
        <v>37.917581798974403</v>
      </c>
      <c r="AA129">
        <v>4713.0307028000198</v>
      </c>
      <c r="AB129">
        <v>304</v>
      </c>
      <c r="AC129">
        <v>2</v>
      </c>
      <c r="AD129">
        <v>0.49013157894736797</v>
      </c>
      <c r="AE129">
        <v>0.47726480836236901</v>
      </c>
      <c r="AF129">
        <v>0.474786262860455</v>
      </c>
      <c r="AG129">
        <v>0.47726480836236901</v>
      </c>
      <c r="AH129">
        <v>0.468741191724448</v>
      </c>
      <c r="AI129">
        <v>-4.7884826229961402E-2</v>
      </c>
      <c r="AJ129" t="s">
        <v>493</v>
      </c>
      <c r="AK129">
        <v>0.48686846689895402</v>
      </c>
      <c r="AL129">
        <v>0.54203281748012899</v>
      </c>
      <c r="AM129">
        <v>140</v>
      </c>
      <c r="AN129">
        <v>0.42718446601941701</v>
      </c>
      <c r="AO129">
        <v>0.314285714285714</v>
      </c>
      <c r="AP129">
        <v>0.36213991769547299</v>
      </c>
      <c r="AQ129">
        <v>164</v>
      </c>
      <c r="AR129">
        <v>0.52238805970149205</v>
      </c>
      <c r="AS129">
        <v>0.64024390243902396</v>
      </c>
      <c r="AT129">
        <v>0.57534246575342396</v>
      </c>
      <c r="AU129">
        <v>44</v>
      </c>
      <c r="AV129">
        <v>96</v>
      </c>
      <c r="AW129">
        <v>59</v>
      </c>
      <c r="AX129">
        <v>105</v>
      </c>
      <c r="AY129">
        <v>1000</v>
      </c>
      <c r="AZ129">
        <v>0.43987006762050002</v>
      </c>
      <c r="BA129">
        <v>0.53674712100510502</v>
      </c>
      <c r="BB129">
        <v>0.43159806042006899</v>
      </c>
      <c r="BC129">
        <v>0.52221202626310104</v>
      </c>
      <c r="BD129">
        <v>0.420168891853682</v>
      </c>
      <c r="BE129">
        <v>0.51385929729647295</v>
      </c>
      <c r="BF129">
        <v>-0.14433939547629901</v>
      </c>
      <c r="BG129">
        <v>4.8316023185789099E-2</v>
      </c>
      <c r="BH129">
        <v>1000</v>
      </c>
      <c r="BI129">
        <v>0.41130129295307799</v>
      </c>
      <c r="BJ129">
        <v>0.50697477324262996</v>
      </c>
      <c r="BK129">
        <v>10</v>
      </c>
    </row>
    <row r="130" spans="1:63" x14ac:dyDescent="0.3">
      <c r="A130" t="s">
        <v>494</v>
      </c>
      <c r="B130" t="s">
        <v>109</v>
      </c>
      <c r="C130" t="s">
        <v>25</v>
      </c>
      <c r="D130" t="s">
        <v>66</v>
      </c>
      <c r="E130" t="s">
        <v>495</v>
      </c>
      <c r="F130">
        <v>3</v>
      </c>
      <c r="G130" t="s">
        <v>24</v>
      </c>
      <c r="H130" t="s">
        <v>26</v>
      </c>
      <c r="I130" t="s">
        <v>34</v>
      </c>
      <c r="J130" t="s">
        <v>29</v>
      </c>
      <c r="K130" t="s">
        <v>111</v>
      </c>
      <c r="L130">
        <v>10</v>
      </c>
      <c r="M130">
        <v>304</v>
      </c>
      <c r="N130">
        <v>42</v>
      </c>
      <c r="O130">
        <v>42</v>
      </c>
      <c r="P130" t="b">
        <v>1</v>
      </c>
      <c r="Q130" t="s">
        <v>112</v>
      </c>
      <c r="R130">
        <v>0.53614567778330802</v>
      </c>
      <c r="S130">
        <v>42</v>
      </c>
      <c r="T130">
        <v>0</v>
      </c>
      <c r="U130" t="s">
        <v>496</v>
      </c>
      <c r="V130" t="s">
        <v>487</v>
      </c>
      <c r="W130">
        <v>0.30952380952380898</v>
      </c>
      <c r="X130" t="b">
        <v>0</v>
      </c>
      <c r="Y130">
        <v>416.285381402121</v>
      </c>
      <c r="Z130">
        <v>44.976010399870503</v>
      </c>
      <c r="AA130">
        <v>4778.2221240999597</v>
      </c>
      <c r="AB130">
        <v>304</v>
      </c>
      <c r="AC130">
        <v>2</v>
      </c>
      <c r="AD130">
        <v>0.53947368421052599</v>
      </c>
      <c r="AE130">
        <v>0.53188153310104502</v>
      </c>
      <c r="AF130">
        <v>0.53296703296703296</v>
      </c>
      <c r="AG130">
        <v>0.53188153310104502</v>
      </c>
      <c r="AH130">
        <v>0.53051228875259204</v>
      </c>
      <c r="AI130">
        <v>6.4839480342819306E-2</v>
      </c>
      <c r="AJ130" t="s">
        <v>155</v>
      </c>
      <c r="AK130">
        <v>0.54479529616724698</v>
      </c>
      <c r="AL130">
        <v>0.55804810293377205</v>
      </c>
      <c r="AM130">
        <v>140</v>
      </c>
      <c r="AN130">
        <v>0.5</v>
      </c>
      <c r="AO130">
        <v>0.435714285714285</v>
      </c>
      <c r="AP130">
        <v>0.465648854961832</v>
      </c>
      <c r="AQ130">
        <v>164</v>
      </c>
      <c r="AR130">
        <v>0.56593406593406503</v>
      </c>
      <c r="AS130">
        <v>0.62804878048780399</v>
      </c>
      <c r="AT130">
        <v>0.59537572254335203</v>
      </c>
      <c r="AU130">
        <v>61</v>
      </c>
      <c r="AV130">
        <v>79</v>
      </c>
      <c r="AW130">
        <v>61</v>
      </c>
      <c r="AX130">
        <v>103</v>
      </c>
      <c r="AY130">
        <v>1000</v>
      </c>
      <c r="AZ130">
        <v>0.49013157894736797</v>
      </c>
      <c r="BA130">
        <v>0.58745874587458702</v>
      </c>
      <c r="BB130">
        <v>0.48452920375560699</v>
      </c>
      <c r="BC130">
        <v>0.57878619784930596</v>
      </c>
      <c r="BD130">
        <v>0.48116309252038802</v>
      </c>
      <c r="BE130">
        <v>0.57579837054805505</v>
      </c>
      <c r="BF130">
        <v>-3.1257727834154099E-2</v>
      </c>
      <c r="BG130">
        <v>0.162216298488635</v>
      </c>
      <c r="BH130">
        <v>1000</v>
      </c>
      <c r="BI130">
        <v>0.49127820773399999</v>
      </c>
      <c r="BJ130">
        <v>0.58189886163971505</v>
      </c>
      <c r="BK130">
        <v>6</v>
      </c>
    </row>
    <row r="131" spans="1:63" x14ac:dyDescent="0.3">
      <c r="A131" t="s">
        <v>497</v>
      </c>
      <c r="B131" t="s">
        <v>109</v>
      </c>
      <c r="C131" t="s">
        <v>25</v>
      </c>
      <c r="D131" t="s">
        <v>66</v>
      </c>
      <c r="E131" t="s">
        <v>498</v>
      </c>
      <c r="F131">
        <v>4</v>
      </c>
      <c r="G131" t="s">
        <v>24</v>
      </c>
      <c r="H131" t="s">
        <v>26</v>
      </c>
      <c r="I131" t="s">
        <v>35</v>
      </c>
      <c r="J131" t="s">
        <v>29</v>
      </c>
      <c r="K131" t="s">
        <v>111</v>
      </c>
      <c r="L131">
        <v>10</v>
      </c>
      <c r="M131">
        <v>304</v>
      </c>
      <c r="N131">
        <v>42</v>
      </c>
      <c r="O131">
        <v>42</v>
      </c>
      <c r="P131" t="b">
        <v>1</v>
      </c>
      <c r="Q131" t="s">
        <v>112</v>
      </c>
      <c r="R131">
        <v>0.49835808307062601</v>
      </c>
      <c r="S131">
        <v>42</v>
      </c>
      <c r="T131">
        <v>0</v>
      </c>
      <c r="U131" t="s">
        <v>499</v>
      </c>
      <c r="V131" t="s">
        <v>487</v>
      </c>
      <c r="W131">
        <v>0.35714285714285698</v>
      </c>
      <c r="X131" t="b">
        <v>0</v>
      </c>
      <c r="Y131">
        <v>417.342770602786</v>
      </c>
      <c r="Z131">
        <v>44.572574500227297</v>
      </c>
      <c r="AA131">
        <v>4846.6423496000898</v>
      </c>
      <c r="AB131">
        <v>304</v>
      </c>
      <c r="AC131">
        <v>2</v>
      </c>
      <c r="AD131">
        <v>0.5</v>
      </c>
      <c r="AE131">
        <v>0.49006968641114901</v>
      </c>
      <c r="AF131">
        <v>0.48947368421052601</v>
      </c>
      <c r="AG131">
        <v>0.49006968641114901</v>
      </c>
      <c r="AH131">
        <v>0.486098136038079</v>
      </c>
      <c r="AI131">
        <v>-2.0447945297729898E-2</v>
      </c>
      <c r="AJ131" t="s">
        <v>500</v>
      </c>
      <c r="AK131">
        <v>0.46637630662020901</v>
      </c>
      <c r="AL131">
        <v>0.52341169622253503</v>
      </c>
      <c r="AM131">
        <v>140</v>
      </c>
      <c r="AN131">
        <v>0.44736842105263103</v>
      </c>
      <c r="AO131">
        <v>0.36428571428571399</v>
      </c>
      <c r="AP131">
        <v>0.40157480314960597</v>
      </c>
      <c r="AQ131">
        <v>164</v>
      </c>
      <c r="AR131">
        <v>0.53157894736842104</v>
      </c>
      <c r="AS131">
        <v>0.61585365853658502</v>
      </c>
      <c r="AT131">
        <v>0.57062146892655297</v>
      </c>
      <c r="AU131">
        <v>51</v>
      </c>
      <c r="AV131">
        <v>89</v>
      </c>
      <c r="AW131">
        <v>63</v>
      </c>
      <c r="AX131">
        <v>101</v>
      </c>
      <c r="AY131">
        <v>1000</v>
      </c>
      <c r="AZ131">
        <v>0.45453050239234399</v>
      </c>
      <c r="BA131">
        <v>0.54726802106688099</v>
      </c>
      <c r="BB131">
        <v>0.44774514335828203</v>
      </c>
      <c r="BC131">
        <v>0.53525245380755904</v>
      </c>
      <c r="BD131">
        <v>0.43885672182790197</v>
      </c>
      <c r="BE131">
        <v>0.53221825943878498</v>
      </c>
      <c r="BF131">
        <v>-0.108615135046034</v>
      </c>
      <c r="BG131">
        <v>7.3736595030453794E-2</v>
      </c>
      <c r="BH131">
        <v>1000</v>
      </c>
      <c r="BI131">
        <v>0.45957408674852002</v>
      </c>
      <c r="BJ131">
        <v>0.53667097021735499</v>
      </c>
      <c r="BK131">
        <v>9</v>
      </c>
    </row>
    <row r="132" spans="1:63" x14ac:dyDescent="0.3">
      <c r="A132" t="s">
        <v>501</v>
      </c>
      <c r="B132" t="s">
        <v>109</v>
      </c>
      <c r="C132" t="s">
        <v>25</v>
      </c>
      <c r="D132" t="s">
        <v>66</v>
      </c>
      <c r="E132" t="s">
        <v>502</v>
      </c>
      <c r="F132">
        <v>5</v>
      </c>
      <c r="G132" t="s">
        <v>24</v>
      </c>
      <c r="H132" t="s">
        <v>36</v>
      </c>
      <c r="I132" t="s">
        <v>27</v>
      </c>
      <c r="J132" t="s">
        <v>29</v>
      </c>
      <c r="K132" t="s">
        <v>111</v>
      </c>
      <c r="L132">
        <v>10</v>
      </c>
      <c r="M132">
        <v>304</v>
      </c>
      <c r="N132">
        <v>42</v>
      </c>
      <c r="O132">
        <v>42</v>
      </c>
      <c r="P132" t="b">
        <v>1</v>
      </c>
      <c r="Q132" t="s">
        <v>112</v>
      </c>
      <c r="R132">
        <v>0.52349565842597201</v>
      </c>
      <c r="S132">
        <v>42</v>
      </c>
      <c r="T132">
        <v>0</v>
      </c>
      <c r="U132" t="s">
        <v>503</v>
      </c>
      <c r="V132" t="s">
        <v>482</v>
      </c>
      <c r="W132">
        <v>0.42857142857142799</v>
      </c>
      <c r="X132" t="b">
        <v>0</v>
      </c>
      <c r="Y132">
        <v>307.26801409898297</v>
      </c>
      <c r="Z132">
        <v>29.083336300216601</v>
      </c>
      <c r="AA132">
        <v>4915.9089995999802</v>
      </c>
      <c r="AB132">
        <v>304</v>
      </c>
      <c r="AC132">
        <v>2</v>
      </c>
      <c r="AD132">
        <v>0.52960526315789402</v>
      </c>
      <c r="AE132">
        <v>0.52168989547038302</v>
      </c>
      <c r="AF132">
        <v>0.52249017748272497</v>
      </c>
      <c r="AG132">
        <v>0.52168989547038302</v>
      </c>
      <c r="AH132">
        <v>0.52000176664789599</v>
      </c>
      <c r="AI132">
        <v>4.41728241664801E-2</v>
      </c>
      <c r="AJ132" t="s">
        <v>504</v>
      </c>
      <c r="AK132">
        <v>0.56903310104529603</v>
      </c>
      <c r="AL132">
        <v>0.60154331306205</v>
      </c>
      <c r="AM132">
        <v>140</v>
      </c>
      <c r="AN132">
        <v>0.48760330578512301</v>
      </c>
      <c r="AO132">
        <v>0.42142857142857099</v>
      </c>
      <c r="AP132">
        <v>0.45210727969348602</v>
      </c>
      <c r="AQ132">
        <v>164</v>
      </c>
      <c r="AR132">
        <v>0.55737704918032704</v>
      </c>
      <c r="AS132">
        <v>0.62195121951219501</v>
      </c>
      <c r="AT132">
        <v>0.58789625360230502</v>
      </c>
      <c r="AU132">
        <v>59</v>
      </c>
      <c r="AV132">
        <v>81</v>
      </c>
      <c r="AW132">
        <v>62</v>
      </c>
      <c r="AX132">
        <v>102</v>
      </c>
      <c r="AY132">
        <v>1000</v>
      </c>
      <c r="AZ132">
        <v>0.48579522832378702</v>
      </c>
      <c r="BA132">
        <v>0.57144024276377203</v>
      </c>
      <c r="BB132">
        <v>0.479369237795783</v>
      </c>
      <c r="BC132">
        <v>0.56153941935209195</v>
      </c>
      <c r="BD132">
        <v>0.47619787703863198</v>
      </c>
      <c r="BE132">
        <v>0.56040049393367697</v>
      </c>
      <c r="BF132">
        <v>-4.1824348872764802E-2</v>
      </c>
      <c r="BG132">
        <v>0.125168438773194</v>
      </c>
      <c r="BH132">
        <v>1000</v>
      </c>
      <c r="BI132">
        <v>0.476972789115646</v>
      </c>
      <c r="BJ132">
        <v>0.57131853793346599</v>
      </c>
      <c r="BK132">
        <v>7</v>
      </c>
    </row>
    <row r="133" spans="1:63" x14ac:dyDescent="0.3">
      <c r="A133" t="s">
        <v>505</v>
      </c>
      <c r="B133" t="s">
        <v>109</v>
      </c>
      <c r="C133" t="s">
        <v>25</v>
      </c>
      <c r="D133" t="s">
        <v>66</v>
      </c>
      <c r="E133" t="s">
        <v>506</v>
      </c>
      <c r="F133">
        <v>6</v>
      </c>
      <c r="G133" t="s">
        <v>24</v>
      </c>
      <c r="H133" t="s">
        <v>36</v>
      </c>
      <c r="I133" t="s">
        <v>32</v>
      </c>
      <c r="J133" t="s">
        <v>29</v>
      </c>
      <c r="K133" t="s">
        <v>111</v>
      </c>
      <c r="L133">
        <v>10</v>
      </c>
      <c r="M133">
        <v>304</v>
      </c>
      <c r="N133">
        <v>42</v>
      </c>
      <c r="O133">
        <v>42</v>
      </c>
      <c r="P133" t="b">
        <v>1</v>
      </c>
      <c r="Q133" t="s">
        <v>112</v>
      </c>
      <c r="R133">
        <v>0.64406282838338502</v>
      </c>
      <c r="S133">
        <v>42</v>
      </c>
      <c r="T133">
        <v>0</v>
      </c>
      <c r="U133" t="s">
        <v>507</v>
      </c>
      <c r="V133" t="s">
        <v>508</v>
      </c>
      <c r="W133">
        <v>0.35714285714285698</v>
      </c>
      <c r="X133" t="b">
        <v>0</v>
      </c>
      <c r="Y133">
        <v>312.27616159710999</v>
      </c>
      <c r="Z133">
        <v>30.418817801401001</v>
      </c>
      <c r="AA133">
        <v>4979.3367169001103</v>
      </c>
      <c r="AB133">
        <v>304</v>
      </c>
      <c r="AC133">
        <v>2</v>
      </c>
      <c r="AD133">
        <v>0.64802631578947301</v>
      </c>
      <c r="AE133">
        <v>0.64189895470383196</v>
      </c>
      <c r="AF133">
        <v>0.64560893854748602</v>
      </c>
      <c r="AG133">
        <v>0.64189895470383196</v>
      </c>
      <c r="AH133">
        <v>0.64213653116233005</v>
      </c>
      <c r="AI133">
        <v>0.28748395555524697</v>
      </c>
      <c r="AJ133" t="s">
        <v>509</v>
      </c>
      <c r="AK133">
        <v>0.65592334494773497</v>
      </c>
      <c r="AL133">
        <v>0.64484237804967204</v>
      </c>
      <c r="AM133">
        <v>140</v>
      </c>
      <c r="AN133">
        <v>0.63200000000000001</v>
      </c>
      <c r="AO133">
        <v>0.56428571428571395</v>
      </c>
      <c r="AP133">
        <v>0.59622641509433905</v>
      </c>
      <c r="AQ133">
        <v>164</v>
      </c>
      <c r="AR133">
        <v>0.65921787709497204</v>
      </c>
      <c r="AS133">
        <v>0.71951219512195097</v>
      </c>
      <c r="AT133">
        <v>0.68804664723032005</v>
      </c>
      <c r="AU133">
        <v>79</v>
      </c>
      <c r="AV133">
        <v>61</v>
      </c>
      <c r="AW133">
        <v>46</v>
      </c>
      <c r="AX133">
        <v>118</v>
      </c>
      <c r="AY133">
        <v>1000</v>
      </c>
      <c r="AZ133">
        <v>0.59730058312245504</v>
      </c>
      <c r="BA133">
        <v>0.69682278742762604</v>
      </c>
      <c r="BB133">
        <v>0.59166736529972996</v>
      </c>
      <c r="BC133">
        <v>0.69131517024719902</v>
      </c>
      <c r="BD133">
        <v>0.59108343913776396</v>
      </c>
      <c r="BE133">
        <v>0.69214232688472999</v>
      </c>
      <c r="BF133">
        <v>0.18350084574981201</v>
      </c>
      <c r="BG133">
        <v>0.38993837347853</v>
      </c>
      <c r="BH133">
        <v>1000</v>
      </c>
      <c r="BI133">
        <v>0.59364282603285201</v>
      </c>
      <c r="BJ133">
        <v>0.69326388888888801</v>
      </c>
      <c r="BK133">
        <v>1</v>
      </c>
    </row>
    <row r="134" spans="1:63" x14ac:dyDescent="0.3">
      <c r="A134" t="s">
        <v>510</v>
      </c>
      <c r="B134" t="s">
        <v>109</v>
      </c>
      <c r="C134" t="s">
        <v>25</v>
      </c>
      <c r="D134" t="s">
        <v>66</v>
      </c>
      <c r="E134" t="s">
        <v>511</v>
      </c>
      <c r="F134">
        <v>7</v>
      </c>
      <c r="G134" t="s">
        <v>24</v>
      </c>
      <c r="H134" t="s">
        <v>36</v>
      </c>
      <c r="I134" t="s">
        <v>33</v>
      </c>
      <c r="J134" t="s">
        <v>29</v>
      </c>
      <c r="K134" t="s">
        <v>111</v>
      </c>
      <c r="L134">
        <v>10</v>
      </c>
      <c r="M134">
        <v>304</v>
      </c>
      <c r="N134">
        <v>42</v>
      </c>
      <c r="O134">
        <v>42</v>
      </c>
      <c r="P134" t="b">
        <v>1</v>
      </c>
      <c r="Q134" t="s">
        <v>112</v>
      </c>
      <c r="R134">
        <v>0.55883731541396997</v>
      </c>
      <c r="S134">
        <v>42</v>
      </c>
      <c r="T134">
        <v>0</v>
      </c>
      <c r="U134" t="s">
        <v>512</v>
      </c>
      <c r="V134" t="s">
        <v>487</v>
      </c>
      <c r="W134">
        <v>0.26190476190476097</v>
      </c>
      <c r="X134" t="b">
        <v>0</v>
      </c>
      <c r="Y134">
        <v>311.62065050099</v>
      </c>
      <c r="Z134">
        <v>30.0737514996435</v>
      </c>
      <c r="AA134">
        <v>5048.6912953001402</v>
      </c>
      <c r="AB134">
        <v>304</v>
      </c>
      <c r="AC134">
        <v>2</v>
      </c>
      <c r="AD134">
        <v>0.5625</v>
      </c>
      <c r="AE134">
        <v>0.54904181184668899</v>
      </c>
      <c r="AF134">
        <v>0.55548164572554803</v>
      </c>
      <c r="AG134">
        <v>0.54904181184668899</v>
      </c>
      <c r="AH134">
        <v>0.54154052000771002</v>
      </c>
      <c r="AI134">
        <v>0.104324885441912</v>
      </c>
      <c r="AJ134" t="s">
        <v>513</v>
      </c>
      <c r="AK134">
        <v>0.57373693379790902</v>
      </c>
      <c r="AL134">
        <v>0.59879976999012696</v>
      </c>
      <c r="AM134">
        <v>140</v>
      </c>
      <c r="AN134">
        <v>0.53535353535353503</v>
      </c>
      <c r="AO134">
        <v>0.378571428571428</v>
      </c>
      <c r="AP134">
        <v>0.44351464435146398</v>
      </c>
      <c r="AQ134">
        <v>164</v>
      </c>
      <c r="AR134">
        <v>0.57560975609756004</v>
      </c>
      <c r="AS134">
        <v>0.71951219512195097</v>
      </c>
      <c r="AT134">
        <v>0.63956639566395601</v>
      </c>
      <c r="AU134">
        <v>53</v>
      </c>
      <c r="AV134">
        <v>87</v>
      </c>
      <c r="AW134">
        <v>46</v>
      </c>
      <c r="AX134">
        <v>118</v>
      </c>
      <c r="AY134">
        <v>1000</v>
      </c>
      <c r="AZ134">
        <v>0.50830564784053101</v>
      </c>
      <c r="BA134">
        <v>0.61131429238102597</v>
      </c>
      <c r="BB134">
        <v>0.49923046117262898</v>
      </c>
      <c r="BC134">
        <v>0.59832926244256701</v>
      </c>
      <c r="BD134">
        <v>0.48589475490817402</v>
      </c>
      <c r="BE134">
        <v>0.59078426568044196</v>
      </c>
      <c r="BF134">
        <v>-1.6249692355693099E-3</v>
      </c>
      <c r="BG134">
        <v>0.211438140950062</v>
      </c>
      <c r="BH134">
        <v>1000</v>
      </c>
      <c r="BI134">
        <v>0.50618356285603605</v>
      </c>
      <c r="BJ134">
        <v>0.60694940476190395</v>
      </c>
      <c r="BK134">
        <v>3</v>
      </c>
    </row>
    <row r="135" spans="1:63" x14ac:dyDescent="0.3">
      <c r="A135" t="s">
        <v>514</v>
      </c>
      <c r="B135" t="s">
        <v>109</v>
      </c>
      <c r="C135" t="s">
        <v>25</v>
      </c>
      <c r="D135" t="s">
        <v>66</v>
      </c>
      <c r="E135" t="s">
        <v>515</v>
      </c>
      <c r="F135">
        <v>8</v>
      </c>
      <c r="G135" t="s">
        <v>24</v>
      </c>
      <c r="H135" t="s">
        <v>36</v>
      </c>
      <c r="I135" t="s">
        <v>34</v>
      </c>
      <c r="J135" t="s">
        <v>29</v>
      </c>
      <c r="K135" t="s">
        <v>111</v>
      </c>
      <c r="L135">
        <v>10</v>
      </c>
      <c r="M135">
        <v>304</v>
      </c>
      <c r="N135">
        <v>42</v>
      </c>
      <c r="O135">
        <v>42</v>
      </c>
      <c r="P135" t="b">
        <v>1</v>
      </c>
      <c r="Q135" t="s">
        <v>112</v>
      </c>
      <c r="R135">
        <v>0.600409269398816</v>
      </c>
      <c r="S135">
        <v>42</v>
      </c>
      <c r="T135">
        <v>0</v>
      </c>
      <c r="U135" t="s">
        <v>516</v>
      </c>
      <c r="V135" t="s">
        <v>508</v>
      </c>
      <c r="W135">
        <v>0.33333333333333298</v>
      </c>
      <c r="X135" t="b">
        <v>0</v>
      </c>
      <c r="Y135">
        <v>325.02036250079902</v>
      </c>
      <c r="Z135">
        <v>33.809873299207503</v>
      </c>
      <c r="AA135">
        <v>5103.7476930001203</v>
      </c>
      <c r="AB135">
        <v>304</v>
      </c>
      <c r="AC135">
        <v>2</v>
      </c>
      <c r="AD135">
        <v>0.60526315789473595</v>
      </c>
      <c r="AE135">
        <v>0.59703832752613195</v>
      </c>
      <c r="AF135">
        <v>0.60151266630216804</v>
      </c>
      <c r="AG135">
        <v>0.59703832752613195</v>
      </c>
      <c r="AH135">
        <v>0.59601328903654405</v>
      </c>
      <c r="AI135">
        <v>0.19850057290275799</v>
      </c>
      <c r="AJ135" t="s">
        <v>517</v>
      </c>
      <c r="AK135">
        <v>0.65241724738675899</v>
      </c>
      <c r="AL135">
        <v>0.63694595857140901</v>
      </c>
      <c r="AM135">
        <v>140</v>
      </c>
      <c r="AN135">
        <v>0.58474576271186396</v>
      </c>
      <c r="AO135">
        <v>0.49285714285714199</v>
      </c>
      <c r="AP135">
        <v>0.53488372093023195</v>
      </c>
      <c r="AQ135">
        <v>164</v>
      </c>
      <c r="AR135">
        <v>0.61827956989247301</v>
      </c>
      <c r="AS135">
        <v>0.70121951219512102</v>
      </c>
      <c r="AT135">
        <v>0.65714285714285703</v>
      </c>
      <c r="AU135">
        <v>69</v>
      </c>
      <c r="AV135">
        <v>71</v>
      </c>
      <c r="AW135">
        <v>49</v>
      </c>
      <c r="AX135">
        <v>115</v>
      </c>
      <c r="AY135">
        <v>1000</v>
      </c>
      <c r="AZ135">
        <v>0.55445460362362697</v>
      </c>
      <c r="BA135">
        <v>0.65131953968798195</v>
      </c>
      <c r="BB135">
        <v>0.54931573214080898</v>
      </c>
      <c r="BC135">
        <v>0.64082034119845699</v>
      </c>
      <c r="BD135">
        <v>0.54853105710002004</v>
      </c>
      <c r="BE135">
        <v>0.64071571010554995</v>
      </c>
      <c r="BF135">
        <v>9.8921171777496E-2</v>
      </c>
      <c r="BG135">
        <v>0.28961706223392802</v>
      </c>
      <c r="BH135">
        <v>1000</v>
      </c>
      <c r="BI135">
        <v>0.54999958519993297</v>
      </c>
      <c r="BJ135">
        <v>0.64801905314971497</v>
      </c>
      <c r="BK135">
        <v>2</v>
      </c>
    </row>
    <row r="136" spans="1:63" x14ac:dyDescent="0.3">
      <c r="A136" t="s">
        <v>518</v>
      </c>
      <c r="B136" t="s">
        <v>109</v>
      </c>
      <c r="C136" t="s">
        <v>25</v>
      </c>
      <c r="D136" t="s">
        <v>66</v>
      </c>
      <c r="E136" t="s">
        <v>519</v>
      </c>
      <c r="F136">
        <v>9</v>
      </c>
      <c r="G136" t="s">
        <v>24</v>
      </c>
      <c r="H136" t="s">
        <v>36</v>
      </c>
      <c r="I136" t="s">
        <v>35</v>
      </c>
      <c r="J136" t="s">
        <v>29</v>
      </c>
      <c r="K136" t="s">
        <v>111</v>
      </c>
      <c r="L136">
        <v>10</v>
      </c>
      <c r="M136">
        <v>304</v>
      </c>
      <c r="N136">
        <v>42</v>
      </c>
      <c r="O136">
        <v>42</v>
      </c>
      <c r="P136" t="b">
        <v>1</v>
      </c>
      <c r="Q136" t="s">
        <v>112</v>
      </c>
      <c r="R136">
        <v>0.54709225153476004</v>
      </c>
      <c r="S136">
        <v>42</v>
      </c>
      <c r="T136">
        <v>0</v>
      </c>
      <c r="U136" t="s">
        <v>520</v>
      </c>
      <c r="V136" t="s">
        <v>487</v>
      </c>
      <c r="W136">
        <v>0.38095238095237999</v>
      </c>
      <c r="X136" t="b">
        <v>0</v>
      </c>
      <c r="Y136">
        <v>333.34672790043902</v>
      </c>
      <c r="Z136">
        <v>32.843167099403203</v>
      </c>
      <c r="AA136">
        <v>5163.5247219000003</v>
      </c>
      <c r="AB136">
        <v>304</v>
      </c>
      <c r="AC136">
        <v>2</v>
      </c>
      <c r="AD136">
        <v>0.5625</v>
      </c>
      <c r="AE136">
        <v>0.54747386759581795</v>
      </c>
      <c r="AF136">
        <v>0.55554706212098004</v>
      </c>
      <c r="AG136">
        <v>0.54747386759581795</v>
      </c>
      <c r="AH136">
        <v>0.53725894134477803</v>
      </c>
      <c r="AI136">
        <v>0.10270411622653</v>
      </c>
      <c r="AJ136" t="s">
        <v>521</v>
      </c>
      <c r="AK136">
        <v>0.57127613240418096</v>
      </c>
      <c r="AL136">
        <v>0.58922324343449906</v>
      </c>
      <c r="AM136">
        <v>140</v>
      </c>
      <c r="AN136">
        <v>0.53763440860214995</v>
      </c>
      <c r="AO136">
        <v>0.35714285714285698</v>
      </c>
      <c r="AP136">
        <v>0.42918454935622302</v>
      </c>
      <c r="AQ136">
        <v>164</v>
      </c>
      <c r="AR136">
        <v>0.57345971563981002</v>
      </c>
      <c r="AS136">
        <v>0.73780487804878003</v>
      </c>
      <c r="AT136">
        <v>0.64533333333333298</v>
      </c>
      <c r="AU136">
        <v>50</v>
      </c>
      <c r="AV136">
        <v>90</v>
      </c>
      <c r="AW136">
        <v>43</v>
      </c>
      <c r="AX136">
        <v>121</v>
      </c>
      <c r="AY136">
        <v>1000</v>
      </c>
      <c r="AZ136">
        <v>0.51379074161549299</v>
      </c>
      <c r="BA136">
        <v>0.60759798933615505</v>
      </c>
      <c r="BB136">
        <v>0.49991335696020001</v>
      </c>
      <c r="BC136">
        <v>0.58999960426096798</v>
      </c>
      <c r="BD136">
        <v>0.48904483592438602</v>
      </c>
      <c r="BE136">
        <v>0.58208001022304401</v>
      </c>
      <c r="BF136">
        <v>-1.8686291419585101E-4</v>
      </c>
      <c r="BG136">
        <v>0.19991118240056799</v>
      </c>
      <c r="BH136">
        <v>1000</v>
      </c>
      <c r="BI136">
        <v>0.494633610558044</v>
      </c>
      <c r="BJ136">
        <v>0.59424883078231205</v>
      </c>
      <c r="BK136">
        <v>4</v>
      </c>
    </row>
    <row r="137" spans="1:63" x14ac:dyDescent="0.3">
      <c r="A137" t="s">
        <v>522</v>
      </c>
      <c r="B137" t="s">
        <v>109</v>
      </c>
      <c r="C137" t="s">
        <v>37</v>
      </c>
      <c r="D137" t="s">
        <v>66</v>
      </c>
      <c r="E137" t="s">
        <v>480</v>
      </c>
      <c r="F137">
        <v>0</v>
      </c>
      <c r="G137" t="s">
        <v>24</v>
      </c>
      <c r="H137" t="s">
        <v>26</v>
      </c>
      <c r="I137" t="s">
        <v>27</v>
      </c>
      <c r="J137" t="s">
        <v>29</v>
      </c>
      <c r="K137" t="s">
        <v>111</v>
      </c>
      <c r="L137">
        <v>10</v>
      </c>
      <c r="M137">
        <v>278</v>
      </c>
      <c r="N137">
        <v>42</v>
      </c>
      <c r="O137">
        <v>42</v>
      </c>
      <c r="P137" t="b">
        <v>1</v>
      </c>
      <c r="Q137" t="s">
        <v>112</v>
      </c>
      <c r="R137">
        <v>0.445743145743145</v>
      </c>
      <c r="S137">
        <v>42</v>
      </c>
      <c r="T137">
        <v>0</v>
      </c>
      <c r="U137" t="s">
        <v>523</v>
      </c>
      <c r="V137" t="s">
        <v>492</v>
      </c>
      <c r="W137">
        <v>0.35714285714285698</v>
      </c>
      <c r="X137" t="b">
        <v>0</v>
      </c>
      <c r="Y137">
        <v>451.11240899865498</v>
      </c>
      <c r="Z137">
        <v>44.449569099582703</v>
      </c>
      <c r="AA137">
        <v>5612.1637198000599</v>
      </c>
      <c r="AB137">
        <v>278</v>
      </c>
      <c r="AC137">
        <v>2</v>
      </c>
      <c r="AD137">
        <v>0.44964028776978399</v>
      </c>
      <c r="AE137">
        <v>0.43706001981540299</v>
      </c>
      <c r="AF137">
        <v>0.43219101123595499</v>
      </c>
      <c r="AG137">
        <v>0.43706001981540299</v>
      </c>
      <c r="AH137">
        <v>0.430472798361072</v>
      </c>
      <c r="AI137">
        <v>-0.13065827810202399</v>
      </c>
      <c r="AJ137" t="s">
        <v>524</v>
      </c>
      <c r="AK137">
        <v>0.44081451739062399</v>
      </c>
      <c r="AL137">
        <v>0.44045220615008901</v>
      </c>
      <c r="AM137">
        <v>151</v>
      </c>
      <c r="AN137">
        <v>0.49438202247190999</v>
      </c>
      <c r="AO137">
        <v>0.58278145695364203</v>
      </c>
      <c r="AP137">
        <v>0.53495440729483201</v>
      </c>
      <c r="AQ137">
        <v>127</v>
      </c>
      <c r="AR137">
        <v>0.37</v>
      </c>
      <c r="AS137">
        <v>0.291338582677165</v>
      </c>
      <c r="AT137">
        <v>0.32599118942731198</v>
      </c>
      <c r="AU137">
        <v>88</v>
      </c>
      <c r="AV137">
        <v>63</v>
      </c>
      <c r="AW137">
        <v>90</v>
      </c>
      <c r="AX137">
        <v>37</v>
      </c>
      <c r="AY137">
        <v>1000</v>
      </c>
      <c r="AZ137">
        <v>0.37233848423668198</v>
      </c>
      <c r="BA137">
        <v>0.52770803251510701</v>
      </c>
      <c r="BB137">
        <v>0.360986293552643</v>
      </c>
      <c r="BC137">
        <v>0.51049298386605901</v>
      </c>
      <c r="BD137">
        <v>0.350375577571584</v>
      </c>
      <c r="BE137">
        <v>0.50519755098445096</v>
      </c>
      <c r="BF137">
        <v>-0.29041277643129798</v>
      </c>
      <c r="BG137">
        <v>2.2107278352240099E-2</v>
      </c>
      <c r="BH137">
        <v>1000</v>
      </c>
      <c r="BI137">
        <v>0.38369380439587603</v>
      </c>
      <c r="BJ137">
        <v>0.50878710183397602</v>
      </c>
      <c r="BK137">
        <v>10</v>
      </c>
    </row>
    <row r="138" spans="1:63" x14ac:dyDescent="0.3">
      <c r="A138" t="s">
        <v>525</v>
      </c>
      <c r="B138" t="s">
        <v>109</v>
      </c>
      <c r="C138" t="s">
        <v>37</v>
      </c>
      <c r="D138" t="s">
        <v>66</v>
      </c>
      <c r="E138" t="s">
        <v>485</v>
      </c>
      <c r="F138">
        <v>1</v>
      </c>
      <c r="G138" t="s">
        <v>24</v>
      </c>
      <c r="H138" t="s">
        <v>26</v>
      </c>
      <c r="I138" t="s">
        <v>32</v>
      </c>
      <c r="J138" t="s">
        <v>29</v>
      </c>
      <c r="K138" t="s">
        <v>111</v>
      </c>
      <c r="L138">
        <v>10</v>
      </c>
      <c r="M138">
        <v>278</v>
      </c>
      <c r="N138">
        <v>42</v>
      </c>
      <c r="O138">
        <v>42</v>
      </c>
      <c r="P138" t="b">
        <v>1</v>
      </c>
      <c r="Q138" t="s">
        <v>112</v>
      </c>
      <c r="R138">
        <v>0.46018907563025202</v>
      </c>
      <c r="S138">
        <v>42</v>
      </c>
      <c r="T138">
        <v>0</v>
      </c>
      <c r="U138" t="s">
        <v>526</v>
      </c>
      <c r="V138" t="s">
        <v>492</v>
      </c>
      <c r="W138">
        <v>0.33333333333333298</v>
      </c>
      <c r="X138" t="b">
        <v>0</v>
      </c>
      <c r="Y138">
        <v>473.61594590148798</v>
      </c>
      <c r="Z138">
        <v>45.402404799126003</v>
      </c>
      <c r="AA138">
        <v>5655.6622468999103</v>
      </c>
      <c r="AB138">
        <v>278</v>
      </c>
      <c r="AC138">
        <v>2</v>
      </c>
      <c r="AD138">
        <v>0.50719424460431595</v>
      </c>
      <c r="AE138">
        <v>0.493794649840955</v>
      </c>
      <c r="AF138">
        <v>0.49318910256410198</v>
      </c>
      <c r="AG138">
        <v>0.493794649840955</v>
      </c>
      <c r="AH138">
        <v>0.48711940640191698</v>
      </c>
      <c r="AI138">
        <v>-1.30021542041437E-2</v>
      </c>
      <c r="AJ138" t="s">
        <v>527</v>
      </c>
      <c r="AK138">
        <v>0.53470302967095995</v>
      </c>
      <c r="AL138">
        <v>0.49879632553934999</v>
      </c>
      <c r="AM138">
        <v>151</v>
      </c>
      <c r="AN138">
        <v>0.53846153846153799</v>
      </c>
      <c r="AO138">
        <v>0.64900662251655605</v>
      </c>
      <c r="AP138">
        <v>0.58858858858858798</v>
      </c>
      <c r="AQ138">
        <v>127</v>
      </c>
      <c r="AR138">
        <v>0.44791666666666602</v>
      </c>
      <c r="AS138">
        <v>0.33858267716535401</v>
      </c>
      <c r="AT138">
        <v>0.38565022421524597</v>
      </c>
      <c r="AU138">
        <v>98</v>
      </c>
      <c r="AV138">
        <v>53</v>
      </c>
      <c r="AW138">
        <v>84</v>
      </c>
      <c r="AX138">
        <v>43</v>
      </c>
      <c r="AY138">
        <v>1000</v>
      </c>
      <c r="AZ138">
        <v>0.43272469374597</v>
      </c>
      <c r="BA138">
        <v>0.58303351783517798</v>
      </c>
      <c r="BB138">
        <v>0.43141761322618899</v>
      </c>
      <c r="BC138">
        <v>0.557150533489564</v>
      </c>
      <c r="BD138">
        <v>0.41670510820351397</v>
      </c>
      <c r="BE138">
        <v>0.55574340282910994</v>
      </c>
      <c r="BF138">
        <v>-0.142875784139083</v>
      </c>
      <c r="BG138">
        <v>0.116976117595777</v>
      </c>
      <c r="BH138">
        <v>1000</v>
      </c>
      <c r="BI138">
        <v>0.40461914381053199</v>
      </c>
      <c r="BJ138">
        <v>0.52180056978192002</v>
      </c>
      <c r="BK138">
        <v>9</v>
      </c>
    </row>
    <row r="139" spans="1:63" x14ac:dyDescent="0.3">
      <c r="A139" t="s">
        <v>528</v>
      </c>
      <c r="B139" t="s">
        <v>109</v>
      </c>
      <c r="C139" t="s">
        <v>37</v>
      </c>
      <c r="D139" t="s">
        <v>66</v>
      </c>
      <c r="E139" t="s">
        <v>490</v>
      </c>
      <c r="F139">
        <v>2</v>
      </c>
      <c r="G139" t="s">
        <v>24</v>
      </c>
      <c r="H139" t="s">
        <v>26</v>
      </c>
      <c r="I139" t="s">
        <v>33</v>
      </c>
      <c r="J139" t="s">
        <v>29</v>
      </c>
      <c r="K139" t="s">
        <v>111</v>
      </c>
      <c r="L139">
        <v>10</v>
      </c>
      <c r="M139">
        <v>278</v>
      </c>
      <c r="N139">
        <v>42</v>
      </c>
      <c r="O139">
        <v>42</v>
      </c>
      <c r="P139" t="b">
        <v>1</v>
      </c>
      <c r="Q139" t="s">
        <v>112</v>
      </c>
      <c r="R139">
        <v>0.49313035820388701</v>
      </c>
      <c r="S139">
        <v>42</v>
      </c>
      <c r="T139">
        <v>0</v>
      </c>
      <c r="U139" t="s">
        <v>529</v>
      </c>
      <c r="V139" t="s">
        <v>482</v>
      </c>
      <c r="W139">
        <v>0.30952380952380898</v>
      </c>
      <c r="X139" t="b">
        <v>0</v>
      </c>
      <c r="Y139">
        <v>466.457776400493</v>
      </c>
      <c r="Z139">
        <v>44.946230799425301</v>
      </c>
      <c r="AA139">
        <v>5698.3099646000101</v>
      </c>
      <c r="AB139">
        <v>278</v>
      </c>
      <c r="AC139">
        <v>2</v>
      </c>
      <c r="AD139">
        <v>0.48201438848920802</v>
      </c>
      <c r="AE139">
        <v>0.47687333785263503</v>
      </c>
      <c r="AF139">
        <v>0.476737477052189</v>
      </c>
      <c r="AG139">
        <v>0.47687333785263503</v>
      </c>
      <c r="AH139">
        <v>0.47670588235294098</v>
      </c>
      <c r="AI139">
        <v>-4.6388986145821598E-2</v>
      </c>
      <c r="AJ139" t="s">
        <v>530</v>
      </c>
      <c r="AK139">
        <v>0.50722219325233298</v>
      </c>
      <c r="AL139">
        <v>0.440301811787918</v>
      </c>
      <c r="AM139">
        <v>151</v>
      </c>
      <c r="AN139">
        <v>0.52258064516128999</v>
      </c>
      <c r="AO139">
        <v>0.53642384105960195</v>
      </c>
      <c r="AP139">
        <v>0.52941176470588203</v>
      </c>
      <c r="AQ139">
        <v>127</v>
      </c>
      <c r="AR139">
        <v>0.430894308943089</v>
      </c>
      <c r="AS139">
        <v>0.41732283464566899</v>
      </c>
      <c r="AT139">
        <v>0.42399999999999999</v>
      </c>
      <c r="AU139">
        <v>81</v>
      </c>
      <c r="AV139">
        <v>70</v>
      </c>
      <c r="AW139">
        <v>74</v>
      </c>
      <c r="AX139">
        <v>53</v>
      </c>
      <c r="AY139">
        <v>1000</v>
      </c>
      <c r="AZ139">
        <v>0.40416594076654999</v>
      </c>
      <c r="BA139">
        <v>0.55872658412415899</v>
      </c>
      <c r="BB139">
        <v>0.40367929153777699</v>
      </c>
      <c r="BC139">
        <v>0.54789025202051</v>
      </c>
      <c r="BD139">
        <v>0.400978555906427</v>
      </c>
      <c r="BE139">
        <v>0.54537538813849695</v>
      </c>
      <c r="BF139">
        <v>-0.19290511986556499</v>
      </c>
      <c r="BG139">
        <v>9.6619478482141197E-2</v>
      </c>
      <c r="BH139">
        <v>1000</v>
      </c>
      <c r="BI139">
        <v>0.43752451793278402</v>
      </c>
      <c r="BJ139">
        <v>0.55136123556819905</v>
      </c>
      <c r="BK139">
        <v>7</v>
      </c>
    </row>
    <row r="140" spans="1:63" x14ac:dyDescent="0.3">
      <c r="A140" t="s">
        <v>531</v>
      </c>
      <c r="B140" t="s">
        <v>109</v>
      </c>
      <c r="C140" t="s">
        <v>37</v>
      </c>
      <c r="D140" t="s">
        <v>66</v>
      </c>
      <c r="E140" t="s">
        <v>495</v>
      </c>
      <c r="F140">
        <v>3</v>
      </c>
      <c r="G140" t="s">
        <v>24</v>
      </c>
      <c r="H140" t="s">
        <v>26</v>
      </c>
      <c r="I140" t="s">
        <v>34</v>
      </c>
      <c r="J140" t="s">
        <v>29</v>
      </c>
      <c r="K140" t="s">
        <v>111</v>
      </c>
      <c r="L140">
        <v>10</v>
      </c>
      <c r="M140">
        <v>278</v>
      </c>
      <c r="N140">
        <v>42</v>
      </c>
      <c r="O140">
        <v>42</v>
      </c>
      <c r="P140" t="b">
        <v>1</v>
      </c>
      <c r="Q140" t="s">
        <v>112</v>
      </c>
      <c r="R140">
        <v>0.51744174942704302</v>
      </c>
      <c r="S140">
        <v>42</v>
      </c>
      <c r="T140">
        <v>0</v>
      </c>
      <c r="U140" t="s">
        <v>532</v>
      </c>
      <c r="V140" t="s">
        <v>487</v>
      </c>
      <c r="W140">
        <v>0.33333333333333298</v>
      </c>
      <c r="X140" t="b">
        <v>0</v>
      </c>
      <c r="Y140">
        <v>502.32889160187898</v>
      </c>
      <c r="Z140">
        <v>52.040073699317801</v>
      </c>
      <c r="AA140">
        <v>5741.6500421999899</v>
      </c>
      <c r="AB140">
        <v>278</v>
      </c>
      <c r="AC140">
        <v>2</v>
      </c>
      <c r="AD140">
        <v>0.52517985611510698</v>
      </c>
      <c r="AE140">
        <v>0.51222819001929398</v>
      </c>
      <c r="AF140">
        <v>0.51335649598450706</v>
      </c>
      <c r="AG140">
        <v>0.51222819001929398</v>
      </c>
      <c r="AH140">
        <v>0.50656196213425098</v>
      </c>
      <c r="AI140">
        <v>2.5559794278553601E-2</v>
      </c>
      <c r="AJ140" t="s">
        <v>533</v>
      </c>
      <c r="AK140">
        <v>0.47981957553318999</v>
      </c>
      <c r="AL140">
        <v>0.45321775131965197</v>
      </c>
      <c r="AM140">
        <v>151</v>
      </c>
      <c r="AN140">
        <v>0.55248618784530301</v>
      </c>
      <c r="AO140">
        <v>0.66225165562913901</v>
      </c>
      <c r="AP140">
        <v>0.60240963855421603</v>
      </c>
      <c r="AQ140">
        <v>127</v>
      </c>
      <c r="AR140">
        <v>0.47422680412371099</v>
      </c>
      <c r="AS140">
        <v>0.36220472440944801</v>
      </c>
      <c r="AT140">
        <v>0.41071428571428498</v>
      </c>
      <c r="AU140">
        <v>100</v>
      </c>
      <c r="AV140">
        <v>51</v>
      </c>
      <c r="AW140">
        <v>81</v>
      </c>
      <c r="AX140">
        <v>46</v>
      </c>
      <c r="AY140">
        <v>1000</v>
      </c>
      <c r="AZ140">
        <v>0.43771091836596598</v>
      </c>
      <c r="BA140">
        <v>0.60970156959933897</v>
      </c>
      <c r="BB140">
        <v>0.431314971917935</v>
      </c>
      <c r="BC140">
        <v>0.59242797290022098</v>
      </c>
      <c r="BD140">
        <v>0.41865887736951701</v>
      </c>
      <c r="BE140">
        <v>0.58962734623262802</v>
      </c>
      <c r="BF140">
        <v>-0.13901023013606201</v>
      </c>
      <c r="BG140">
        <v>0.19380570525835999</v>
      </c>
      <c r="BH140">
        <v>1000</v>
      </c>
      <c r="BI140">
        <v>0.45584855759832599</v>
      </c>
      <c r="BJ140">
        <v>0.57655250318795503</v>
      </c>
      <c r="BK140">
        <v>2</v>
      </c>
    </row>
    <row r="141" spans="1:63" x14ac:dyDescent="0.3">
      <c r="A141" t="s">
        <v>534</v>
      </c>
      <c r="B141" t="s">
        <v>109</v>
      </c>
      <c r="C141" t="s">
        <v>37</v>
      </c>
      <c r="D141" t="s">
        <v>66</v>
      </c>
      <c r="E141" t="s">
        <v>498</v>
      </c>
      <c r="F141">
        <v>4</v>
      </c>
      <c r="G141" t="s">
        <v>24</v>
      </c>
      <c r="H141" t="s">
        <v>26</v>
      </c>
      <c r="I141" t="s">
        <v>35</v>
      </c>
      <c r="J141" t="s">
        <v>29</v>
      </c>
      <c r="K141" t="s">
        <v>111</v>
      </c>
      <c r="L141">
        <v>10</v>
      </c>
      <c r="M141">
        <v>278</v>
      </c>
      <c r="N141">
        <v>42</v>
      </c>
      <c r="O141">
        <v>42</v>
      </c>
      <c r="P141" t="b">
        <v>1</v>
      </c>
      <c r="Q141" t="s">
        <v>112</v>
      </c>
      <c r="R141">
        <v>0.494371763857058</v>
      </c>
      <c r="S141">
        <v>42</v>
      </c>
      <c r="T141">
        <v>0</v>
      </c>
      <c r="U141" t="s">
        <v>535</v>
      </c>
      <c r="V141" t="s">
        <v>492</v>
      </c>
      <c r="W141">
        <v>0.28571428571428498</v>
      </c>
      <c r="X141" t="b">
        <v>0</v>
      </c>
      <c r="Y141">
        <v>500.84442029776898</v>
      </c>
      <c r="Z141">
        <v>49.055935699958297</v>
      </c>
      <c r="AA141">
        <v>5784.7842413000699</v>
      </c>
      <c r="AB141">
        <v>278</v>
      </c>
      <c r="AC141">
        <v>2</v>
      </c>
      <c r="AD141">
        <v>0.49640287769784103</v>
      </c>
      <c r="AE141">
        <v>0.48448662460238801</v>
      </c>
      <c r="AF141">
        <v>0.48335850534205899</v>
      </c>
      <c r="AG141">
        <v>0.48448662460238801</v>
      </c>
      <c r="AH141">
        <v>0.47956782199400899</v>
      </c>
      <c r="AI141">
        <v>-3.2135074532726897E-2</v>
      </c>
      <c r="AJ141" t="s">
        <v>536</v>
      </c>
      <c r="AK141">
        <v>0.48738071648328701</v>
      </c>
      <c r="AL141">
        <v>0.436169181766069</v>
      </c>
      <c r="AM141">
        <v>151</v>
      </c>
      <c r="AN141">
        <v>0.53107344632768305</v>
      </c>
      <c r="AO141">
        <v>0.62251655629139002</v>
      </c>
      <c r="AP141">
        <v>0.57317073170731703</v>
      </c>
      <c r="AQ141">
        <v>127</v>
      </c>
      <c r="AR141">
        <v>0.43564356435643498</v>
      </c>
      <c r="AS141">
        <v>0.34645669291338499</v>
      </c>
      <c r="AT141">
        <v>0.38596491228070101</v>
      </c>
      <c r="AU141">
        <v>94</v>
      </c>
      <c r="AV141">
        <v>57</v>
      </c>
      <c r="AW141">
        <v>83</v>
      </c>
      <c r="AX141">
        <v>44</v>
      </c>
      <c r="AY141">
        <v>1000</v>
      </c>
      <c r="AZ141">
        <v>0.40919992374173803</v>
      </c>
      <c r="BA141">
        <v>0.57639864232209703</v>
      </c>
      <c r="BB141">
        <v>0.403384735330303</v>
      </c>
      <c r="BC141">
        <v>0.55922474068811401</v>
      </c>
      <c r="BD141">
        <v>0.39359099327839298</v>
      </c>
      <c r="BE141">
        <v>0.553831320411314</v>
      </c>
      <c r="BF141">
        <v>-0.19808031738530699</v>
      </c>
      <c r="BG141">
        <v>0.123799998639679</v>
      </c>
      <c r="BH141">
        <v>1000</v>
      </c>
      <c r="BI141">
        <v>0.43317187754561698</v>
      </c>
      <c r="BJ141">
        <v>0.55645675505050496</v>
      </c>
      <c r="BK141">
        <v>6</v>
      </c>
    </row>
    <row r="142" spans="1:63" x14ac:dyDescent="0.3">
      <c r="A142" t="s">
        <v>537</v>
      </c>
      <c r="B142" t="s">
        <v>109</v>
      </c>
      <c r="C142" t="s">
        <v>37</v>
      </c>
      <c r="D142" t="s">
        <v>66</v>
      </c>
      <c r="E142" t="s">
        <v>502</v>
      </c>
      <c r="F142">
        <v>5</v>
      </c>
      <c r="G142" t="s">
        <v>24</v>
      </c>
      <c r="H142" t="s">
        <v>36</v>
      </c>
      <c r="I142" t="s">
        <v>27</v>
      </c>
      <c r="J142" t="s">
        <v>29</v>
      </c>
      <c r="K142" t="s">
        <v>111</v>
      </c>
      <c r="L142">
        <v>10</v>
      </c>
      <c r="M142">
        <v>278</v>
      </c>
      <c r="N142">
        <v>42</v>
      </c>
      <c r="O142">
        <v>42</v>
      </c>
      <c r="P142" t="b">
        <v>1</v>
      </c>
      <c r="Q142" t="s">
        <v>112</v>
      </c>
      <c r="R142">
        <v>0.48511851710381099</v>
      </c>
      <c r="S142">
        <v>42</v>
      </c>
      <c r="T142">
        <v>0</v>
      </c>
      <c r="U142" t="s">
        <v>538</v>
      </c>
      <c r="V142" t="s">
        <v>482</v>
      </c>
      <c r="W142">
        <v>0.452380952380952</v>
      </c>
      <c r="X142" t="b">
        <v>0</v>
      </c>
      <c r="Y142">
        <v>377.39487820025499</v>
      </c>
      <c r="Z142">
        <v>33.829723599832498</v>
      </c>
      <c r="AA142">
        <v>5827.3513283000702</v>
      </c>
      <c r="AB142">
        <v>278</v>
      </c>
      <c r="AC142">
        <v>2</v>
      </c>
      <c r="AD142">
        <v>0.47122302158273299</v>
      </c>
      <c r="AE142">
        <v>0.46005631746362802</v>
      </c>
      <c r="AF142">
        <v>0.45767020335985797</v>
      </c>
      <c r="AG142">
        <v>0.46005631746362802</v>
      </c>
      <c r="AH142">
        <v>0.45566433566433501</v>
      </c>
      <c r="AI142">
        <v>-8.2238870586188895E-2</v>
      </c>
      <c r="AJ142" t="s">
        <v>539</v>
      </c>
      <c r="AK142">
        <v>0.44097095478959097</v>
      </c>
      <c r="AL142">
        <v>0.44781001533176101</v>
      </c>
      <c r="AM142">
        <v>151</v>
      </c>
      <c r="AN142">
        <v>0.51149425287356298</v>
      </c>
      <c r="AO142">
        <v>0.58940397350993301</v>
      </c>
      <c r="AP142">
        <v>0.54769230769230703</v>
      </c>
      <c r="AQ142">
        <v>127</v>
      </c>
      <c r="AR142">
        <v>0.40384615384615302</v>
      </c>
      <c r="AS142">
        <v>0.33070866141732203</v>
      </c>
      <c r="AT142">
        <v>0.36363636363636298</v>
      </c>
      <c r="AU142">
        <v>89</v>
      </c>
      <c r="AV142">
        <v>62</v>
      </c>
      <c r="AW142">
        <v>85</v>
      </c>
      <c r="AX142">
        <v>42</v>
      </c>
      <c r="AY142">
        <v>1000</v>
      </c>
      <c r="AZ142">
        <v>0.38652482269503502</v>
      </c>
      <c r="BA142">
        <v>0.55749285588950404</v>
      </c>
      <c r="BB142">
        <v>0.39032231313577997</v>
      </c>
      <c r="BC142">
        <v>0.53990254493396805</v>
      </c>
      <c r="BD142">
        <v>0.37515470932485401</v>
      </c>
      <c r="BE142">
        <v>0.533317066720708</v>
      </c>
      <c r="BF142">
        <v>-0.22690452755725701</v>
      </c>
      <c r="BG142">
        <v>7.5993488873246001E-2</v>
      </c>
      <c r="BH142">
        <v>1000</v>
      </c>
      <c r="BI142">
        <v>0.412069042401907</v>
      </c>
      <c r="BJ142">
        <v>0.563345880542369</v>
      </c>
      <c r="BK142">
        <v>8</v>
      </c>
    </row>
    <row r="143" spans="1:63" x14ac:dyDescent="0.3">
      <c r="A143" t="s">
        <v>540</v>
      </c>
      <c r="B143" t="s">
        <v>109</v>
      </c>
      <c r="C143" t="s">
        <v>37</v>
      </c>
      <c r="D143" t="s">
        <v>66</v>
      </c>
      <c r="E143" t="s">
        <v>506</v>
      </c>
      <c r="F143">
        <v>6</v>
      </c>
      <c r="G143" t="s">
        <v>24</v>
      </c>
      <c r="H143" t="s">
        <v>36</v>
      </c>
      <c r="I143" t="s">
        <v>32</v>
      </c>
      <c r="J143" t="s">
        <v>29</v>
      </c>
      <c r="K143" t="s">
        <v>111</v>
      </c>
      <c r="L143">
        <v>10</v>
      </c>
      <c r="M143">
        <v>278</v>
      </c>
      <c r="N143">
        <v>42</v>
      </c>
      <c r="O143">
        <v>42</v>
      </c>
      <c r="P143" t="b">
        <v>1</v>
      </c>
      <c r="Q143" t="s">
        <v>112</v>
      </c>
      <c r="R143">
        <v>0.49627790510143399</v>
      </c>
      <c r="S143">
        <v>42</v>
      </c>
      <c r="T143">
        <v>0</v>
      </c>
      <c r="U143" t="s">
        <v>541</v>
      </c>
      <c r="V143" t="s">
        <v>487</v>
      </c>
      <c r="W143">
        <v>0.35714285714285698</v>
      </c>
      <c r="X143" t="b">
        <v>0</v>
      </c>
      <c r="Y143">
        <v>394.96953600272502</v>
      </c>
      <c r="Z143">
        <v>35.902347598923299</v>
      </c>
      <c r="AA143">
        <v>5870.0511564998797</v>
      </c>
      <c r="AB143">
        <v>278</v>
      </c>
      <c r="AC143">
        <v>2</v>
      </c>
      <c r="AD143">
        <v>0.5</v>
      </c>
      <c r="AE143">
        <v>0.489049382072274</v>
      </c>
      <c r="AF143">
        <v>0.48839522546419001</v>
      </c>
      <c r="AG143">
        <v>0.489049382072274</v>
      </c>
      <c r="AH143">
        <v>0.48528804528804498</v>
      </c>
      <c r="AI143">
        <v>-2.2545904468798499E-2</v>
      </c>
      <c r="AJ143" t="s">
        <v>542</v>
      </c>
      <c r="AK143">
        <v>0.52380455754288902</v>
      </c>
      <c r="AL143">
        <v>0.48842499027453501</v>
      </c>
      <c r="AM143">
        <v>151</v>
      </c>
      <c r="AN143">
        <v>0.53448275862068895</v>
      </c>
      <c r="AO143">
        <v>0.61589403973509904</v>
      </c>
      <c r="AP143">
        <v>0.57230769230769196</v>
      </c>
      <c r="AQ143">
        <v>127</v>
      </c>
      <c r="AR143">
        <v>0.44230769230769201</v>
      </c>
      <c r="AS143">
        <v>0.36220472440944801</v>
      </c>
      <c r="AT143">
        <v>0.39826839826839799</v>
      </c>
      <c r="AU143">
        <v>93</v>
      </c>
      <c r="AV143">
        <v>58</v>
      </c>
      <c r="AW143">
        <v>81</v>
      </c>
      <c r="AX143">
        <v>46</v>
      </c>
      <c r="AY143">
        <v>1000</v>
      </c>
      <c r="AZ143">
        <v>0.43230322553595801</v>
      </c>
      <c r="BA143">
        <v>0.56492374930258504</v>
      </c>
      <c r="BB143">
        <v>0.42515382522294698</v>
      </c>
      <c r="BC143">
        <v>0.547259869685643</v>
      </c>
      <c r="BD143">
        <v>0.41958422286318497</v>
      </c>
      <c r="BE143">
        <v>0.54256858251899198</v>
      </c>
      <c r="BF143">
        <v>-0.15069741030487099</v>
      </c>
      <c r="BG143">
        <v>9.4116399557473404E-2</v>
      </c>
      <c r="BH143">
        <v>1000</v>
      </c>
      <c r="BI143">
        <v>0.42717405901622402</v>
      </c>
      <c r="BJ143">
        <v>0.56386458710160403</v>
      </c>
      <c r="BK143">
        <v>5</v>
      </c>
    </row>
    <row r="144" spans="1:63" x14ac:dyDescent="0.3">
      <c r="A144" t="s">
        <v>543</v>
      </c>
      <c r="B144" t="s">
        <v>109</v>
      </c>
      <c r="C144" t="s">
        <v>37</v>
      </c>
      <c r="D144" t="s">
        <v>66</v>
      </c>
      <c r="E144" t="s">
        <v>511</v>
      </c>
      <c r="F144">
        <v>7</v>
      </c>
      <c r="G144" t="s">
        <v>24</v>
      </c>
      <c r="H144" t="s">
        <v>36</v>
      </c>
      <c r="I144" t="s">
        <v>33</v>
      </c>
      <c r="J144" t="s">
        <v>29</v>
      </c>
      <c r="K144" t="s">
        <v>111</v>
      </c>
      <c r="L144">
        <v>10</v>
      </c>
      <c r="M144">
        <v>278</v>
      </c>
      <c r="N144">
        <v>42</v>
      </c>
      <c r="O144">
        <v>42</v>
      </c>
      <c r="P144" t="b">
        <v>1</v>
      </c>
      <c r="Q144" t="s">
        <v>112</v>
      </c>
      <c r="R144">
        <v>0.50910204991087304</v>
      </c>
      <c r="S144">
        <v>42</v>
      </c>
      <c r="T144">
        <v>0</v>
      </c>
      <c r="U144" t="s">
        <v>544</v>
      </c>
      <c r="V144" t="s">
        <v>482</v>
      </c>
      <c r="W144">
        <v>0.35714285714285698</v>
      </c>
      <c r="X144" t="b">
        <v>0</v>
      </c>
      <c r="Y144">
        <v>402.92686999868602</v>
      </c>
      <c r="Z144">
        <v>34.904284099582497</v>
      </c>
      <c r="AA144">
        <v>5912.5676959999801</v>
      </c>
      <c r="AB144">
        <v>278</v>
      </c>
      <c r="AC144">
        <v>2</v>
      </c>
      <c r="AD144">
        <v>0.48920863309352502</v>
      </c>
      <c r="AE144">
        <v>0.48349585440892701</v>
      </c>
      <c r="AF144">
        <v>0.48333947465389199</v>
      </c>
      <c r="AG144">
        <v>0.48349585440892701</v>
      </c>
      <c r="AH144">
        <v>0.48319019689987402</v>
      </c>
      <c r="AI144">
        <v>-3.3164302250215397E-2</v>
      </c>
      <c r="AJ144" t="s">
        <v>545</v>
      </c>
      <c r="AK144">
        <v>0.490691974761432</v>
      </c>
      <c r="AL144">
        <v>0.449227403107676</v>
      </c>
      <c r="AM144">
        <v>151</v>
      </c>
      <c r="AN144">
        <v>0.52866242038216504</v>
      </c>
      <c r="AO144">
        <v>0.54966887417218502</v>
      </c>
      <c r="AP144">
        <v>0.53896103896103897</v>
      </c>
      <c r="AQ144">
        <v>127</v>
      </c>
      <c r="AR144">
        <v>0.43801652892561899</v>
      </c>
      <c r="AS144">
        <v>0.41732283464566899</v>
      </c>
      <c r="AT144">
        <v>0.42741935483870902</v>
      </c>
      <c r="AU144">
        <v>83</v>
      </c>
      <c r="AV144">
        <v>68</v>
      </c>
      <c r="AW144">
        <v>74</v>
      </c>
      <c r="AX144">
        <v>53</v>
      </c>
      <c r="AY144">
        <v>1000</v>
      </c>
      <c r="AZ144">
        <v>0.413919413919413</v>
      </c>
      <c r="BA144">
        <v>0.56088560885608796</v>
      </c>
      <c r="BB144">
        <v>0.41377060686516098</v>
      </c>
      <c r="BC144">
        <v>0.54817715857308502</v>
      </c>
      <c r="BD144">
        <v>0.41142153765261302</v>
      </c>
      <c r="BE144">
        <v>0.54677180020366301</v>
      </c>
      <c r="BF144">
        <v>-0.172682275211473</v>
      </c>
      <c r="BG144">
        <v>9.5939891527150406E-2</v>
      </c>
      <c r="BH144">
        <v>1000</v>
      </c>
      <c r="BI144">
        <v>0.44349784167765099</v>
      </c>
      <c r="BJ144">
        <v>0.57648189275710204</v>
      </c>
      <c r="BK144">
        <v>3</v>
      </c>
    </row>
    <row r="145" spans="1:63" x14ac:dyDescent="0.3">
      <c r="A145" t="s">
        <v>546</v>
      </c>
      <c r="B145" t="s">
        <v>109</v>
      </c>
      <c r="C145" t="s">
        <v>37</v>
      </c>
      <c r="D145" t="s">
        <v>66</v>
      </c>
      <c r="E145" t="s">
        <v>515</v>
      </c>
      <c r="F145">
        <v>8</v>
      </c>
      <c r="G145" t="s">
        <v>24</v>
      </c>
      <c r="H145" t="s">
        <v>36</v>
      </c>
      <c r="I145" t="s">
        <v>34</v>
      </c>
      <c r="J145" t="s">
        <v>29</v>
      </c>
      <c r="K145" t="s">
        <v>111</v>
      </c>
      <c r="L145">
        <v>10</v>
      </c>
      <c r="M145">
        <v>278</v>
      </c>
      <c r="N145">
        <v>42</v>
      </c>
      <c r="O145">
        <v>42</v>
      </c>
      <c r="P145" t="b">
        <v>1</v>
      </c>
      <c r="Q145" t="s">
        <v>112</v>
      </c>
      <c r="R145">
        <v>0.53695781342840099</v>
      </c>
      <c r="S145">
        <v>42</v>
      </c>
      <c r="T145">
        <v>0</v>
      </c>
      <c r="U145" t="s">
        <v>547</v>
      </c>
      <c r="V145" t="s">
        <v>508</v>
      </c>
      <c r="W145">
        <v>0.38095238095237999</v>
      </c>
      <c r="X145" t="b">
        <v>0</v>
      </c>
      <c r="Y145">
        <v>420.80001150141402</v>
      </c>
      <c r="Z145">
        <v>37.6740457997657</v>
      </c>
      <c r="AA145">
        <v>5956.0224931999101</v>
      </c>
      <c r="AB145">
        <v>278</v>
      </c>
      <c r="AC145">
        <v>2</v>
      </c>
      <c r="AD145">
        <v>0.52517985611510698</v>
      </c>
      <c r="AE145">
        <v>0.51410543880690396</v>
      </c>
      <c r="AF145">
        <v>0.51500693481276005</v>
      </c>
      <c r="AG145">
        <v>0.51410543880690396</v>
      </c>
      <c r="AH145">
        <v>0.51058949053080804</v>
      </c>
      <c r="AI145">
        <v>2.9098412374601101E-2</v>
      </c>
      <c r="AJ145" t="s">
        <v>548</v>
      </c>
      <c r="AK145">
        <v>0.49311675444542902</v>
      </c>
      <c r="AL145">
        <v>0.45534271660693398</v>
      </c>
      <c r="AM145">
        <v>151</v>
      </c>
      <c r="AN145">
        <v>0.55428571428571405</v>
      </c>
      <c r="AO145">
        <v>0.64238410596026396</v>
      </c>
      <c r="AP145">
        <v>0.59509202453987697</v>
      </c>
      <c r="AQ145">
        <v>127</v>
      </c>
      <c r="AR145">
        <v>0.475728155339805</v>
      </c>
      <c r="AS145">
        <v>0.38582677165354301</v>
      </c>
      <c r="AT145">
        <v>0.426086956521739</v>
      </c>
      <c r="AU145">
        <v>97</v>
      </c>
      <c r="AV145">
        <v>54</v>
      </c>
      <c r="AW145">
        <v>78</v>
      </c>
      <c r="AX145">
        <v>49</v>
      </c>
      <c r="AY145">
        <v>1000</v>
      </c>
      <c r="AZ145">
        <v>0.44326241134751698</v>
      </c>
      <c r="BA145">
        <v>0.59480454329118404</v>
      </c>
      <c r="BB145">
        <v>0.44594859403641401</v>
      </c>
      <c r="BC145">
        <v>0.57207789785205398</v>
      </c>
      <c r="BD145">
        <v>0.43465515317404502</v>
      </c>
      <c r="BE145">
        <v>0.56966878348690597</v>
      </c>
      <c r="BF145">
        <v>-0.11143827555850599</v>
      </c>
      <c r="BG145">
        <v>0.14904553045476601</v>
      </c>
      <c r="BH145">
        <v>1000</v>
      </c>
      <c r="BI145">
        <v>0.47281000873231599</v>
      </c>
      <c r="BJ145">
        <v>0.60143390376984096</v>
      </c>
      <c r="BK145">
        <v>1</v>
      </c>
    </row>
    <row r="146" spans="1:63" x14ac:dyDescent="0.3">
      <c r="A146" t="s">
        <v>549</v>
      </c>
      <c r="B146" t="s">
        <v>109</v>
      </c>
      <c r="C146" t="s">
        <v>37</v>
      </c>
      <c r="D146" t="s">
        <v>66</v>
      </c>
      <c r="E146" t="s">
        <v>519</v>
      </c>
      <c r="F146">
        <v>9</v>
      </c>
      <c r="G146" t="s">
        <v>24</v>
      </c>
      <c r="H146" t="s">
        <v>36</v>
      </c>
      <c r="I146" t="s">
        <v>35</v>
      </c>
      <c r="J146" t="s">
        <v>29</v>
      </c>
      <c r="K146" t="s">
        <v>111</v>
      </c>
      <c r="L146">
        <v>10</v>
      </c>
      <c r="M146">
        <v>278</v>
      </c>
      <c r="N146">
        <v>42</v>
      </c>
      <c r="O146">
        <v>42</v>
      </c>
      <c r="P146" t="b">
        <v>1</v>
      </c>
      <c r="Q146" t="s">
        <v>112</v>
      </c>
      <c r="R146">
        <v>0.50025040319157899</v>
      </c>
      <c r="S146">
        <v>42</v>
      </c>
      <c r="T146">
        <v>0</v>
      </c>
      <c r="U146" t="s">
        <v>550</v>
      </c>
      <c r="V146" t="s">
        <v>482</v>
      </c>
      <c r="W146">
        <v>0.40476190476190399</v>
      </c>
      <c r="X146" t="b">
        <v>0</v>
      </c>
      <c r="Y146">
        <v>411.54418259998698</v>
      </c>
      <c r="Z146">
        <v>37.493089199764597</v>
      </c>
      <c r="AA146">
        <v>5998.6295344999498</v>
      </c>
      <c r="AB146">
        <v>278</v>
      </c>
      <c r="AC146">
        <v>2</v>
      </c>
      <c r="AD146">
        <v>0.485611510791366</v>
      </c>
      <c r="AE146">
        <v>0.47955884653491099</v>
      </c>
      <c r="AF146">
        <v>0.47932489451476701</v>
      </c>
      <c r="AG146">
        <v>0.47955884653491099</v>
      </c>
      <c r="AH146">
        <v>0.47913473002895501</v>
      </c>
      <c r="AI146">
        <v>-4.1115593349993998E-2</v>
      </c>
      <c r="AJ146" t="s">
        <v>551</v>
      </c>
      <c r="AK146">
        <v>0.46558377222714697</v>
      </c>
      <c r="AL146">
        <v>0.44276965517875599</v>
      </c>
      <c r="AM146">
        <v>151</v>
      </c>
      <c r="AN146">
        <v>0.525316455696202</v>
      </c>
      <c r="AO146">
        <v>0.54966887417218502</v>
      </c>
      <c r="AP146">
        <v>0.53721682847896401</v>
      </c>
      <c r="AQ146">
        <v>127</v>
      </c>
      <c r="AR146">
        <v>0.43333333333333302</v>
      </c>
      <c r="AS146">
        <v>0.40944881889763701</v>
      </c>
      <c r="AT146">
        <v>0.42105263157894701</v>
      </c>
      <c r="AU146">
        <v>83</v>
      </c>
      <c r="AV146">
        <v>68</v>
      </c>
      <c r="AW146">
        <v>75</v>
      </c>
      <c r="AX146">
        <v>52</v>
      </c>
      <c r="AY146">
        <v>1000</v>
      </c>
      <c r="AZ146">
        <v>0.40844164250207099</v>
      </c>
      <c r="BA146">
        <v>0.56002439024390205</v>
      </c>
      <c r="BB146">
        <v>0.40405872384174701</v>
      </c>
      <c r="BC146">
        <v>0.55210704348361295</v>
      </c>
      <c r="BD146">
        <v>0.40252493538183898</v>
      </c>
      <c r="BE146">
        <v>0.55004651661775406</v>
      </c>
      <c r="BF146">
        <v>-0.19357677893348199</v>
      </c>
      <c r="BG146">
        <v>0.102095386500849</v>
      </c>
      <c r="BH146">
        <v>1000</v>
      </c>
      <c r="BI146">
        <v>0.424359368780166</v>
      </c>
      <c r="BJ146">
        <v>0.56987084208683403</v>
      </c>
      <c r="BK146">
        <v>4</v>
      </c>
    </row>
    <row r="147" spans="1:63" x14ac:dyDescent="0.3">
      <c r="A147" t="s">
        <v>0</v>
      </c>
      <c r="B147" t="s">
        <v>69</v>
      </c>
      <c r="C147" t="s">
        <v>2</v>
      </c>
      <c r="D147" t="s">
        <v>70</v>
      </c>
      <c r="E147" t="s">
        <v>71</v>
      </c>
      <c r="F147" t="s">
        <v>72</v>
      </c>
      <c r="G147" t="s">
        <v>1</v>
      </c>
      <c r="H147" t="s">
        <v>3</v>
      </c>
      <c r="I147" t="s">
        <v>4</v>
      </c>
      <c r="J147" t="s">
        <v>5</v>
      </c>
      <c r="K147" t="s">
        <v>73</v>
      </c>
      <c r="L147" t="s">
        <v>74</v>
      </c>
      <c r="M147" t="s">
        <v>75</v>
      </c>
      <c r="N147" t="s">
        <v>6</v>
      </c>
      <c r="O147" t="s">
        <v>7</v>
      </c>
      <c r="P147" t="s">
        <v>8</v>
      </c>
      <c r="Q147" t="s">
        <v>76</v>
      </c>
      <c r="R147" t="s">
        <v>77</v>
      </c>
      <c r="S147" t="s">
        <v>78</v>
      </c>
      <c r="T147" t="s">
        <v>79</v>
      </c>
      <c r="U147" t="s">
        <v>80</v>
      </c>
      <c r="V147" t="s">
        <v>81</v>
      </c>
      <c r="W147" t="s">
        <v>82</v>
      </c>
      <c r="X147" t="s">
        <v>9</v>
      </c>
      <c r="Y147" t="s">
        <v>83</v>
      </c>
      <c r="Z147" t="s">
        <v>84</v>
      </c>
      <c r="AA147" t="s">
        <v>85</v>
      </c>
      <c r="AB147" t="s">
        <v>10</v>
      </c>
      <c r="AC147" t="s">
        <v>86</v>
      </c>
      <c r="AD147" t="s">
        <v>11</v>
      </c>
      <c r="AE147" t="s">
        <v>87</v>
      </c>
      <c r="AF147" t="s">
        <v>88</v>
      </c>
      <c r="AG147" t="s">
        <v>89</v>
      </c>
      <c r="AH147" t="s">
        <v>90</v>
      </c>
      <c r="AI147" t="s">
        <v>12</v>
      </c>
      <c r="AJ147" t="s">
        <v>91</v>
      </c>
      <c r="AK147" t="s">
        <v>17</v>
      </c>
      <c r="AL147" t="s">
        <v>18</v>
      </c>
      <c r="AM147" t="s">
        <v>92</v>
      </c>
      <c r="AN147" t="s">
        <v>93</v>
      </c>
      <c r="AO147" t="s">
        <v>94</v>
      </c>
      <c r="AP147" t="s">
        <v>95</v>
      </c>
      <c r="AQ147" t="s">
        <v>380</v>
      </c>
      <c r="AR147" t="s">
        <v>381</v>
      </c>
      <c r="AS147" t="s">
        <v>382</v>
      </c>
      <c r="AT147" t="s">
        <v>383</v>
      </c>
      <c r="AU147" t="s">
        <v>96</v>
      </c>
      <c r="AV147" t="s">
        <v>97</v>
      </c>
      <c r="AW147" t="s">
        <v>98</v>
      </c>
      <c r="AX147" t="s">
        <v>99</v>
      </c>
      <c r="AY147" t="s">
        <v>19</v>
      </c>
      <c r="AZ147" t="s">
        <v>20</v>
      </c>
      <c r="BA147" t="s">
        <v>21</v>
      </c>
      <c r="BB147" t="s">
        <v>100</v>
      </c>
      <c r="BC147" t="s">
        <v>101</v>
      </c>
      <c r="BD147" t="s">
        <v>102</v>
      </c>
      <c r="BE147" t="s">
        <v>103</v>
      </c>
      <c r="BF147" t="s">
        <v>22</v>
      </c>
      <c r="BG147" t="s">
        <v>23</v>
      </c>
      <c r="BH147" t="s">
        <v>104</v>
      </c>
      <c r="BI147" t="s">
        <v>105</v>
      </c>
      <c r="BJ147" t="s">
        <v>106</v>
      </c>
      <c r="BK147" t="s">
        <v>107</v>
      </c>
    </row>
    <row r="148" spans="1:63" x14ac:dyDescent="0.3">
      <c r="A148" t="s">
        <v>552</v>
      </c>
      <c r="B148" t="s">
        <v>109</v>
      </c>
      <c r="C148" t="s">
        <v>25</v>
      </c>
      <c r="D148" t="s">
        <v>67</v>
      </c>
      <c r="E148" t="s">
        <v>480</v>
      </c>
      <c r="F148">
        <v>0</v>
      </c>
      <c r="G148" t="s">
        <v>24</v>
      </c>
      <c r="H148" t="s">
        <v>26</v>
      </c>
      <c r="I148" t="s">
        <v>27</v>
      </c>
      <c r="J148" t="s">
        <v>29</v>
      </c>
      <c r="K148" t="s">
        <v>111</v>
      </c>
      <c r="L148">
        <v>10</v>
      </c>
      <c r="M148">
        <v>332</v>
      </c>
      <c r="N148">
        <v>42</v>
      </c>
      <c r="O148">
        <v>42</v>
      </c>
      <c r="P148" t="b">
        <v>1</v>
      </c>
      <c r="Q148" t="s">
        <v>112</v>
      </c>
      <c r="R148">
        <v>0.340989159891598</v>
      </c>
      <c r="S148">
        <v>42</v>
      </c>
      <c r="T148">
        <v>0</v>
      </c>
      <c r="U148" t="s">
        <v>553</v>
      </c>
      <c r="V148" t="s">
        <v>487</v>
      </c>
      <c r="W148">
        <v>0.33333333333333298</v>
      </c>
      <c r="X148" t="b">
        <v>0</v>
      </c>
      <c r="Y148">
        <v>427.57688730046999</v>
      </c>
      <c r="Z148">
        <v>42.447691699024197</v>
      </c>
      <c r="AA148">
        <v>5059.9019924998202</v>
      </c>
      <c r="AB148">
        <v>332</v>
      </c>
      <c r="AC148">
        <v>3</v>
      </c>
      <c r="AD148">
        <v>0.343373493975903</v>
      </c>
      <c r="AE148">
        <v>0.33948858301259799</v>
      </c>
      <c r="AF148">
        <v>0.34181152366383899</v>
      </c>
      <c r="AG148">
        <v>0.33948858301259799</v>
      </c>
      <c r="AH148">
        <v>0.33683518107115101</v>
      </c>
      <c r="AI148">
        <v>7.7031803126990598E-3</v>
      </c>
      <c r="AJ148" t="s">
        <v>554</v>
      </c>
      <c r="AK148">
        <v>0.494882604068202</v>
      </c>
      <c r="AM148">
        <v>104</v>
      </c>
      <c r="AN148">
        <v>0.4</v>
      </c>
      <c r="AO148">
        <v>0.32692307692307598</v>
      </c>
      <c r="AP148">
        <v>0.35978835978835899</v>
      </c>
      <c r="AQ148">
        <v>109</v>
      </c>
      <c r="AR148">
        <v>0.26595744680851002</v>
      </c>
      <c r="AS148">
        <v>0.22935779816513699</v>
      </c>
      <c r="AT148">
        <v>0.24630541871921099</v>
      </c>
      <c r="AU148">
        <v>119</v>
      </c>
      <c r="AV148">
        <v>0.35947712418300598</v>
      </c>
      <c r="AW148">
        <v>0.46218487394957902</v>
      </c>
      <c r="AX148">
        <v>0.40441176470588203</v>
      </c>
      <c r="AY148">
        <v>1000</v>
      </c>
      <c r="AZ148">
        <v>0.28697669400086301</v>
      </c>
      <c r="BA148">
        <v>0.40121298189120203</v>
      </c>
      <c r="BB148">
        <v>0.28068817058497297</v>
      </c>
      <c r="BC148">
        <v>0.399861859375369</v>
      </c>
      <c r="BD148">
        <v>0.277252373050064</v>
      </c>
      <c r="BE148">
        <v>0.39278153819657302</v>
      </c>
      <c r="BF148">
        <v>-8.2103139469469497E-2</v>
      </c>
      <c r="BG148">
        <v>9.8704879035251603E-2</v>
      </c>
      <c r="BH148">
        <v>1000</v>
      </c>
      <c r="BI148">
        <v>0.28511759102219603</v>
      </c>
      <c r="BJ148">
        <v>0.39974402108472901</v>
      </c>
      <c r="BK148">
        <v>7</v>
      </c>
    </row>
    <row r="149" spans="1:63" x14ac:dyDescent="0.3">
      <c r="A149" t="s">
        <v>555</v>
      </c>
      <c r="B149" t="s">
        <v>109</v>
      </c>
      <c r="C149" t="s">
        <v>25</v>
      </c>
      <c r="D149" t="s">
        <v>67</v>
      </c>
      <c r="E149" t="s">
        <v>485</v>
      </c>
      <c r="F149">
        <v>1</v>
      </c>
      <c r="G149" t="s">
        <v>24</v>
      </c>
      <c r="H149" t="s">
        <v>26</v>
      </c>
      <c r="I149" t="s">
        <v>32</v>
      </c>
      <c r="J149" t="s">
        <v>29</v>
      </c>
      <c r="K149" t="s">
        <v>111</v>
      </c>
      <c r="L149">
        <v>10</v>
      </c>
      <c r="M149">
        <v>332</v>
      </c>
      <c r="N149">
        <v>42</v>
      </c>
      <c r="O149">
        <v>42</v>
      </c>
      <c r="P149" t="b">
        <v>1</v>
      </c>
      <c r="Q149" t="s">
        <v>112</v>
      </c>
      <c r="R149">
        <v>0.38303023819711801</v>
      </c>
      <c r="S149">
        <v>42</v>
      </c>
      <c r="T149">
        <v>0</v>
      </c>
      <c r="U149" t="s">
        <v>556</v>
      </c>
      <c r="V149" t="s">
        <v>508</v>
      </c>
      <c r="W149">
        <v>0.28571428571428498</v>
      </c>
      <c r="X149" t="b">
        <v>0</v>
      </c>
      <c r="Y149">
        <v>419.35012739663898</v>
      </c>
      <c r="Z149">
        <v>43.540201399009597</v>
      </c>
      <c r="AA149">
        <v>5097.8676679998098</v>
      </c>
      <c r="AB149">
        <v>332</v>
      </c>
      <c r="AC149">
        <v>3</v>
      </c>
      <c r="AD149">
        <v>0.38855421686746899</v>
      </c>
      <c r="AE149">
        <v>0.38796827834874198</v>
      </c>
      <c r="AF149">
        <v>0.39037137544600198</v>
      </c>
      <c r="AG149">
        <v>0.38796827834874198</v>
      </c>
      <c r="AH149">
        <v>0.38835202778231198</v>
      </c>
      <c r="AI149">
        <v>7.9367078147670495E-2</v>
      </c>
      <c r="AJ149" t="s">
        <v>557</v>
      </c>
      <c r="AK149">
        <v>0.54798614278872604</v>
      </c>
      <c r="AM149">
        <v>104</v>
      </c>
      <c r="AN149">
        <v>0.43434343434343398</v>
      </c>
      <c r="AO149">
        <v>0.41346153846153799</v>
      </c>
      <c r="AP149">
        <v>0.42364532019704398</v>
      </c>
      <c r="AQ149">
        <v>109</v>
      </c>
      <c r="AR149">
        <v>0.36363636363636298</v>
      </c>
      <c r="AS149">
        <v>0.33027522935779802</v>
      </c>
      <c r="AT149">
        <v>0.34615384615384598</v>
      </c>
      <c r="AU149">
        <v>119</v>
      </c>
      <c r="AV149">
        <v>0.37313432835820898</v>
      </c>
      <c r="AW149">
        <v>0.42016806722688999</v>
      </c>
      <c r="AX149">
        <v>0.39525691699604698</v>
      </c>
      <c r="AY149">
        <v>1000</v>
      </c>
      <c r="AZ149">
        <v>0.33636363636363598</v>
      </c>
      <c r="BA149">
        <v>0.43975903614457801</v>
      </c>
      <c r="BB149">
        <v>0.33370337757983598</v>
      </c>
      <c r="BC149">
        <v>0.44117174026820699</v>
      </c>
      <c r="BD149">
        <v>0.33216809109821499</v>
      </c>
      <c r="BE149">
        <v>0.43920219982377801</v>
      </c>
      <c r="BF149">
        <v>-1.7264266136493101E-3</v>
      </c>
      <c r="BG149">
        <v>0.15794168843635001</v>
      </c>
      <c r="BH149">
        <v>1000</v>
      </c>
      <c r="BI149">
        <v>0.32928982978485499</v>
      </c>
      <c r="BJ149">
        <v>0.43556216899357098</v>
      </c>
      <c r="BK149">
        <v>3</v>
      </c>
    </row>
    <row r="150" spans="1:63" x14ac:dyDescent="0.3">
      <c r="A150" t="s">
        <v>558</v>
      </c>
      <c r="B150" t="s">
        <v>109</v>
      </c>
      <c r="C150" t="s">
        <v>25</v>
      </c>
      <c r="D150" t="s">
        <v>67</v>
      </c>
      <c r="E150" t="s">
        <v>490</v>
      </c>
      <c r="F150">
        <v>2</v>
      </c>
      <c r="G150" t="s">
        <v>24</v>
      </c>
      <c r="H150" t="s">
        <v>26</v>
      </c>
      <c r="I150" t="s">
        <v>33</v>
      </c>
      <c r="J150" t="s">
        <v>29</v>
      </c>
      <c r="K150" t="s">
        <v>111</v>
      </c>
      <c r="L150">
        <v>10</v>
      </c>
      <c r="M150">
        <v>332</v>
      </c>
      <c r="N150">
        <v>42</v>
      </c>
      <c r="O150">
        <v>42</v>
      </c>
      <c r="P150" t="b">
        <v>1</v>
      </c>
      <c r="Q150" t="s">
        <v>112</v>
      </c>
      <c r="R150">
        <v>0.325367279988589</v>
      </c>
      <c r="S150">
        <v>42</v>
      </c>
      <c r="T150">
        <v>0</v>
      </c>
      <c r="U150" t="s">
        <v>559</v>
      </c>
      <c r="V150" t="s">
        <v>487</v>
      </c>
      <c r="W150">
        <v>0.28571428571428498</v>
      </c>
      <c r="X150" t="b">
        <v>0</v>
      </c>
      <c r="Y150">
        <v>417.53756819711998</v>
      </c>
      <c r="Z150">
        <v>43.250654700444997</v>
      </c>
      <c r="AA150">
        <v>5136.9666184999496</v>
      </c>
      <c r="AB150">
        <v>332</v>
      </c>
      <c r="AC150">
        <v>3</v>
      </c>
      <c r="AD150">
        <v>0.34939759036144502</v>
      </c>
      <c r="AE150">
        <v>0.34663272507309201</v>
      </c>
      <c r="AF150">
        <v>0.34941326655864802</v>
      </c>
      <c r="AG150">
        <v>0.34663272507309201</v>
      </c>
      <c r="AH150">
        <v>0.345671339473761</v>
      </c>
      <c r="AI150">
        <v>1.83354141218907E-2</v>
      </c>
      <c r="AJ150" t="s">
        <v>560</v>
      </c>
      <c r="AK150">
        <v>0.51960317750432405</v>
      </c>
      <c r="AM150">
        <v>104</v>
      </c>
      <c r="AN150">
        <v>0.36559139784946199</v>
      </c>
      <c r="AO150">
        <v>0.32692307692307598</v>
      </c>
      <c r="AP150">
        <v>0.34517766497461899</v>
      </c>
      <c r="AQ150">
        <v>109</v>
      </c>
      <c r="AR150">
        <v>0.33333333333333298</v>
      </c>
      <c r="AS150">
        <v>0.28440366972476999</v>
      </c>
      <c r="AT150">
        <v>0.30693069306930598</v>
      </c>
      <c r="AU150">
        <v>119</v>
      </c>
      <c r="AV150">
        <v>0.34931506849315003</v>
      </c>
      <c r="AW150">
        <v>0.42857142857142799</v>
      </c>
      <c r="AX150">
        <v>0.38490566037735802</v>
      </c>
      <c r="AY150">
        <v>1000</v>
      </c>
      <c r="AZ150">
        <v>0.30908534890186201</v>
      </c>
      <c r="BA150">
        <v>0.38972809667673702</v>
      </c>
      <c r="BB150">
        <v>0.30627308135908998</v>
      </c>
      <c r="BC150">
        <v>0.38950632760189102</v>
      </c>
      <c r="BD150">
        <v>0.30452328300596898</v>
      </c>
      <c r="BE150">
        <v>0.38713953941031398</v>
      </c>
      <c r="BF150">
        <v>-4.2284216780359901E-2</v>
      </c>
      <c r="BG150">
        <v>8.1953637759389894E-2</v>
      </c>
      <c r="BH150">
        <v>1000</v>
      </c>
      <c r="BI150">
        <v>0.28645303733858701</v>
      </c>
      <c r="BJ150">
        <v>0.364029886834845</v>
      </c>
      <c r="BK150">
        <v>9</v>
      </c>
    </row>
    <row r="151" spans="1:63" x14ac:dyDescent="0.3">
      <c r="A151" t="s">
        <v>561</v>
      </c>
      <c r="B151" t="s">
        <v>109</v>
      </c>
      <c r="C151" t="s">
        <v>25</v>
      </c>
      <c r="D151" t="s">
        <v>67</v>
      </c>
      <c r="E151" t="s">
        <v>495</v>
      </c>
      <c r="F151">
        <v>3</v>
      </c>
      <c r="G151" t="s">
        <v>24</v>
      </c>
      <c r="H151" t="s">
        <v>26</v>
      </c>
      <c r="I151" t="s">
        <v>34</v>
      </c>
      <c r="J151" t="s">
        <v>29</v>
      </c>
      <c r="K151" t="s">
        <v>111</v>
      </c>
      <c r="L151">
        <v>10</v>
      </c>
      <c r="M151">
        <v>332</v>
      </c>
      <c r="N151">
        <v>42</v>
      </c>
      <c r="O151">
        <v>42</v>
      </c>
      <c r="P151" t="b">
        <v>1</v>
      </c>
      <c r="Q151" t="s">
        <v>112</v>
      </c>
      <c r="R151">
        <v>0.34729353872486002</v>
      </c>
      <c r="S151">
        <v>42</v>
      </c>
      <c r="T151">
        <v>0</v>
      </c>
      <c r="U151" t="s">
        <v>562</v>
      </c>
      <c r="V151" t="s">
        <v>487</v>
      </c>
      <c r="W151">
        <v>0.38095238095237999</v>
      </c>
      <c r="X151" t="b">
        <v>0</v>
      </c>
      <c r="Y151">
        <v>467.71180519787498</v>
      </c>
      <c r="Z151">
        <v>52.153957799542603</v>
      </c>
      <c r="AA151">
        <v>5175.8892270999404</v>
      </c>
      <c r="AB151">
        <v>332</v>
      </c>
      <c r="AC151">
        <v>3</v>
      </c>
      <c r="AD151">
        <v>0.34638554216867401</v>
      </c>
      <c r="AE151">
        <v>0.34438263661145402</v>
      </c>
      <c r="AF151">
        <v>0.34741803895029699</v>
      </c>
      <c r="AG151">
        <v>0.34438263661145402</v>
      </c>
      <c r="AH151">
        <v>0.34407032061950799</v>
      </c>
      <c r="AI151">
        <v>1.4139315278323499E-2</v>
      </c>
      <c r="AJ151" t="s">
        <v>563</v>
      </c>
      <c r="AK151">
        <v>0.50554504245356102</v>
      </c>
      <c r="AM151">
        <v>104</v>
      </c>
      <c r="AN151">
        <v>0.38709677419354799</v>
      </c>
      <c r="AO151">
        <v>0.34615384615384598</v>
      </c>
      <c r="AP151">
        <v>0.365482233502538</v>
      </c>
      <c r="AQ151">
        <v>109</v>
      </c>
      <c r="AR151">
        <v>0.3125</v>
      </c>
      <c r="AS151">
        <v>0.27522935779816499</v>
      </c>
      <c r="AT151">
        <v>0.292682926829268</v>
      </c>
      <c r="AU151">
        <v>119</v>
      </c>
      <c r="AV151">
        <v>0.34265734265734199</v>
      </c>
      <c r="AW151">
        <v>0.41176470588235198</v>
      </c>
      <c r="AX151">
        <v>0.37404580152671701</v>
      </c>
      <c r="AY151">
        <v>1000</v>
      </c>
      <c r="AZ151">
        <v>0.29607250755287001</v>
      </c>
      <c r="BA151">
        <v>0.39639639639639601</v>
      </c>
      <c r="BB151">
        <v>0.29383133786168802</v>
      </c>
      <c r="BC151">
        <v>0.39532355794200902</v>
      </c>
      <c r="BD151">
        <v>0.28933459216970098</v>
      </c>
      <c r="BE151">
        <v>0.39461680651398701</v>
      </c>
      <c r="BF151">
        <v>-6.3258288234826002E-2</v>
      </c>
      <c r="BG151">
        <v>9.1479409215617702E-2</v>
      </c>
      <c r="BH151">
        <v>1000</v>
      </c>
      <c r="BI151">
        <v>0.30109613349196601</v>
      </c>
      <c r="BJ151">
        <v>0.39134717717048101</v>
      </c>
      <c r="BK151">
        <v>6</v>
      </c>
    </row>
    <row r="152" spans="1:63" x14ac:dyDescent="0.3">
      <c r="A152" t="s">
        <v>564</v>
      </c>
      <c r="B152" t="s">
        <v>109</v>
      </c>
      <c r="C152" t="s">
        <v>25</v>
      </c>
      <c r="D152" t="s">
        <v>67</v>
      </c>
      <c r="E152" t="s">
        <v>498</v>
      </c>
      <c r="F152">
        <v>4</v>
      </c>
      <c r="G152" t="s">
        <v>24</v>
      </c>
      <c r="H152" t="s">
        <v>26</v>
      </c>
      <c r="I152" t="s">
        <v>35</v>
      </c>
      <c r="J152" t="s">
        <v>29</v>
      </c>
      <c r="K152" t="s">
        <v>111</v>
      </c>
      <c r="L152">
        <v>10</v>
      </c>
      <c r="M152">
        <v>332</v>
      </c>
      <c r="N152">
        <v>42</v>
      </c>
      <c r="O152">
        <v>42</v>
      </c>
      <c r="P152" t="b">
        <v>1</v>
      </c>
      <c r="Q152" t="s">
        <v>112</v>
      </c>
      <c r="R152">
        <v>0.29973969476536799</v>
      </c>
      <c r="S152">
        <v>42</v>
      </c>
      <c r="T152">
        <v>0</v>
      </c>
      <c r="U152" t="s">
        <v>565</v>
      </c>
      <c r="V152" t="s">
        <v>508</v>
      </c>
      <c r="W152">
        <v>0.40476190476190399</v>
      </c>
      <c r="X152" t="b">
        <v>0</v>
      </c>
      <c r="Y152">
        <v>468.15307170175902</v>
      </c>
      <c r="Z152">
        <v>49.640387900406402</v>
      </c>
      <c r="AA152">
        <v>5214.48235689988</v>
      </c>
      <c r="AB152">
        <v>332</v>
      </c>
      <c r="AC152">
        <v>3</v>
      </c>
      <c r="AD152">
        <v>0.31626506024096301</v>
      </c>
      <c r="AE152">
        <v>0.31251544372159501</v>
      </c>
      <c r="AF152">
        <v>0.31758396268512201</v>
      </c>
      <c r="AG152">
        <v>0.31251544372159501</v>
      </c>
      <c r="AH152">
        <v>0.31039306356221003</v>
      </c>
      <c r="AI152">
        <v>-3.4938733050148003E-2</v>
      </c>
      <c r="AJ152" t="s">
        <v>566</v>
      </c>
      <c r="AK152">
        <v>0.492397964565988</v>
      </c>
      <c r="AM152">
        <v>104</v>
      </c>
      <c r="AN152">
        <v>0.34939759036144502</v>
      </c>
      <c r="AO152">
        <v>0.27884615384615302</v>
      </c>
      <c r="AP152">
        <v>0.31016042780748598</v>
      </c>
      <c r="AQ152">
        <v>109</v>
      </c>
      <c r="AR152">
        <v>0.28888888888888797</v>
      </c>
      <c r="AS152">
        <v>0.23853211009174299</v>
      </c>
      <c r="AT152">
        <v>0.26130653266331599</v>
      </c>
      <c r="AU152">
        <v>119</v>
      </c>
      <c r="AV152">
        <v>0.31446540880503099</v>
      </c>
      <c r="AW152">
        <v>0.42016806722688999</v>
      </c>
      <c r="AX152">
        <v>0.35971223021582699</v>
      </c>
      <c r="AY152">
        <v>1000</v>
      </c>
      <c r="AZ152">
        <v>0.26886743791909201</v>
      </c>
      <c r="BA152">
        <v>0.366386311684819</v>
      </c>
      <c r="BB152">
        <v>0.26463386873949002</v>
      </c>
      <c r="BC152">
        <v>0.36199279377517402</v>
      </c>
      <c r="BD152">
        <v>0.25926461938640399</v>
      </c>
      <c r="BE152">
        <v>0.35969766776720702</v>
      </c>
      <c r="BF152">
        <v>-0.10890909589985</v>
      </c>
      <c r="BG152">
        <v>4.1556895442072403E-2</v>
      </c>
      <c r="BH152">
        <v>1000</v>
      </c>
      <c r="BI152">
        <v>0.25397981960124899</v>
      </c>
      <c r="BJ152">
        <v>0.349531397939292</v>
      </c>
      <c r="BK152">
        <v>10</v>
      </c>
    </row>
    <row r="153" spans="1:63" x14ac:dyDescent="0.3">
      <c r="A153" t="s">
        <v>567</v>
      </c>
      <c r="B153" t="s">
        <v>109</v>
      </c>
      <c r="C153" t="s">
        <v>25</v>
      </c>
      <c r="D153" t="s">
        <v>67</v>
      </c>
      <c r="E153" t="s">
        <v>502</v>
      </c>
      <c r="F153">
        <v>5</v>
      </c>
      <c r="G153" t="s">
        <v>24</v>
      </c>
      <c r="H153" t="s">
        <v>36</v>
      </c>
      <c r="I153" t="s">
        <v>27</v>
      </c>
      <c r="J153" t="s">
        <v>29</v>
      </c>
      <c r="K153" t="s">
        <v>111</v>
      </c>
      <c r="L153">
        <v>10</v>
      </c>
      <c r="M153">
        <v>332</v>
      </c>
      <c r="N153">
        <v>42</v>
      </c>
      <c r="O153">
        <v>42</v>
      </c>
      <c r="P153" t="b">
        <v>1</v>
      </c>
      <c r="Q153" t="s">
        <v>112</v>
      </c>
      <c r="R153">
        <v>0.37853373270574803</v>
      </c>
      <c r="S153">
        <v>42</v>
      </c>
      <c r="T153">
        <v>0</v>
      </c>
      <c r="U153" t="s">
        <v>568</v>
      </c>
      <c r="V153" t="s">
        <v>492</v>
      </c>
      <c r="W153">
        <v>0.33333333333333298</v>
      </c>
      <c r="X153" t="b">
        <v>0</v>
      </c>
      <c r="Y153">
        <v>328.23977389908299</v>
      </c>
      <c r="Z153">
        <v>31.8278828994371</v>
      </c>
      <c r="AA153">
        <v>5253.3973103999097</v>
      </c>
      <c r="AB153">
        <v>332</v>
      </c>
      <c r="AC153">
        <v>3</v>
      </c>
      <c r="AD153">
        <v>0.38554216867469798</v>
      </c>
      <c r="AE153">
        <v>0.38035736524673303</v>
      </c>
      <c r="AF153">
        <v>0.37431582070330299</v>
      </c>
      <c r="AG153">
        <v>0.38035736524673303</v>
      </c>
      <c r="AH153">
        <v>0.37181434876263297</v>
      </c>
      <c r="AI153">
        <v>7.2216835388111703E-2</v>
      </c>
      <c r="AJ153" t="s">
        <v>569</v>
      </c>
      <c r="AK153">
        <v>0.51988735942796804</v>
      </c>
      <c r="AM153">
        <v>104</v>
      </c>
      <c r="AN153">
        <v>0.439560439560439</v>
      </c>
      <c r="AO153">
        <v>0.38461538461538403</v>
      </c>
      <c r="AP153">
        <v>0.41025641025641002</v>
      </c>
      <c r="AQ153">
        <v>109</v>
      </c>
      <c r="AR153">
        <v>0.26829268292682901</v>
      </c>
      <c r="AS153">
        <v>0.201834862385321</v>
      </c>
      <c r="AT153">
        <v>0.23036649214659599</v>
      </c>
      <c r="AU153">
        <v>119</v>
      </c>
      <c r="AV153">
        <v>0.41509433962264097</v>
      </c>
      <c r="AW153">
        <v>0.55462184873949505</v>
      </c>
      <c r="AX153">
        <v>0.47482014388489202</v>
      </c>
      <c r="AY153">
        <v>1000</v>
      </c>
      <c r="AZ153">
        <v>0.33532934131736503</v>
      </c>
      <c r="BA153">
        <v>0.43413173652694598</v>
      </c>
      <c r="BB153">
        <v>0.32945306050822099</v>
      </c>
      <c r="BC153">
        <v>0.42798333135191902</v>
      </c>
      <c r="BD153">
        <v>0.32272928066688</v>
      </c>
      <c r="BE153">
        <v>0.42010629335945099</v>
      </c>
      <c r="BF153">
        <v>-6.6490202974514596E-3</v>
      </c>
      <c r="BG153">
        <v>0.146998359932556</v>
      </c>
      <c r="BH153">
        <v>1000</v>
      </c>
      <c r="BI153">
        <v>0.32223376431219097</v>
      </c>
      <c r="BJ153">
        <v>0.43057065385346799</v>
      </c>
      <c r="BK153">
        <v>4</v>
      </c>
    </row>
    <row r="154" spans="1:63" x14ac:dyDescent="0.3">
      <c r="A154" t="s">
        <v>570</v>
      </c>
      <c r="B154" t="s">
        <v>109</v>
      </c>
      <c r="C154" t="s">
        <v>25</v>
      </c>
      <c r="D154" t="s">
        <v>67</v>
      </c>
      <c r="E154" t="s">
        <v>506</v>
      </c>
      <c r="F154">
        <v>6</v>
      </c>
      <c r="G154" t="s">
        <v>24</v>
      </c>
      <c r="H154" t="s">
        <v>36</v>
      </c>
      <c r="I154" t="s">
        <v>32</v>
      </c>
      <c r="J154" t="s">
        <v>29</v>
      </c>
      <c r="K154" t="s">
        <v>111</v>
      </c>
      <c r="L154">
        <v>10</v>
      </c>
      <c r="M154">
        <v>332</v>
      </c>
      <c r="N154">
        <v>42</v>
      </c>
      <c r="O154">
        <v>42</v>
      </c>
      <c r="P154" t="b">
        <v>1</v>
      </c>
      <c r="Q154" t="s">
        <v>112</v>
      </c>
      <c r="R154">
        <v>0.40691056910569101</v>
      </c>
      <c r="S154">
        <v>42</v>
      </c>
      <c r="T154">
        <v>0</v>
      </c>
      <c r="U154" t="s">
        <v>571</v>
      </c>
      <c r="V154" t="s">
        <v>482</v>
      </c>
      <c r="W154">
        <v>0.40476190476190399</v>
      </c>
      <c r="X154" t="b">
        <v>0</v>
      </c>
      <c r="Y154">
        <v>340.901691698702</v>
      </c>
      <c r="Z154">
        <v>32.452131099998901</v>
      </c>
      <c r="AA154">
        <v>5291.9385540999901</v>
      </c>
      <c r="AB154">
        <v>332</v>
      </c>
      <c r="AC154">
        <v>3</v>
      </c>
      <c r="AD154">
        <v>0.406626506024096</v>
      </c>
      <c r="AE154">
        <v>0.40433516384676599</v>
      </c>
      <c r="AF154">
        <v>0.40082949583136801</v>
      </c>
      <c r="AG154">
        <v>0.40433516384676599</v>
      </c>
      <c r="AH154">
        <v>0.40037832771222098</v>
      </c>
      <c r="AI154">
        <v>0.106223816178545</v>
      </c>
      <c r="AJ154" t="s">
        <v>572</v>
      </c>
      <c r="AK154">
        <v>0.58698250080351999</v>
      </c>
      <c r="AM154">
        <v>104</v>
      </c>
      <c r="AN154">
        <v>0.46534653465346498</v>
      </c>
      <c r="AO154">
        <v>0.45192307692307598</v>
      </c>
      <c r="AP154">
        <v>0.45853658536585301</v>
      </c>
      <c r="AQ154">
        <v>109</v>
      </c>
      <c r="AR154">
        <v>0.31460674157303298</v>
      </c>
      <c r="AS154">
        <v>0.25688073394495398</v>
      </c>
      <c r="AT154">
        <v>0.28282828282828198</v>
      </c>
      <c r="AU154">
        <v>119</v>
      </c>
      <c r="AV154">
        <v>0.42253521126760502</v>
      </c>
      <c r="AW154">
        <v>0.504201680672268</v>
      </c>
      <c r="AX154">
        <v>0.45977011494252801</v>
      </c>
      <c r="AY154">
        <v>1000</v>
      </c>
      <c r="AZ154">
        <v>0.364172486192888</v>
      </c>
      <c r="BA154">
        <v>0.44614127600654502</v>
      </c>
      <c r="BB154">
        <v>0.36185758325346901</v>
      </c>
      <c r="BC154">
        <v>0.44355276185179099</v>
      </c>
      <c r="BD154">
        <v>0.35793889627931103</v>
      </c>
      <c r="BE154">
        <v>0.43866935453068701</v>
      </c>
      <c r="BF154">
        <v>4.2414747475425299E-2</v>
      </c>
      <c r="BG154">
        <v>0.16617921602008101</v>
      </c>
      <c r="BH154">
        <v>1000</v>
      </c>
      <c r="BI154">
        <v>0.35676029742721799</v>
      </c>
      <c r="BJ154">
        <v>0.46039760034424598</v>
      </c>
      <c r="BK154">
        <v>1</v>
      </c>
    </row>
    <row r="155" spans="1:63" x14ac:dyDescent="0.3">
      <c r="A155" t="s">
        <v>573</v>
      </c>
      <c r="B155" t="s">
        <v>109</v>
      </c>
      <c r="C155" t="s">
        <v>25</v>
      </c>
      <c r="D155" t="s">
        <v>67</v>
      </c>
      <c r="E155" t="s">
        <v>511</v>
      </c>
      <c r="F155">
        <v>7</v>
      </c>
      <c r="G155" t="s">
        <v>24</v>
      </c>
      <c r="H155" t="s">
        <v>36</v>
      </c>
      <c r="I155" t="s">
        <v>33</v>
      </c>
      <c r="J155" t="s">
        <v>29</v>
      </c>
      <c r="K155" t="s">
        <v>111</v>
      </c>
      <c r="L155">
        <v>10</v>
      </c>
      <c r="M155">
        <v>332</v>
      </c>
      <c r="N155">
        <v>42</v>
      </c>
      <c r="O155">
        <v>42</v>
      </c>
      <c r="P155" t="b">
        <v>1</v>
      </c>
      <c r="Q155" t="s">
        <v>112</v>
      </c>
      <c r="R155">
        <v>0.35643274853801099</v>
      </c>
      <c r="S155">
        <v>42</v>
      </c>
      <c r="T155">
        <v>0</v>
      </c>
      <c r="U155" t="s">
        <v>574</v>
      </c>
      <c r="V155" t="s">
        <v>487</v>
      </c>
      <c r="W155">
        <v>0.38095238095237999</v>
      </c>
      <c r="X155" t="b">
        <v>0</v>
      </c>
      <c r="Y155">
        <v>340.17579110083102</v>
      </c>
      <c r="Z155">
        <v>34.933210499817498</v>
      </c>
      <c r="AA155">
        <v>5330.3587733998402</v>
      </c>
      <c r="AB155">
        <v>332</v>
      </c>
      <c r="AC155">
        <v>3</v>
      </c>
      <c r="AD155">
        <v>0.36445783132530102</v>
      </c>
      <c r="AE155">
        <v>0.35920638544761502</v>
      </c>
      <c r="AF155">
        <v>0.36041272006264002</v>
      </c>
      <c r="AG155">
        <v>0.35920638544761502</v>
      </c>
      <c r="AH155">
        <v>0.35438229375116498</v>
      </c>
      <c r="AI155">
        <v>3.9210108325156097E-2</v>
      </c>
      <c r="AJ155" t="s">
        <v>575</v>
      </c>
      <c r="AK155">
        <v>0.542946958773322</v>
      </c>
      <c r="AM155">
        <v>104</v>
      </c>
      <c r="AN155">
        <v>0.39759036144578302</v>
      </c>
      <c r="AO155">
        <v>0.31730769230769201</v>
      </c>
      <c r="AP155">
        <v>0.35294117647058798</v>
      </c>
      <c r="AQ155">
        <v>109</v>
      </c>
      <c r="AR155">
        <v>0.3</v>
      </c>
      <c r="AS155">
        <v>0.247706422018348</v>
      </c>
      <c r="AT155">
        <v>0.271356783919598</v>
      </c>
      <c r="AU155">
        <v>119</v>
      </c>
      <c r="AV155">
        <v>0.383647798742138</v>
      </c>
      <c r="AW155">
        <v>0.51260504201680601</v>
      </c>
      <c r="AX155">
        <v>0.43884892086330901</v>
      </c>
      <c r="AY155">
        <v>1000</v>
      </c>
      <c r="AZ155">
        <v>0.32238558712461701</v>
      </c>
      <c r="BA155">
        <v>0.40910460021905798</v>
      </c>
      <c r="BB155">
        <v>0.31686277608333402</v>
      </c>
      <c r="BC155">
        <v>0.40577296844853</v>
      </c>
      <c r="BD155">
        <v>0.30943160447566997</v>
      </c>
      <c r="BE155">
        <v>0.400731772283904</v>
      </c>
      <c r="BF155">
        <v>-2.7585259962343501E-2</v>
      </c>
      <c r="BG155">
        <v>0.11056984458759</v>
      </c>
      <c r="BH155">
        <v>1000</v>
      </c>
      <c r="BI155">
        <v>0.30655541440831002</v>
      </c>
      <c r="BJ155">
        <v>0.40720829307629902</v>
      </c>
      <c r="BK155">
        <v>5</v>
      </c>
    </row>
    <row r="156" spans="1:63" x14ac:dyDescent="0.3">
      <c r="A156" t="s">
        <v>576</v>
      </c>
      <c r="B156" t="s">
        <v>109</v>
      </c>
      <c r="C156" t="s">
        <v>25</v>
      </c>
      <c r="D156" t="s">
        <v>67</v>
      </c>
      <c r="E156" t="s">
        <v>515</v>
      </c>
      <c r="F156">
        <v>8</v>
      </c>
      <c r="G156" t="s">
        <v>24</v>
      </c>
      <c r="H156" t="s">
        <v>36</v>
      </c>
      <c r="I156" t="s">
        <v>34</v>
      </c>
      <c r="J156" t="s">
        <v>29</v>
      </c>
      <c r="K156" t="s">
        <v>111</v>
      </c>
      <c r="L156">
        <v>10</v>
      </c>
      <c r="M156">
        <v>332</v>
      </c>
      <c r="N156">
        <v>42</v>
      </c>
      <c r="O156">
        <v>42</v>
      </c>
      <c r="P156" t="b">
        <v>1</v>
      </c>
      <c r="Q156" t="s">
        <v>112</v>
      </c>
      <c r="R156">
        <v>0.40306660961346402</v>
      </c>
      <c r="S156">
        <v>42</v>
      </c>
      <c r="T156">
        <v>0</v>
      </c>
      <c r="U156" t="s">
        <v>577</v>
      </c>
      <c r="V156" t="s">
        <v>508</v>
      </c>
      <c r="W156">
        <v>0.30952380952380898</v>
      </c>
      <c r="X156" t="b">
        <v>0</v>
      </c>
      <c r="Y156">
        <v>362.66959420195701</v>
      </c>
      <c r="Z156">
        <v>35.768216899363303</v>
      </c>
      <c r="AA156">
        <v>5368.7272638999802</v>
      </c>
      <c r="AB156">
        <v>332</v>
      </c>
      <c r="AC156">
        <v>3</v>
      </c>
      <c r="AD156">
        <v>0.39457831325301201</v>
      </c>
      <c r="AE156">
        <v>0.38982572563252499</v>
      </c>
      <c r="AF156">
        <v>0.38371376450911399</v>
      </c>
      <c r="AG156">
        <v>0.38982572563252499</v>
      </c>
      <c r="AH156">
        <v>0.381536185655178</v>
      </c>
      <c r="AI156">
        <v>8.6461720807516101E-2</v>
      </c>
      <c r="AJ156" t="s">
        <v>578</v>
      </c>
      <c r="AK156">
        <v>0.57361003418086198</v>
      </c>
      <c r="AM156">
        <v>104</v>
      </c>
      <c r="AN156">
        <v>0.44680851063829702</v>
      </c>
      <c r="AO156">
        <v>0.40384615384615302</v>
      </c>
      <c r="AP156">
        <v>0.42424242424242398</v>
      </c>
      <c r="AQ156">
        <v>109</v>
      </c>
      <c r="AR156">
        <v>0.28395061728394999</v>
      </c>
      <c r="AS156">
        <v>0.21100917431192601</v>
      </c>
      <c r="AT156">
        <v>0.24210526315789399</v>
      </c>
      <c r="AU156">
        <v>119</v>
      </c>
      <c r="AV156">
        <v>0.420382165605095</v>
      </c>
      <c r="AW156">
        <v>0.55462184873949505</v>
      </c>
      <c r="AX156">
        <v>0.47826086956521702</v>
      </c>
      <c r="AY156">
        <v>1000</v>
      </c>
      <c r="AZ156">
        <v>0.35132889687270302</v>
      </c>
      <c r="BA156">
        <v>0.44243291347206998</v>
      </c>
      <c r="BB156">
        <v>0.34905428160399798</v>
      </c>
      <c r="BC156">
        <v>0.43157398985634299</v>
      </c>
      <c r="BD156">
        <v>0.33823493156546203</v>
      </c>
      <c r="BE156">
        <v>0.42682299906579602</v>
      </c>
      <c r="BF156">
        <v>2.11261028611451E-2</v>
      </c>
      <c r="BG156">
        <v>0.15590471374393799</v>
      </c>
      <c r="BH156">
        <v>1000</v>
      </c>
      <c r="BI156">
        <v>0.35145351364609401</v>
      </c>
      <c r="BJ156">
        <v>0.462412725858449</v>
      </c>
      <c r="BK156">
        <v>2</v>
      </c>
    </row>
    <row r="157" spans="1:63" x14ac:dyDescent="0.3">
      <c r="A157" t="s">
        <v>579</v>
      </c>
      <c r="B157" t="s">
        <v>109</v>
      </c>
      <c r="C157" t="s">
        <v>25</v>
      </c>
      <c r="D157" t="s">
        <v>67</v>
      </c>
      <c r="E157" t="s">
        <v>519</v>
      </c>
      <c r="F157">
        <v>9</v>
      </c>
      <c r="G157" t="s">
        <v>24</v>
      </c>
      <c r="H157" t="s">
        <v>36</v>
      </c>
      <c r="I157" t="s">
        <v>35</v>
      </c>
      <c r="J157" t="s">
        <v>29</v>
      </c>
      <c r="K157" t="s">
        <v>111</v>
      </c>
      <c r="L157">
        <v>10</v>
      </c>
      <c r="M157">
        <v>332</v>
      </c>
      <c r="N157">
        <v>42</v>
      </c>
      <c r="O157">
        <v>42</v>
      </c>
      <c r="P157" t="b">
        <v>1</v>
      </c>
      <c r="Q157" t="s">
        <v>112</v>
      </c>
      <c r="R157">
        <v>0.330580516331479</v>
      </c>
      <c r="S157">
        <v>42</v>
      </c>
      <c r="T157">
        <v>0</v>
      </c>
      <c r="U157" t="s">
        <v>559</v>
      </c>
      <c r="V157" t="s">
        <v>487</v>
      </c>
      <c r="W157">
        <v>0.28571428571428498</v>
      </c>
      <c r="X157" t="b">
        <v>0</v>
      </c>
      <c r="Y157">
        <v>361.35809189756401</v>
      </c>
      <c r="Z157">
        <v>36.138779201311898</v>
      </c>
      <c r="AA157">
        <v>5407.6153340998499</v>
      </c>
      <c r="AB157">
        <v>332</v>
      </c>
      <c r="AC157">
        <v>3</v>
      </c>
      <c r="AD157">
        <v>0.34939759036144502</v>
      </c>
      <c r="AE157">
        <v>0.34218987524438099</v>
      </c>
      <c r="AF157">
        <v>0.33830759957342199</v>
      </c>
      <c r="AG157">
        <v>0.34218987524438099</v>
      </c>
      <c r="AH157">
        <v>0.330471959651291</v>
      </c>
      <c r="AI157">
        <v>1.3721638948052801E-2</v>
      </c>
      <c r="AJ157" t="s">
        <v>580</v>
      </c>
      <c r="AK157">
        <v>0.52530089779635702</v>
      </c>
      <c r="AM157">
        <v>104</v>
      </c>
      <c r="AN157">
        <v>0.38461538461538403</v>
      </c>
      <c r="AO157">
        <v>0.28846153846153799</v>
      </c>
      <c r="AP157">
        <v>0.329670329670329</v>
      </c>
      <c r="AQ157">
        <v>109</v>
      </c>
      <c r="AR157">
        <v>0.253164556962025</v>
      </c>
      <c r="AS157">
        <v>0.18348623853210999</v>
      </c>
      <c r="AT157">
        <v>0.21276595744680801</v>
      </c>
      <c r="AU157">
        <v>119</v>
      </c>
      <c r="AV157">
        <v>0.377142857142857</v>
      </c>
      <c r="AW157">
        <v>0.55462184873949505</v>
      </c>
      <c r="AX157">
        <v>0.44897959183673403</v>
      </c>
      <c r="AY157">
        <v>1000</v>
      </c>
      <c r="AZ157">
        <v>0.31230753480753398</v>
      </c>
      <c r="BA157">
        <v>0.38438438438438399</v>
      </c>
      <c r="BB157">
        <v>0.30225249978847601</v>
      </c>
      <c r="BC157">
        <v>0.38334120880128503</v>
      </c>
      <c r="BD157">
        <v>0.29186562536476401</v>
      </c>
      <c r="BE157">
        <v>0.36673679780470397</v>
      </c>
      <c r="BF157">
        <v>-4.6082718488207698E-2</v>
      </c>
      <c r="BG157">
        <v>7.6626573468091805E-2</v>
      </c>
      <c r="BH157">
        <v>1000</v>
      </c>
      <c r="BI157">
        <v>0.28926965718248598</v>
      </c>
      <c r="BJ157">
        <v>0.37090470210896997</v>
      </c>
      <c r="BK157">
        <v>8</v>
      </c>
    </row>
    <row r="158" spans="1:63" x14ac:dyDescent="0.3">
      <c r="A158" t="s">
        <v>581</v>
      </c>
      <c r="B158" t="s">
        <v>109</v>
      </c>
      <c r="C158" t="s">
        <v>37</v>
      </c>
      <c r="D158" t="s">
        <v>67</v>
      </c>
      <c r="E158" t="s">
        <v>480</v>
      </c>
      <c r="F158">
        <v>0</v>
      </c>
      <c r="G158" t="s">
        <v>24</v>
      </c>
      <c r="H158" t="s">
        <v>26</v>
      </c>
      <c r="I158" t="s">
        <v>27</v>
      </c>
      <c r="J158" t="s">
        <v>29</v>
      </c>
      <c r="K158" t="s">
        <v>111</v>
      </c>
      <c r="L158">
        <v>10</v>
      </c>
      <c r="M158">
        <v>332</v>
      </c>
      <c r="N158">
        <v>42</v>
      </c>
      <c r="O158">
        <v>42</v>
      </c>
      <c r="P158" t="b">
        <v>1</v>
      </c>
      <c r="Q158" t="s">
        <v>112</v>
      </c>
      <c r="R158">
        <v>0.290965380405035</v>
      </c>
      <c r="S158">
        <v>42</v>
      </c>
      <c r="T158">
        <v>0</v>
      </c>
      <c r="U158" t="s">
        <v>582</v>
      </c>
      <c r="V158" t="s">
        <v>487</v>
      </c>
      <c r="W158">
        <v>0.452380952380952</v>
      </c>
      <c r="X158" t="b">
        <v>0</v>
      </c>
      <c r="Y158">
        <v>413.47337440005498</v>
      </c>
      <c r="Z158">
        <v>41.811633299803297</v>
      </c>
      <c r="AA158">
        <v>5057.1781975000604</v>
      </c>
      <c r="AB158">
        <v>332</v>
      </c>
      <c r="AC158">
        <v>3</v>
      </c>
      <c r="AD158">
        <v>0.37048192771084298</v>
      </c>
      <c r="AE158">
        <v>0.30152185626834999</v>
      </c>
      <c r="AF158">
        <v>0.25717574077036498</v>
      </c>
      <c r="AG158">
        <v>0.30152185626834999</v>
      </c>
      <c r="AH158">
        <v>0.26452078757802799</v>
      </c>
      <c r="AI158">
        <v>-5.8950505045330802E-2</v>
      </c>
      <c r="AJ158" t="s">
        <v>583</v>
      </c>
      <c r="AK158">
        <v>0.434551916920562</v>
      </c>
      <c r="AM158">
        <v>103</v>
      </c>
      <c r="AN158">
        <v>0.30263157894736797</v>
      </c>
      <c r="AO158">
        <v>0.223300970873786</v>
      </c>
      <c r="AP158">
        <v>0.25698324022346303</v>
      </c>
      <c r="AQ158">
        <v>148</v>
      </c>
      <c r="AR158">
        <v>0.42127659574468002</v>
      </c>
      <c r="AS158">
        <v>0.66891891891891897</v>
      </c>
      <c r="AT158">
        <v>0.51697127937336795</v>
      </c>
      <c r="AU158">
        <v>81</v>
      </c>
      <c r="AV158">
        <v>4.7619047619047603E-2</v>
      </c>
      <c r="AW158">
        <v>1.23456790123456E-2</v>
      </c>
      <c r="AX158">
        <v>1.9607843137254902E-2</v>
      </c>
      <c r="AY158">
        <v>1000</v>
      </c>
      <c r="AZ158">
        <v>0.313243772636558</v>
      </c>
      <c r="BA158">
        <v>0.42859287859287798</v>
      </c>
      <c r="BB158">
        <v>0.26536233971568901</v>
      </c>
      <c r="BC158">
        <v>0.33982478791469001</v>
      </c>
      <c r="BD158">
        <v>0.219622795549265</v>
      </c>
      <c r="BE158">
        <v>0.30666952613836101</v>
      </c>
      <c r="BF158">
        <v>-0.124442758451726</v>
      </c>
      <c r="BG158">
        <v>1.23990571168026E-2</v>
      </c>
      <c r="BH158">
        <v>1000</v>
      </c>
      <c r="BI158">
        <v>0.25757162160841302</v>
      </c>
      <c r="BJ158">
        <v>0.32682578063465301</v>
      </c>
      <c r="BK158">
        <v>8</v>
      </c>
    </row>
    <row r="159" spans="1:63" x14ac:dyDescent="0.3">
      <c r="A159" t="s">
        <v>584</v>
      </c>
      <c r="B159" t="s">
        <v>109</v>
      </c>
      <c r="C159" t="s">
        <v>37</v>
      </c>
      <c r="D159" t="s">
        <v>67</v>
      </c>
      <c r="E159" t="s">
        <v>485</v>
      </c>
      <c r="F159">
        <v>1</v>
      </c>
      <c r="G159" t="s">
        <v>24</v>
      </c>
      <c r="H159" t="s">
        <v>26</v>
      </c>
      <c r="I159" t="s">
        <v>32</v>
      </c>
      <c r="J159" t="s">
        <v>29</v>
      </c>
      <c r="K159" t="s">
        <v>111</v>
      </c>
      <c r="L159">
        <v>10</v>
      </c>
      <c r="M159">
        <v>332</v>
      </c>
      <c r="N159">
        <v>42</v>
      </c>
      <c r="O159">
        <v>42</v>
      </c>
      <c r="P159" t="b">
        <v>1</v>
      </c>
      <c r="Q159" t="s">
        <v>112</v>
      </c>
      <c r="R159">
        <v>0.310912307451716</v>
      </c>
      <c r="S159">
        <v>42</v>
      </c>
      <c r="T159">
        <v>0</v>
      </c>
      <c r="U159" t="s">
        <v>585</v>
      </c>
      <c r="V159" t="s">
        <v>508</v>
      </c>
      <c r="W159">
        <v>0.38095238095237999</v>
      </c>
      <c r="X159" t="b">
        <v>0</v>
      </c>
      <c r="Y159">
        <v>424.89502610103199</v>
      </c>
      <c r="Z159">
        <v>44.329443900147403</v>
      </c>
      <c r="AA159">
        <v>5095.7898126</v>
      </c>
      <c r="AB159">
        <v>332</v>
      </c>
      <c r="AC159">
        <v>3</v>
      </c>
      <c r="AD159">
        <v>0.39759036144578302</v>
      </c>
      <c r="AE159">
        <v>0.334937958454679</v>
      </c>
      <c r="AF159">
        <v>0.33237652805579598</v>
      </c>
      <c r="AG159">
        <v>0.334937958454679</v>
      </c>
      <c r="AH159">
        <v>0.31318939748112201</v>
      </c>
      <c r="AI159">
        <v>5.8995526980482596E-3</v>
      </c>
      <c r="AJ159" t="s">
        <v>586</v>
      </c>
      <c r="AK159">
        <v>0.52465499678270699</v>
      </c>
      <c r="AM159">
        <v>103</v>
      </c>
      <c r="AN159">
        <v>0.30120481927710802</v>
      </c>
      <c r="AO159">
        <v>0.242718446601941</v>
      </c>
      <c r="AP159">
        <v>0.26881720430107497</v>
      </c>
      <c r="AQ159">
        <v>148</v>
      </c>
      <c r="AR159">
        <v>0.45454545454545398</v>
      </c>
      <c r="AS159">
        <v>0.67567567567567499</v>
      </c>
      <c r="AT159">
        <v>0.54347826086956497</v>
      </c>
      <c r="AU159">
        <v>81</v>
      </c>
      <c r="AV159">
        <v>0.24137931034482701</v>
      </c>
      <c r="AW159">
        <v>8.6419753086419707E-2</v>
      </c>
      <c r="AX159">
        <v>0.12727272727272701</v>
      </c>
      <c r="AY159">
        <v>1000</v>
      </c>
      <c r="AZ159">
        <v>0.33836744939124702</v>
      </c>
      <c r="BA159">
        <v>0.46846846846846801</v>
      </c>
      <c r="BB159">
        <v>0.284467298077483</v>
      </c>
      <c r="BC159">
        <v>0.39089620719646201</v>
      </c>
      <c r="BD159">
        <v>0.26176809804009898</v>
      </c>
      <c r="BE159">
        <v>0.37387427975735299</v>
      </c>
      <c r="BF159">
        <v>-8.5579011748085798E-2</v>
      </c>
      <c r="BG159">
        <v>0.110071764073779</v>
      </c>
      <c r="BH159">
        <v>1000</v>
      </c>
      <c r="BI159">
        <v>0.26348189898715502</v>
      </c>
      <c r="BJ159">
        <v>0.36195237300763899</v>
      </c>
      <c r="BK159">
        <v>3</v>
      </c>
    </row>
    <row r="160" spans="1:63" x14ac:dyDescent="0.3">
      <c r="A160" t="s">
        <v>587</v>
      </c>
      <c r="B160" t="s">
        <v>109</v>
      </c>
      <c r="C160" t="s">
        <v>37</v>
      </c>
      <c r="D160" t="s">
        <v>67</v>
      </c>
      <c r="E160" t="s">
        <v>490</v>
      </c>
      <c r="F160">
        <v>2</v>
      </c>
      <c r="G160" t="s">
        <v>24</v>
      </c>
      <c r="H160" t="s">
        <v>26</v>
      </c>
      <c r="I160" t="s">
        <v>33</v>
      </c>
      <c r="J160" t="s">
        <v>29</v>
      </c>
      <c r="K160" t="s">
        <v>111</v>
      </c>
      <c r="L160">
        <v>10</v>
      </c>
      <c r="M160">
        <v>332</v>
      </c>
      <c r="N160">
        <v>42</v>
      </c>
      <c r="O160">
        <v>42</v>
      </c>
      <c r="P160" t="b">
        <v>1</v>
      </c>
      <c r="Q160" t="s">
        <v>112</v>
      </c>
      <c r="R160">
        <v>0.31422472437250698</v>
      </c>
      <c r="S160">
        <v>42</v>
      </c>
      <c r="T160">
        <v>0</v>
      </c>
      <c r="U160" t="s">
        <v>588</v>
      </c>
      <c r="V160" t="s">
        <v>508</v>
      </c>
      <c r="W160">
        <v>0.40476190476190399</v>
      </c>
      <c r="X160" t="b">
        <v>0</v>
      </c>
      <c r="Y160">
        <v>416.49760610517097</v>
      </c>
      <c r="Z160">
        <v>41.394420600728999</v>
      </c>
      <c r="AA160">
        <v>5134.5775321000201</v>
      </c>
      <c r="AB160">
        <v>332</v>
      </c>
      <c r="AC160">
        <v>3</v>
      </c>
      <c r="AD160">
        <v>0.38253012048192703</v>
      </c>
      <c r="AE160">
        <v>0.33527459498333201</v>
      </c>
      <c r="AF160">
        <v>0.34457517916740099</v>
      </c>
      <c r="AG160">
        <v>0.33527459498333201</v>
      </c>
      <c r="AH160">
        <v>0.32453634085213001</v>
      </c>
      <c r="AI160">
        <v>-6.1160213647232396E-3</v>
      </c>
      <c r="AJ160" t="s">
        <v>589</v>
      </c>
      <c r="AK160">
        <v>0.51498370774691704</v>
      </c>
      <c r="AM160">
        <v>103</v>
      </c>
      <c r="AN160">
        <v>0.34020618556700999</v>
      </c>
      <c r="AO160">
        <v>0.32038834951456302</v>
      </c>
      <c r="AP160">
        <v>0.33</v>
      </c>
      <c r="AQ160">
        <v>148</v>
      </c>
      <c r="AR160">
        <v>0.42079207920792</v>
      </c>
      <c r="AS160">
        <v>0.57432432432432401</v>
      </c>
      <c r="AT160">
        <v>0.48571428571428499</v>
      </c>
      <c r="AU160">
        <v>81</v>
      </c>
      <c r="AV160">
        <v>0.27272727272727199</v>
      </c>
      <c r="AW160">
        <v>0.11111111111111099</v>
      </c>
      <c r="AX160">
        <v>0.157894736842105</v>
      </c>
      <c r="AY160">
        <v>1000</v>
      </c>
      <c r="AZ160">
        <v>0.32310044545056199</v>
      </c>
      <c r="BA160">
        <v>0.44712990936555802</v>
      </c>
      <c r="BB160">
        <v>0.28744498779667199</v>
      </c>
      <c r="BC160">
        <v>0.383081104417</v>
      </c>
      <c r="BD160">
        <v>0.26853891932794899</v>
      </c>
      <c r="BE160">
        <v>0.37504699000520098</v>
      </c>
      <c r="BF160">
        <v>-8.7180280513717304E-2</v>
      </c>
      <c r="BG160">
        <v>7.6729662414225699E-2</v>
      </c>
      <c r="BH160">
        <v>1000</v>
      </c>
      <c r="BI160">
        <v>0.27325882836299498</v>
      </c>
      <c r="BJ160">
        <v>0.35663556865194301</v>
      </c>
      <c r="BK160">
        <v>2</v>
      </c>
    </row>
    <row r="161" spans="1:63" x14ac:dyDescent="0.3">
      <c r="A161" t="s">
        <v>590</v>
      </c>
      <c r="B161" t="s">
        <v>109</v>
      </c>
      <c r="C161" t="s">
        <v>37</v>
      </c>
      <c r="D161" t="s">
        <v>67</v>
      </c>
      <c r="E161" t="s">
        <v>495</v>
      </c>
      <c r="F161">
        <v>3</v>
      </c>
      <c r="G161" t="s">
        <v>24</v>
      </c>
      <c r="H161" t="s">
        <v>26</v>
      </c>
      <c r="I161" t="s">
        <v>34</v>
      </c>
      <c r="J161" t="s">
        <v>29</v>
      </c>
      <c r="K161" t="s">
        <v>111</v>
      </c>
      <c r="L161">
        <v>10</v>
      </c>
      <c r="M161">
        <v>332</v>
      </c>
      <c r="N161">
        <v>42</v>
      </c>
      <c r="O161">
        <v>42</v>
      </c>
      <c r="P161" t="b">
        <v>1</v>
      </c>
      <c r="Q161" t="s">
        <v>112</v>
      </c>
      <c r="R161">
        <v>0.29399464383454499</v>
      </c>
      <c r="S161">
        <v>42</v>
      </c>
      <c r="T161">
        <v>0</v>
      </c>
      <c r="U161" t="s">
        <v>591</v>
      </c>
      <c r="V161" t="s">
        <v>487</v>
      </c>
      <c r="W161">
        <v>0.30952380952380898</v>
      </c>
      <c r="X161" t="b">
        <v>0</v>
      </c>
      <c r="Y161">
        <v>466.86264640325601</v>
      </c>
      <c r="Z161">
        <v>52.050495099741902</v>
      </c>
      <c r="AA161">
        <v>5173.0477579999697</v>
      </c>
      <c r="AB161">
        <v>332</v>
      </c>
      <c r="AC161">
        <v>3</v>
      </c>
      <c r="AD161">
        <v>0.39156626506024</v>
      </c>
      <c r="AE161">
        <v>0.31236765352191398</v>
      </c>
      <c r="AF161">
        <v>0.26439332795265003</v>
      </c>
      <c r="AG161">
        <v>0.31236765352191398</v>
      </c>
      <c r="AH161">
        <v>0.26561002178649201</v>
      </c>
      <c r="AI161">
        <v>-3.46850834746074E-2</v>
      </c>
      <c r="AJ161" t="s">
        <v>592</v>
      </c>
      <c r="AK161">
        <v>0.46130623436798901</v>
      </c>
      <c r="AM161">
        <v>103</v>
      </c>
      <c r="AN161">
        <v>0.305084745762711</v>
      </c>
      <c r="AO161">
        <v>0.17475728155339801</v>
      </c>
      <c r="AP161">
        <v>0.22222222222222199</v>
      </c>
      <c r="AQ161">
        <v>148</v>
      </c>
      <c r="AR161">
        <v>0.44047619047619002</v>
      </c>
      <c r="AS161">
        <v>0.75</v>
      </c>
      <c r="AT161">
        <v>0.55500000000000005</v>
      </c>
      <c r="AU161">
        <v>81</v>
      </c>
      <c r="AV161">
        <v>4.7619047619047603E-2</v>
      </c>
      <c r="AW161">
        <v>1.23456790123456E-2</v>
      </c>
      <c r="AX161">
        <v>1.9607843137254902E-2</v>
      </c>
      <c r="AY161">
        <v>1000</v>
      </c>
      <c r="AZ161">
        <v>0.32625941833800398</v>
      </c>
      <c r="BA161">
        <v>0.46060606060606002</v>
      </c>
      <c r="BB161">
        <v>0.27615020141754698</v>
      </c>
      <c r="BC161">
        <v>0.35151408972313802</v>
      </c>
      <c r="BD161">
        <v>0.22268608513297999</v>
      </c>
      <c r="BE161">
        <v>0.311778649907413</v>
      </c>
      <c r="BF161">
        <v>-0.105630104042437</v>
      </c>
      <c r="BG161">
        <v>4.9391004207783099E-2</v>
      </c>
      <c r="BH161">
        <v>1000</v>
      </c>
      <c r="BI161">
        <v>0.26061426051902198</v>
      </c>
      <c r="BJ161">
        <v>0.32663998342126299</v>
      </c>
      <c r="BK161">
        <v>7</v>
      </c>
    </row>
    <row r="162" spans="1:63" x14ac:dyDescent="0.3">
      <c r="A162" t="s">
        <v>593</v>
      </c>
      <c r="B162" t="s">
        <v>109</v>
      </c>
      <c r="C162" t="s">
        <v>37</v>
      </c>
      <c r="D162" t="s">
        <v>67</v>
      </c>
      <c r="E162" t="s">
        <v>498</v>
      </c>
      <c r="F162">
        <v>4</v>
      </c>
      <c r="G162" t="s">
        <v>24</v>
      </c>
      <c r="H162" t="s">
        <v>26</v>
      </c>
      <c r="I162" t="s">
        <v>35</v>
      </c>
      <c r="J162" t="s">
        <v>29</v>
      </c>
      <c r="K162" t="s">
        <v>111</v>
      </c>
      <c r="L162">
        <v>10</v>
      </c>
      <c r="M162">
        <v>332</v>
      </c>
      <c r="N162">
        <v>42</v>
      </c>
      <c r="O162">
        <v>42</v>
      </c>
      <c r="P162" t="b">
        <v>1</v>
      </c>
      <c r="Q162" t="s">
        <v>112</v>
      </c>
      <c r="R162">
        <v>0.30703123778246899</v>
      </c>
      <c r="S162">
        <v>42</v>
      </c>
      <c r="T162">
        <v>0</v>
      </c>
      <c r="U162" t="s">
        <v>594</v>
      </c>
      <c r="V162" t="s">
        <v>492</v>
      </c>
      <c r="W162">
        <v>0.28571428571428498</v>
      </c>
      <c r="X162" t="b">
        <v>0</v>
      </c>
      <c r="Y162">
        <v>462.049073298927</v>
      </c>
      <c r="Z162">
        <v>48.909742700867298</v>
      </c>
      <c r="AA162">
        <v>5212.0078531999598</v>
      </c>
      <c r="AB162">
        <v>332</v>
      </c>
      <c r="AC162">
        <v>3</v>
      </c>
      <c r="AD162">
        <v>0.37951807228915602</v>
      </c>
      <c r="AE162">
        <v>0.32075549119777802</v>
      </c>
      <c r="AF162">
        <v>0.30582840615582602</v>
      </c>
      <c r="AG162">
        <v>0.32075549119777802</v>
      </c>
      <c r="AH162">
        <v>0.30019931496059898</v>
      </c>
      <c r="AI162">
        <v>-2.35436379663649E-2</v>
      </c>
      <c r="AJ162" t="s">
        <v>595</v>
      </c>
      <c r="AK162">
        <v>0.468396499273872</v>
      </c>
      <c r="AM162">
        <v>103</v>
      </c>
      <c r="AN162">
        <v>0.379746835443038</v>
      </c>
      <c r="AO162">
        <v>0.29126213592233002</v>
      </c>
      <c r="AP162">
        <v>0.329670329670329</v>
      </c>
      <c r="AQ162">
        <v>148</v>
      </c>
      <c r="AR162">
        <v>0.420091324200913</v>
      </c>
      <c r="AS162">
        <v>0.62162162162162105</v>
      </c>
      <c r="AT162">
        <v>0.50136239782016301</v>
      </c>
      <c r="AU162">
        <v>81</v>
      </c>
      <c r="AV162">
        <v>0.11764705882352899</v>
      </c>
      <c r="AW162">
        <v>4.9382716049382699E-2</v>
      </c>
      <c r="AX162">
        <v>6.9565217391304293E-2</v>
      </c>
      <c r="AY162">
        <v>1000</v>
      </c>
      <c r="AZ162">
        <v>0.31514734500973002</v>
      </c>
      <c r="BA162">
        <v>0.440119760479041</v>
      </c>
      <c r="BB162">
        <v>0.27991305908981701</v>
      </c>
      <c r="BC162">
        <v>0.36239301244300098</v>
      </c>
      <c r="BD162">
        <v>0.246962369936118</v>
      </c>
      <c r="BE162">
        <v>0.34606743309099303</v>
      </c>
      <c r="BF162">
        <v>-0.104695342156754</v>
      </c>
      <c r="BG162">
        <v>5.48458579589539E-2</v>
      </c>
      <c r="BH162">
        <v>1000</v>
      </c>
      <c r="BI162">
        <v>0.26911951513614801</v>
      </c>
      <c r="BJ162">
        <v>0.34604451728705798</v>
      </c>
      <c r="BK162">
        <v>4</v>
      </c>
    </row>
    <row r="163" spans="1:63" x14ac:dyDescent="0.3">
      <c r="A163" t="s">
        <v>596</v>
      </c>
      <c r="B163" t="s">
        <v>109</v>
      </c>
      <c r="C163" t="s">
        <v>37</v>
      </c>
      <c r="D163" t="s">
        <v>67</v>
      </c>
      <c r="E163" t="s">
        <v>502</v>
      </c>
      <c r="F163">
        <v>5</v>
      </c>
      <c r="G163" t="s">
        <v>24</v>
      </c>
      <c r="H163" t="s">
        <v>36</v>
      </c>
      <c r="I163" t="s">
        <v>27</v>
      </c>
      <c r="J163" t="s">
        <v>29</v>
      </c>
      <c r="K163" t="s">
        <v>111</v>
      </c>
      <c r="L163">
        <v>10</v>
      </c>
      <c r="M163">
        <v>332</v>
      </c>
      <c r="N163">
        <v>42</v>
      </c>
      <c r="O163">
        <v>42</v>
      </c>
      <c r="P163" t="b">
        <v>1</v>
      </c>
      <c r="Q163" t="s">
        <v>112</v>
      </c>
      <c r="R163">
        <v>0.27742122136210801</v>
      </c>
      <c r="S163">
        <v>42</v>
      </c>
      <c r="T163">
        <v>0</v>
      </c>
      <c r="U163" t="s">
        <v>597</v>
      </c>
      <c r="V163" t="s">
        <v>492</v>
      </c>
      <c r="W163">
        <v>0.30952380952380898</v>
      </c>
      <c r="X163" t="b">
        <v>0</v>
      </c>
      <c r="Y163">
        <v>330.94920910196299</v>
      </c>
      <c r="Z163">
        <v>31.839229899924199</v>
      </c>
      <c r="AA163">
        <v>5250.92459709988</v>
      </c>
      <c r="AB163">
        <v>332</v>
      </c>
      <c r="AC163">
        <v>3</v>
      </c>
      <c r="AD163">
        <v>0.36144578313253001</v>
      </c>
      <c r="AE163">
        <v>0.29357107916978398</v>
      </c>
      <c r="AF163">
        <v>0.26398322422258502</v>
      </c>
      <c r="AG163">
        <v>0.29357107916978398</v>
      </c>
      <c r="AH163">
        <v>0.26145144626394101</v>
      </c>
      <c r="AI163">
        <v>-7.1047410413485501E-2</v>
      </c>
      <c r="AJ163" t="s">
        <v>598</v>
      </c>
      <c r="AK163">
        <v>0.44151413920115401</v>
      </c>
      <c r="AM163">
        <v>103</v>
      </c>
      <c r="AN163">
        <v>0.27692307692307599</v>
      </c>
      <c r="AO163">
        <v>0.17475728155339801</v>
      </c>
      <c r="AP163">
        <v>0.214285714285714</v>
      </c>
      <c r="AQ163">
        <v>148</v>
      </c>
      <c r="AR163">
        <v>0.42127659574468002</v>
      </c>
      <c r="AS163">
        <v>0.66891891891891897</v>
      </c>
      <c r="AT163">
        <v>0.51697127937336795</v>
      </c>
      <c r="AU163">
        <v>81</v>
      </c>
      <c r="AV163">
        <v>9.375E-2</v>
      </c>
      <c r="AW163">
        <v>3.7037037037037E-2</v>
      </c>
      <c r="AX163">
        <v>5.30973451327433E-2</v>
      </c>
      <c r="AY163">
        <v>1000</v>
      </c>
      <c r="AZ163">
        <v>0.298192771084337</v>
      </c>
      <c r="BA163">
        <v>0.43413173652694598</v>
      </c>
      <c r="BB163">
        <v>0.25192843540265603</v>
      </c>
      <c r="BC163">
        <v>0.33955863165508798</v>
      </c>
      <c r="BD163">
        <v>0.21301338092885899</v>
      </c>
      <c r="BE163">
        <v>0.30979737397172702</v>
      </c>
      <c r="BF163">
        <v>-0.14872760668302301</v>
      </c>
      <c r="BG163">
        <v>1.9998343212550101E-2</v>
      </c>
      <c r="BH163">
        <v>1000</v>
      </c>
      <c r="BI163">
        <v>0.242984912874145</v>
      </c>
      <c r="BJ163">
        <v>0.31485379782254702</v>
      </c>
      <c r="BK163">
        <v>10</v>
      </c>
    </row>
    <row r="164" spans="1:63" x14ac:dyDescent="0.3">
      <c r="A164" t="s">
        <v>599</v>
      </c>
      <c r="B164" t="s">
        <v>109</v>
      </c>
      <c r="C164" t="s">
        <v>37</v>
      </c>
      <c r="D164" t="s">
        <v>67</v>
      </c>
      <c r="E164" t="s">
        <v>506</v>
      </c>
      <c r="F164">
        <v>6</v>
      </c>
      <c r="G164" t="s">
        <v>24</v>
      </c>
      <c r="H164" t="s">
        <v>36</v>
      </c>
      <c r="I164" t="s">
        <v>32</v>
      </c>
      <c r="J164" t="s">
        <v>29</v>
      </c>
      <c r="K164" t="s">
        <v>111</v>
      </c>
      <c r="L164">
        <v>10</v>
      </c>
      <c r="M164">
        <v>332</v>
      </c>
      <c r="N164">
        <v>42</v>
      </c>
      <c r="O164">
        <v>42</v>
      </c>
      <c r="P164" t="b">
        <v>1</v>
      </c>
      <c r="Q164" t="s">
        <v>112</v>
      </c>
      <c r="R164">
        <v>0.31768443584330203</v>
      </c>
      <c r="S164">
        <v>42</v>
      </c>
      <c r="T164">
        <v>0</v>
      </c>
      <c r="U164" t="s">
        <v>600</v>
      </c>
      <c r="V164" t="s">
        <v>487</v>
      </c>
      <c r="W164">
        <v>0.30952380952380898</v>
      </c>
      <c r="X164" t="b">
        <v>0</v>
      </c>
      <c r="Y164">
        <v>342.12385019962602</v>
      </c>
      <c r="Z164">
        <v>32.912197100929902</v>
      </c>
      <c r="AA164">
        <v>5289.3367951998898</v>
      </c>
      <c r="AB164">
        <v>332</v>
      </c>
      <c r="AC164">
        <v>3</v>
      </c>
      <c r="AD164">
        <v>0.39156626506024</v>
      </c>
      <c r="AE164">
        <v>0.32386053799214498</v>
      </c>
      <c r="AF164">
        <v>0.31546155422365602</v>
      </c>
      <c r="AG164">
        <v>0.32386053799214498</v>
      </c>
      <c r="AH164">
        <v>0.29530693920166901</v>
      </c>
      <c r="AI164">
        <v>-2.21808356918454E-2</v>
      </c>
      <c r="AJ164" t="s">
        <v>601</v>
      </c>
      <c r="AK164">
        <v>0.50149839457988099</v>
      </c>
      <c r="AM164">
        <v>103</v>
      </c>
      <c r="AN164">
        <v>0.375</v>
      </c>
      <c r="AO164">
        <v>0.233009708737864</v>
      </c>
      <c r="AP164">
        <v>0.28742514970059801</v>
      </c>
      <c r="AQ164">
        <v>148</v>
      </c>
      <c r="AR164">
        <v>0.42323651452282102</v>
      </c>
      <c r="AS164">
        <v>0.68918918918918903</v>
      </c>
      <c r="AT164">
        <v>0.52442159383033404</v>
      </c>
      <c r="AU164">
        <v>81</v>
      </c>
      <c r="AV164">
        <v>0.148148148148148</v>
      </c>
      <c r="AW164">
        <v>4.9382716049382699E-2</v>
      </c>
      <c r="AX164">
        <v>7.4074074074074001E-2</v>
      </c>
      <c r="AY164">
        <v>1000</v>
      </c>
      <c r="AZ164">
        <v>0.34131736526946099</v>
      </c>
      <c r="BA164">
        <v>0.44446138211382102</v>
      </c>
      <c r="BB164">
        <v>0.29225709905174102</v>
      </c>
      <c r="BC164">
        <v>0.35223892675414598</v>
      </c>
      <c r="BD164">
        <v>0.256521030171385</v>
      </c>
      <c r="BE164">
        <v>0.33041504376513098</v>
      </c>
      <c r="BF164">
        <v>-7.9646032778374204E-2</v>
      </c>
      <c r="BG164">
        <v>3.2483215400316803E-2</v>
      </c>
      <c r="BH164">
        <v>1000</v>
      </c>
      <c r="BI164">
        <v>0.27875081945171198</v>
      </c>
      <c r="BJ164">
        <v>0.35249434801604901</v>
      </c>
      <c r="BK164">
        <v>1</v>
      </c>
    </row>
    <row r="165" spans="1:63" x14ac:dyDescent="0.3">
      <c r="A165" t="s">
        <v>602</v>
      </c>
      <c r="B165" t="s">
        <v>109</v>
      </c>
      <c r="C165" t="s">
        <v>37</v>
      </c>
      <c r="D165" t="s">
        <v>67</v>
      </c>
      <c r="E165" t="s">
        <v>511</v>
      </c>
      <c r="F165">
        <v>7</v>
      </c>
      <c r="G165" t="s">
        <v>24</v>
      </c>
      <c r="H165" t="s">
        <v>36</v>
      </c>
      <c r="I165" t="s">
        <v>33</v>
      </c>
      <c r="J165" t="s">
        <v>29</v>
      </c>
      <c r="K165" t="s">
        <v>111</v>
      </c>
      <c r="L165">
        <v>10</v>
      </c>
      <c r="M165">
        <v>332</v>
      </c>
      <c r="N165">
        <v>42</v>
      </c>
      <c r="O165">
        <v>42</v>
      </c>
      <c r="P165" t="b">
        <v>1</v>
      </c>
      <c r="Q165" t="s">
        <v>112</v>
      </c>
      <c r="R165">
        <v>0.30647724607084198</v>
      </c>
      <c r="S165">
        <v>42</v>
      </c>
      <c r="T165">
        <v>0</v>
      </c>
      <c r="U165" t="s">
        <v>603</v>
      </c>
      <c r="V165" t="s">
        <v>508</v>
      </c>
      <c r="W165">
        <v>0.33333333333333298</v>
      </c>
      <c r="X165" t="b">
        <v>0</v>
      </c>
      <c r="Y165">
        <v>341.62727600126499</v>
      </c>
      <c r="Z165">
        <v>34.2909390002023</v>
      </c>
      <c r="AA165">
        <v>5328.0275530998997</v>
      </c>
      <c r="AB165">
        <v>332</v>
      </c>
      <c r="AC165">
        <v>3</v>
      </c>
      <c r="AD165">
        <v>0.37951807228915602</v>
      </c>
      <c r="AE165">
        <v>0.31790852341014098</v>
      </c>
      <c r="AF165">
        <v>0.29576207485558198</v>
      </c>
      <c r="AG165">
        <v>0.31790852341014098</v>
      </c>
      <c r="AH165">
        <v>0.293453618453618</v>
      </c>
      <c r="AI165">
        <v>-2.7040086178447598E-2</v>
      </c>
      <c r="AJ165" t="s">
        <v>604</v>
      </c>
      <c r="AK165">
        <v>0.47534568256989201</v>
      </c>
      <c r="AM165">
        <v>103</v>
      </c>
      <c r="AN165">
        <v>0.367088607594936</v>
      </c>
      <c r="AO165">
        <v>0.28155339805825202</v>
      </c>
      <c r="AP165">
        <v>0.31868131868131799</v>
      </c>
      <c r="AQ165">
        <v>148</v>
      </c>
      <c r="AR165">
        <v>0.42342342342342298</v>
      </c>
      <c r="AS165">
        <v>0.63513513513513498</v>
      </c>
      <c r="AT165">
        <v>0.50810810810810803</v>
      </c>
      <c r="AU165">
        <v>81</v>
      </c>
      <c r="AV165">
        <v>9.6774193548387094E-2</v>
      </c>
      <c r="AW165">
        <v>3.7037037037037E-2</v>
      </c>
      <c r="AX165">
        <v>5.3571428571428499E-2</v>
      </c>
      <c r="AY165">
        <v>1000</v>
      </c>
      <c r="AZ165">
        <v>0.31593503012214602</v>
      </c>
      <c r="BA165">
        <v>0.44480129473116298</v>
      </c>
      <c r="BB165">
        <v>0.26933538574322702</v>
      </c>
      <c r="BC165">
        <v>0.367096782965186</v>
      </c>
      <c r="BD165">
        <v>0.23561169186824499</v>
      </c>
      <c r="BE165">
        <v>0.34898579847912797</v>
      </c>
      <c r="BF165">
        <v>-0.116871646670851</v>
      </c>
      <c r="BG165">
        <v>6.6197649342860598E-2</v>
      </c>
      <c r="BH165">
        <v>1000</v>
      </c>
      <c r="BI165">
        <v>0.25822069137876302</v>
      </c>
      <c r="BJ165">
        <v>0.35566161215598502</v>
      </c>
      <c r="BK165">
        <v>5</v>
      </c>
    </row>
    <row r="166" spans="1:63" x14ac:dyDescent="0.3">
      <c r="A166" t="s">
        <v>605</v>
      </c>
      <c r="B166" t="s">
        <v>109</v>
      </c>
      <c r="C166" t="s">
        <v>37</v>
      </c>
      <c r="D166" t="s">
        <v>67</v>
      </c>
      <c r="E166" t="s">
        <v>515</v>
      </c>
      <c r="F166">
        <v>8</v>
      </c>
      <c r="G166" t="s">
        <v>24</v>
      </c>
      <c r="H166" t="s">
        <v>36</v>
      </c>
      <c r="I166" t="s">
        <v>34</v>
      </c>
      <c r="J166" t="s">
        <v>29</v>
      </c>
      <c r="K166" t="s">
        <v>111</v>
      </c>
      <c r="L166">
        <v>10</v>
      </c>
      <c r="M166">
        <v>332</v>
      </c>
      <c r="N166">
        <v>42</v>
      </c>
      <c r="O166">
        <v>42</v>
      </c>
      <c r="P166" t="b">
        <v>1</v>
      </c>
      <c r="Q166" t="s">
        <v>112</v>
      </c>
      <c r="R166">
        <v>0.30331886777699502</v>
      </c>
      <c r="S166">
        <v>42</v>
      </c>
      <c r="T166">
        <v>0</v>
      </c>
      <c r="U166" t="s">
        <v>606</v>
      </c>
      <c r="V166" t="s">
        <v>487</v>
      </c>
      <c r="W166">
        <v>0.38095238095237999</v>
      </c>
      <c r="X166" t="b">
        <v>0</v>
      </c>
      <c r="Y166">
        <v>364.27639979915602</v>
      </c>
      <c r="Z166">
        <v>37.060904600191797</v>
      </c>
      <c r="AA166">
        <v>5366.2724705999699</v>
      </c>
      <c r="AB166">
        <v>332</v>
      </c>
      <c r="AC166">
        <v>3</v>
      </c>
      <c r="AD166">
        <v>0.39457831325301201</v>
      </c>
      <c r="AE166">
        <v>0.31845086726424299</v>
      </c>
      <c r="AF166">
        <v>0.28980884358458697</v>
      </c>
      <c r="AG166">
        <v>0.31845086726424299</v>
      </c>
      <c r="AH166">
        <v>0.27634655692058202</v>
      </c>
      <c r="AI166">
        <v>-3.0475797816111101E-2</v>
      </c>
      <c r="AJ166" t="s">
        <v>607</v>
      </c>
      <c r="AK166">
        <v>0.47772737822241901</v>
      </c>
      <c r="AM166">
        <v>103</v>
      </c>
      <c r="AN166">
        <v>0.33333333333333298</v>
      </c>
      <c r="AO166">
        <v>0.19417475728155301</v>
      </c>
      <c r="AP166">
        <v>0.245398773006134</v>
      </c>
      <c r="AQ166">
        <v>148</v>
      </c>
      <c r="AR166">
        <v>0.43083003952569099</v>
      </c>
      <c r="AS166">
        <v>0.73648648648648596</v>
      </c>
      <c r="AT166">
        <v>0.54364089775561097</v>
      </c>
      <c r="AU166">
        <v>81</v>
      </c>
      <c r="AV166">
        <v>0.105263157894736</v>
      </c>
      <c r="AW166">
        <v>2.4691358024691301E-2</v>
      </c>
      <c r="AX166">
        <v>0.04</v>
      </c>
      <c r="AY166">
        <v>1000</v>
      </c>
      <c r="AZ166">
        <v>0.32934041282992899</v>
      </c>
      <c r="BA166">
        <v>0.46084337349397497</v>
      </c>
      <c r="BB166">
        <v>0.28463072618866703</v>
      </c>
      <c r="BC166">
        <v>0.35213106469380201</v>
      </c>
      <c r="BD166">
        <v>0.22994878920783299</v>
      </c>
      <c r="BE166">
        <v>0.31860762644009999</v>
      </c>
      <c r="BF166">
        <v>-0.10168402728275699</v>
      </c>
      <c r="BG166">
        <v>3.9496423375076299E-2</v>
      </c>
      <c r="BH166">
        <v>1000</v>
      </c>
      <c r="BI166">
        <v>0.26869513248847898</v>
      </c>
      <c r="BJ166">
        <v>0.338052430146417</v>
      </c>
      <c r="BK166">
        <v>6</v>
      </c>
    </row>
    <row r="167" spans="1:63" x14ac:dyDescent="0.3">
      <c r="A167" t="s">
        <v>608</v>
      </c>
      <c r="B167" t="s">
        <v>109</v>
      </c>
      <c r="C167" t="s">
        <v>37</v>
      </c>
      <c r="D167" t="s">
        <v>67</v>
      </c>
      <c r="E167" t="s">
        <v>519</v>
      </c>
      <c r="F167">
        <v>9</v>
      </c>
      <c r="G167" t="s">
        <v>24</v>
      </c>
      <c r="H167" t="s">
        <v>36</v>
      </c>
      <c r="I167" t="s">
        <v>35</v>
      </c>
      <c r="J167" t="s">
        <v>29</v>
      </c>
      <c r="K167" t="s">
        <v>111</v>
      </c>
      <c r="L167">
        <v>10</v>
      </c>
      <c r="M167">
        <v>332</v>
      </c>
      <c r="N167">
        <v>42</v>
      </c>
      <c r="O167">
        <v>42</v>
      </c>
      <c r="P167" t="b">
        <v>1</v>
      </c>
      <c r="Q167" t="s">
        <v>112</v>
      </c>
      <c r="R167">
        <v>0.28543015482054801</v>
      </c>
      <c r="S167">
        <v>42</v>
      </c>
      <c r="T167">
        <v>0</v>
      </c>
      <c r="U167" t="s">
        <v>529</v>
      </c>
      <c r="V167" t="s">
        <v>482</v>
      </c>
      <c r="W167">
        <v>0.30952380952380898</v>
      </c>
      <c r="X167" t="b">
        <v>0</v>
      </c>
      <c r="Y167">
        <v>363.95287759951299</v>
      </c>
      <c r="Z167">
        <v>35.769566199975003</v>
      </c>
      <c r="AA167">
        <v>5404.9619551999403</v>
      </c>
      <c r="AB167">
        <v>332</v>
      </c>
      <c r="AC167">
        <v>3</v>
      </c>
      <c r="AD167">
        <v>0.37048192771084298</v>
      </c>
      <c r="AE167">
        <v>0.30317480371417799</v>
      </c>
      <c r="AF167">
        <v>0.28125045886377897</v>
      </c>
      <c r="AG167">
        <v>0.30317480371417799</v>
      </c>
      <c r="AH167">
        <v>0.27217264648641099</v>
      </c>
      <c r="AI167">
        <v>-5.5952447440898598E-2</v>
      </c>
      <c r="AJ167" t="s">
        <v>609</v>
      </c>
      <c r="AK167">
        <v>0.446938127976719</v>
      </c>
      <c r="AM167">
        <v>103</v>
      </c>
      <c r="AN167">
        <v>0.27536231884057899</v>
      </c>
      <c r="AO167">
        <v>0.18446601941747501</v>
      </c>
      <c r="AP167">
        <v>0.22093023255813901</v>
      </c>
      <c r="AQ167">
        <v>148</v>
      </c>
      <c r="AR167">
        <v>0.42553191489361702</v>
      </c>
      <c r="AS167">
        <v>0.67567567567567499</v>
      </c>
      <c r="AT167">
        <v>0.52219321148825004</v>
      </c>
      <c r="AU167">
        <v>81</v>
      </c>
      <c r="AV167">
        <v>0.14285714285714199</v>
      </c>
      <c r="AW167">
        <v>4.9382716049382699E-2</v>
      </c>
      <c r="AX167">
        <v>7.3394495412843999E-2</v>
      </c>
      <c r="AY167">
        <v>1000</v>
      </c>
      <c r="AZ167">
        <v>0.30391246382614701</v>
      </c>
      <c r="BA167">
        <v>0.43582089552238801</v>
      </c>
      <c r="BB167">
        <v>0.25869040963804402</v>
      </c>
      <c r="BC167">
        <v>0.34731225050138298</v>
      </c>
      <c r="BD167">
        <v>0.217619468873816</v>
      </c>
      <c r="BE167">
        <v>0.32386518957106503</v>
      </c>
      <c r="BF167">
        <v>-0.141203098787308</v>
      </c>
      <c r="BG167">
        <v>2.7606980417919699E-2</v>
      </c>
      <c r="BH167">
        <v>1000</v>
      </c>
      <c r="BI167">
        <v>0.24461089587694601</v>
      </c>
      <c r="BJ167">
        <v>0.325385038920327</v>
      </c>
      <c r="BK167">
        <v>9</v>
      </c>
    </row>
    <row r="168" spans="1:63" x14ac:dyDescent="0.3">
      <c r="A168" t="s">
        <v>0</v>
      </c>
      <c r="B168" t="s">
        <v>69</v>
      </c>
      <c r="C168" t="s">
        <v>2</v>
      </c>
      <c r="D168" t="s">
        <v>70</v>
      </c>
      <c r="E168" t="s">
        <v>71</v>
      </c>
      <c r="F168" t="s">
        <v>72</v>
      </c>
      <c r="G168" t="s">
        <v>1</v>
      </c>
      <c r="H168" t="s">
        <v>3</v>
      </c>
      <c r="I168" t="s">
        <v>4</v>
      </c>
      <c r="J168" t="s">
        <v>5</v>
      </c>
      <c r="K168" t="s">
        <v>73</v>
      </c>
      <c r="L168" t="s">
        <v>74</v>
      </c>
      <c r="M168" t="s">
        <v>75</v>
      </c>
      <c r="N168" t="s">
        <v>6</v>
      </c>
      <c r="O168" t="s">
        <v>7</v>
      </c>
      <c r="P168" t="s">
        <v>8</v>
      </c>
      <c r="Q168" t="s">
        <v>76</v>
      </c>
      <c r="R168" t="s">
        <v>77</v>
      </c>
      <c r="S168" t="s">
        <v>78</v>
      </c>
      <c r="T168" t="s">
        <v>79</v>
      </c>
      <c r="U168" t="s">
        <v>80</v>
      </c>
      <c r="V168" t="s">
        <v>81</v>
      </c>
      <c r="W168" t="s">
        <v>82</v>
      </c>
      <c r="X168" t="s">
        <v>9</v>
      </c>
      <c r="Y168" t="s">
        <v>83</v>
      </c>
      <c r="Z168" t="s">
        <v>84</v>
      </c>
      <c r="AA168" t="s">
        <v>85</v>
      </c>
      <c r="AB168" t="s">
        <v>10</v>
      </c>
      <c r="AC168" t="s">
        <v>86</v>
      </c>
      <c r="AD168" t="s">
        <v>11</v>
      </c>
      <c r="AE168" t="s">
        <v>87</v>
      </c>
      <c r="AF168" t="s">
        <v>88</v>
      </c>
      <c r="AG168" t="s">
        <v>89</v>
      </c>
      <c r="AH168" t="s">
        <v>90</v>
      </c>
      <c r="AI168" t="s">
        <v>12</v>
      </c>
      <c r="AJ168" t="s">
        <v>91</v>
      </c>
      <c r="AK168" t="s">
        <v>17</v>
      </c>
      <c r="AL168" t="s">
        <v>18</v>
      </c>
      <c r="AM168" t="s">
        <v>92</v>
      </c>
      <c r="AN168" t="s">
        <v>93</v>
      </c>
      <c r="AO168" t="s">
        <v>94</v>
      </c>
      <c r="AP168" t="s">
        <v>95</v>
      </c>
      <c r="AQ168" t="s">
        <v>96</v>
      </c>
      <c r="AR168" t="s">
        <v>97</v>
      </c>
      <c r="AS168" t="s">
        <v>98</v>
      </c>
      <c r="AT168" t="s">
        <v>99</v>
      </c>
      <c r="AU168" t="s">
        <v>13</v>
      </c>
      <c r="AV168" t="s">
        <v>14</v>
      </c>
      <c r="AW168" t="s">
        <v>15</v>
      </c>
      <c r="AX168" t="s">
        <v>16</v>
      </c>
      <c r="AY168" t="s">
        <v>19</v>
      </c>
      <c r="AZ168" t="s">
        <v>20</v>
      </c>
      <c r="BA168" t="s">
        <v>21</v>
      </c>
      <c r="BB168" t="s">
        <v>100</v>
      </c>
      <c r="BC168" t="s">
        <v>101</v>
      </c>
      <c r="BD168" t="s">
        <v>102</v>
      </c>
      <c r="BE168" t="s">
        <v>103</v>
      </c>
      <c r="BF168" t="s">
        <v>22</v>
      </c>
      <c r="BG168" t="s">
        <v>23</v>
      </c>
      <c r="BH168" t="s">
        <v>104</v>
      </c>
      <c r="BI168" t="s">
        <v>105</v>
      </c>
      <c r="BJ168" t="s">
        <v>106</v>
      </c>
      <c r="BK168" t="s">
        <v>107</v>
      </c>
    </row>
    <row r="169" spans="1:63" x14ac:dyDescent="0.3">
      <c r="A169" t="s">
        <v>610</v>
      </c>
      <c r="B169" t="s">
        <v>109</v>
      </c>
      <c r="C169" t="s">
        <v>25</v>
      </c>
      <c r="D169" t="s">
        <v>66</v>
      </c>
      <c r="E169" t="s">
        <v>611</v>
      </c>
      <c r="F169">
        <v>0</v>
      </c>
      <c r="G169" t="s">
        <v>24</v>
      </c>
      <c r="H169" t="s">
        <v>26</v>
      </c>
      <c r="I169" t="s">
        <v>27</v>
      </c>
      <c r="J169" t="s">
        <v>31</v>
      </c>
      <c r="K169" t="s">
        <v>111</v>
      </c>
      <c r="L169">
        <v>10</v>
      </c>
      <c r="M169">
        <v>304</v>
      </c>
      <c r="N169">
        <v>42</v>
      </c>
      <c r="O169">
        <v>42</v>
      </c>
      <c r="P169" t="b">
        <v>1</v>
      </c>
      <c r="Q169" t="s">
        <v>112</v>
      </c>
      <c r="R169">
        <v>0.44039323046291601</v>
      </c>
      <c r="S169">
        <v>42</v>
      </c>
      <c r="T169">
        <v>0</v>
      </c>
      <c r="U169" t="s">
        <v>612</v>
      </c>
      <c r="V169" t="s">
        <v>613</v>
      </c>
      <c r="W169">
        <v>0.28571428571428498</v>
      </c>
      <c r="X169" t="b">
        <v>0</v>
      </c>
      <c r="Y169">
        <v>970.095349999993</v>
      </c>
      <c r="Z169">
        <v>36.179557999995701</v>
      </c>
      <c r="AA169">
        <v>11737.2038054</v>
      </c>
      <c r="AB169">
        <v>304</v>
      </c>
      <c r="AC169">
        <v>2</v>
      </c>
      <c r="AD169">
        <v>0.44736842105263103</v>
      </c>
      <c r="AE169">
        <v>0.44390243902439003</v>
      </c>
      <c r="AF169">
        <v>0.44390243902439003</v>
      </c>
      <c r="AG169">
        <v>0.44390243902439003</v>
      </c>
      <c r="AH169">
        <v>0.44390243902439003</v>
      </c>
      <c r="AI169">
        <v>-0.112195121951219</v>
      </c>
      <c r="AJ169" t="s">
        <v>614</v>
      </c>
      <c r="AK169">
        <v>0.46646341463414598</v>
      </c>
      <c r="AL169">
        <v>0.54653421893246301</v>
      </c>
      <c r="AM169">
        <v>140</v>
      </c>
      <c r="AN169">
        <v>0.4</v>
      </c>
      <c r="AO169">
        <v>0.4</v>
      </c>
      <c r="AP169">
        <v>0.4</v>
      </c>
      <c r="AQ169">
        <v>164</v>
      </c>
      <c r="AR169">
        <v>0.48780487804877998</v>
      </c>
      <c r="AS169">
        <v>0.48780487804877998</v>
      </c>
      <c r="AT169">
        <v>0.48780487804877998</v>
      </c>
      <c r="AU169">
        <v>56</v>
      </c>
      <c r="AV169">
        <v>84</v>
      </c>
      <c r="AW169">
        <v>84</v>
      </c>
      <c r="AX169">
        <v>80</v>
      </c>
      <c r="AY169">
        <v>1000</v>
      </c>
      <c r="AZ169">
        <v>0.38781555374592802</v>
      </c>
      <c r="BA169">
        <v>0.50653811193351495</v>
      </c>
      <c r="BB169">
        <v>0.38631087470695902</v>
      </c>
      <c r="BC169">
        <v>0.50233605836849504</v>
      </c>
      <c r="BD169">
        <v>0.385791975775647</v>
      </c>
      <c r="BE169">
        <v>0.50143826922082901</v>
      </c>
      <c r="BF169">
        <v>-0.226941337721524</v>
      </c>
      <c r="BG169">
        <v>4.71149895797648E-3</v>
      </c>
      <c r="BH169">
        <v>1000</v>
      </c>
      <c r="BI169">
        <v>0.38024770477296599</v>
      </c>
      <c r="BJ169">
        <v>0.50060515873015798</v>
      </c>
      <c r="BK169">
        <v>10</v>
      </c>
    </row>
    <row r="170" spans="1:63" x14ac:dyDescent="0.3">
      <c r="A170" t="s">
        <v>615</v>
      </c>
      <c r="B170" t="s">
        <v>109</v>
      </c>
      <c r="C170" t="s">
        <v>25</v>
      </c>
      <c r="D170" t="s">
        <v>66</v>
      </c>
      <c r="E170" t="s">
        <v>616</v>
      </c>
      <c r="F170">
        <v>1</v>
      </c>
      <c r="G170" t="s">
        <v>24</v>
      </c>
      <c r="H170" t="s">
        <v>26</v>
      </c>
      <c r="I170" t="s">
        <v>32</v>
      </c>
      <c r="J170" t="s">
        <v>31</v>
      </c>
      <c r="K170" t="s">
        <v>111</v>
      </c>
      <c r="L170">
        <v>10</v>
      </c>
      <c r="M170">
        <v>304</v>
      </c>
      <c r="N170">
        <v>42</v>
      </c>
      <c r="O170">
        <v>42</v>
      </c>
      <c r="P170" t="b">
        <v>1</v>
      </c>
      <c r="Q170" t="s">
        <v>112</v>
      </c>
      <c r="R170">
        <v>0.51513536308832397</v>
      </c>
      <c r="S170">
        <v>42</v>
      </c>
      <c r="T170">
        <v>0</v>
      </c>
      <c r="U170" t="s">
        <v>617</v>
      </c>
      <c r="V170" t="s">
        <v>618</v>
      </c>
      <c r="W170">
        <v>0.238095238095238</v>
      </c>
      <c r="X170" t="b">
        <v>0</v>
      </c>
      <c r="Y170">
        <v>989.99815269999101</v>
      </c>
      <c r="Z170">
        <v>44.571980300005102</v>
      </c>
      <c r="AA170">
        <v>11804.663143100001</v>
      </c>
      <c r="AB170">
        <v>304</v>
      </c>
      <c r="AC170">
        <v>2</v>
      </c>
      <c r="AD170">
        <v>0.51973684210526305</v>
      </c>
      <c r="AE170">
        <v>0.51620209059233402</v>
      </c>
      <c r="AF170">
        <v>0.51623886851754797</v>
      </c>
      <c r="AG170">
        <v>0.51620209059233402</v>
      </c>
      <c r="AH170">
        <v>0.51619795073032404</v>
      </c>
      <c r="AI170">
        <v>3.2440938262530403E-2</v>
      </c>
      <c r="AJ170" t="s">
        <v>619</v>
      </c>
      <c r="AK170">
        <v>0.52865853658536499</v>
      </c>
      <c r="AL170">
        <v>0.54660904711460001</v>
      </c>
      <c r="AM170">
        <v>140</v>
      </c>
      <c r="AN170">
        <v>0.47826086956521702</v>
      </c>
      <c r="AO170">
        <v>0.47142857142857097</v>
      </c>
      <c r="AP170">
        <v>0.47482014388489202</v>
      </c>
      <c r="AQ170">
        <v>164</v>
      </c>
      <c r="AR170">
        <v>0.55421686746987897</v>
      </c>
      <c r="AS170">
        <v>0.56097560975609695</v>
      </c>
      <c r="AT170">
        <v>0.55757575757575695</v>
      </c>
      <c r="AU170">
        <v>66</v>
      </c>
      <c r="AV170">
        <v>74</v>
      </c>
      <c r="AW170">
        <v>72</v>
      </c>
      <c r="AX170">
        <v>92</v>
      </c>
      <c r="AY170">
        <v>1000</v>
      </c>
      <c r="AZ170">
        <v>0.47058823529411697</v>
      </c>
      <c r="BA170">
        <v>0.56818181818181801</v>
      </c>
      <c r="BB170">
        <v>0.46869501552564102</v>
      </c>
      <c r="BC170">
        <v>0.56363547734584096</v>
      </c>
      <c r="BD170">
        <v>0.46728253880077403</v>
      </c>
      <c r="BE170">
        <v>0.56332378473442002</v>
      </c>
      <c r="BF170">
        <v>-6.3128328787907903E-2</v>
      </c>
      <c r="BG170">
        <v>0.12729231232695601</v>
      </c>
      <c r="BH170">
        <v>1000</v>
      </c>
      <c r="BI170">
        <v>0.461567010950721</v>
      </c>
      <c r="BJ170">
        <v>0.56213047590666498</v>
      </c>
      <c r="BK170">
        <v>6</v>
      </c>
    </row>
    <row r="171" spans="1:63" x14ac:dyDescent="0.3">
      <c r="A171" t="s">
        <v>620</v>
      </c>
      <c r="B171" t="s">
        <v>109</v>
      </c>
      <c r="C171" t="s">
        <v>25</v>
      </c>
      <c r="D171" t="s">
        <v>66</v>
      </c>
      <c r="E171" t="s">
        <v>621</v>
      </c>
      <c r="F171">
        <v>2</v>
      </c>
      <c r="G171" t="s">
        <v>24</v>
      </c>
      <c r="H171" t="s">
        <v>26</v>
      </c>
      <c r="I171" t="s">
        <v>33</v>
      </c>
      <c r="J171" t="s">
        <v>31</v>
      </c>
      <c r="K171" t="s">
        <v>111</v>
      </c>
      <c r="L171">
        <v>10</v>
      </c>
      <c r="M171">
        <v>304</v>
      </c>
      <c r="N171">
        <v>42</v>
      </c>
      <c r="O171">
        <v>42</v>
      </c>
      <c r="P171" t="b">
        <v>1</v>
      </c>
      <c r="Q171" t="s">
        <v>112</v>
      </c>
      <c r="R171">
        <v>0.49577595265748498</v>
      </c>
      <c r="S171">
        <v>42</v>
      </c>
      <c r="T171">
        <v>0</v>
      </c>
      <c r="U171" t="s">
        <v>622</v>
      </c>
      <c r="V171" t="s">
        <v>623</v>
      </c>
      <c r="W171">
        <v>0.19047619047618999</v>
      </c>
      <c r="X171" t="b">
        <v>0</v>
      </c>
      <c r="Y171">
        <v>982.69481459997496</v>
      </c>
      <c r="Z171">
        <v>39.874474599996802</v>
      </c>
      <c r="AA171">
        <v>11871.708183999999</v>
      </c>
      <c r="AB171">
        <v>304</v>
      </c>
      <c r="AC171">
        <v>2</v>
      </c>
      <c r="AD171">
        <v>0.51315789473684204</v>
      </c>
      <c r="AE171">
        <v>0.50696864111498197</v>
      </c>
      <c r="AF171">
        <v>0.50710227272727204</v>
      </c>
      <c r="AG171">
        <v>0.50696864111498197</v>
      </c>
      <c r="AH171">
        <v>0.50623353819139505</v>
      </c>
      <c r="AI171">
        <v>1.4070279277554099E-2</v>
      </c>
      <c r="AJ171" t="s">
        <v>624</v>
      </c>
      <c r="AK171">
        <v>0.51659407665505197</v>
      </c>
      <c r="AL171">
        <v>0.55762945330172498</v>
      </c>
      <c r="AM171">
        <v>140</v>
      </c>
      <c r="AN171">
        <v>0.46875</v>
      </c>
      <c r="AO171">
        <v>0.42857142857142799</v>
      </c>
      <c r="AP171">
        <v>0.44776119402984998</v>
      </c>
      <c r="AQ171">
        <v>164</v>
      </c>
      <c r="AR171">
        <v>0.54545454545454497</v>
      </c>
      <c r="AS171">
        <v>0.585365853658536</v>
      </c>
      <c r="AT171">
        <v>0.56470588235294095</v>
      </c>
      <c r="AU171">
        <v>60</v>
      </c>
      <c r="AV171">
        <v>80</v>
      </c>
      <c r="AW171">
        <v>68</v>
      </c>
      <c r="AX171">
        <v>96</v>
      </c>
      <c r="AY171">
        <v>1000</v>
      </c>
      <c r="AZ171">
        <v>0.45831980519480497</v>
      </c>
      <c r="BA171">
        <v>0.571452067669172</v>
      </c>
      <c r="BB171">
        <v>0.45141984409680302</v>
      </c>
      <c r="BC171">
        <v>0.56491702942504396</v>
      </c>
      <c r="BD171">
        <v>0.449264388001132</v>
      </c>
      <c r="BE171">
        <v>0.56436013090391202</v>
      </c>
      <c r="BF171">
        <v>-9.8411095594505102E-2</v>
      </c>
      <c r="BG171">
        <v>0.13005151767522799</v>
      </c>
      <c r="BH171">
        <v>1000</v>
      </c>
      <c r="BI171">
        <v>0.44007720466235201</v>
      </c>
      <c r="BJ171">
        <v>0.55576402715557705</v>
      </c>
      <c r="BK171">
        <v>8</v>
      </c>
    </row>
    <row r="172" spans="1:63" x14ac:dyDescent="0.3">
      <c r="A172" t="s">
        <v>625</v>
      </c>
      <c r="B172" t="s">
        <v>109</v>
      </c>
      <c r="C172" t="s">
        <v>25</v>
      </c>
      <c r="D172" t="s">
        <v>66</v>
      </c>
      <c r="E172" t="s">
        <v>626</v>
      </c>
      <c r="F172">
        <v>3</v>
      </c>
      <c r="G172" t="s">
        <v>24</v>
      </c>
      <c r="H172" t="s">
        <v>26</v>
      </c>
      <c r="I172" t="s">
        <v>34</v>
      </c>
      <c r="J172" t="s">
        <v>31</v>
      </c>
      <c r="K172" t="s">
        <v>111</v>
      </c>
      <c r="L172">
        <v>10</v>
      </c>
      <c r="M172">
        <v>304</v>
      </c>
      <c r="N172">
        <v>42</v>
      </c>
      <c r="O172">
        <v>42</v>
      </c>
      <c r="P172" t="b">
        <v>1</v>
      </c>
      <c r="Q172" t="s">
        <v>112</v>
      </c>
      <c r="R172">
        <v>0.51497151706210897</v>
      </c>
      <c r="S172">
        <v>42</v>
      </c>
      <c r="T172">
        <v>0</v>
      </c>
      <c r="U172" t="s">
        <v>627</v>
      </c>
      <c r="V172" t="s">
        <v>628</v>
      </c>
      <c r="W172">
        <v>0.214285714285714</v>
      </c>
      <c r="X172" t="b">
        <v>0</v>
      </c>
      <c r="Y172">
        <v>1023.72924970001</v>
      </c>
      <c r="Z172">
        <v>45.191934099995898</v>
      </c>
      <c r="AA172">
        <v>11937.7113687</v>
      </c>
      <c r="AB172">
        <v>304</v>
      </c>
      <c r="AC172">
        <v>2</v>
      </c>
      <c r="AD172">
        <v>0.52631578947368396</v>
      </c>
      <c r="AE172">
        <v>0.522299651567944</v>
      </c>
      <c r="AF172">
        <v>0.52240896358543398</v>
      </c>
      <c r="AG172">
        <v>0.522299651567944</v>
      </c>
      <c r="AH172">
        <v>0.52226296490308999</v>
      </c>
      <c r="AI172">
        <v>4.4708481519905398E-2</v>
      </c>
      <c r="AJ172" t="s">
        <v>629</v>
      </c>
      <c r="AK172">
        <v>0.54472996515679395</v>
      </c>
      <c r="AL172">
        <v>0.55846712594981096</v>
      </c>
      <c r="AM172">
        <v>140</v>
      </c>
      <c r="AN172">
        <v>0.48529411764705799</v>
      </c>
      <c r="AO172">
        <v>0.47142857142857097</v>
      </c>
      <c r="AP172">
        <v>0.47826086956521702</v>
      </c>
      <c r="AQ172">
        <v>164</v>
      </c>
      <c r="AR172">
        <v>0.55952380952380898</v>
      </c>
      <c r="AS172">
        <v>0.57317073170731703</v>
      </c>
      <c r="AT172">
        <v>0.56626506024096301</v>
      </c>
      <c r="AU172">
        <v>66</v>
      </c>
      <c r="AV172">
        <v>74</v>
      </c>
      <c r="AW172">
        <v>70</v>
      </c>
      <c r="AX172">
        <v>94</v>
      </c>
      <c r="AY172">
        <v>1000</v>
      </c>
      <c r="AZ172">
        <v>0.481463675213675</v>
      </c>
      <c r="BA172">
        <v>0.57467721232256097</v>
      </c>
      <c r="BB172">
        <v>0.47837502924334702</v>
      </c>
      <c r="BC172">
        <v>0.568267033613853</v>
      </c>
      <c r="BD172">
        <v>0.47661812120457903</v>
      </c>
      <c r="BE172">
        <v>0.56739795359761802</v>
      </c>
      <c r="BF172">
        <v>-4.34723422265543E-2</v>
      </c>
      <c r="BG172">
        <v>0.137590264039015</v>
      </c>
      <c r="BH172">
        <v>1000</v>
      </c>
      <c r="BI172">
        <v>0.46804838297107398</v>
      </c>
      <c r="BJ172">
        <v>0.56350198412698405</v>
      </c>
      <c r="BK172">
        <v>7</v>
      </c>
    </row>
    <row r="173" spans="1:63" x14ac:dyDescent="0.3">
      <c r="A173" t="s">
        <v>630</v>
      </c>
      <c r="B173" t="s">
        <v>109</v>
      </c>
      <c r="C173" t="s">
        <v>25</v>
      </c>
      <c r="D173" t="s">
        <v>66</v>
      </c>
      <c r="E173" t="s">
        <v>631</v>
      </c>
      <c r="F173">
        <v>4</v>
      </c>
      <c r="G173" t="s">
        <v>24</v>
      </c>
      <c r="H173" t="s">
        <v>26</v>
      </c>
      <c r="I173" t="s">
        <v>35</v>
      </c>
      <c r="J173" t="s">
        <v>31</v>
      </c>
      <c r="K173" t="s">
        <v>111</v>
      </c>
      <c r="L173">
        <v>10</v>
      </c>
      <c r="M173">
        <v>304</v>
      </c>
      <c r="N173">
        <v>42</v>
      </c>
      <c r="O173">
        <v>42</v>
      </c>
      <c r="P173" t="b">
        <v>1</v>
      </c>
      <c r="Q173" t="s">
        <v>112</v>
      </c>
      <c r="R173">
        <v>0.46916030639898199</v>
      </c>
      <c r="S173">
        <v>42</v>
      </c>
      <c r="T173">
        <v>0</v>
      </c>
      <c r="U173" t="s">
        <v>632</v>
      </c>
      <c r="V173" t="s">
        <v>628</v>
      </c>
      <c r="W173">
        <v>0.16666666666666599</v>
      </c>
      <c r="X173" t="b">
        <v>0</v>
      </c>
      <c r="Y173">
        <v>1020.20648449999</v>
      </c>
      <c r="Z173">
        <v>46.527497899996597</v>
      </c>
      <c r="AA173">
        <v>12003.4993942</v>
      </c>
      <c r="AB173">
        <v>304</v>
      </c>
      <c r="AC173">
        <v>2</v>
      </c>
      <c r="AD173">
        <v>0.48355263157894701</v>
      </c>
      <c r="AE173">
        <v>0.47900696864111503</v>
      </c>
      <c r="AF173">
        <v>0.47887354810431698</v>
      </c>
      <c r="AG173">
        <v>0.47900696864111503</v>
      </c>
      <c r="AH173">
        <v>0.47880971880971801</v>
      </c>
      <c r="AI173">
        <v>-4.2119271938058998E-2</v>
      </c>
      <c r="AJ173" t="s">
        <v>633</v>
      </c>
      <c r="AK173">
        <v>0.47752613240418101</v>
      </c>
      <c r="AL173">
        <v>0.52859368537570794</v>
      </c>
      <c r="AM173">
        <v>140</v>
      </c>
      <c r="AN173">
        <v>0.437037037037037</v>
      </c>
      <c r="AO173">
        <v>0.42142857142857099</v>
      </c>
      <c r="AP173">
        <v>0.42909090909090902</v>
      </c>
      <c r="AQ173">
        <v>164</v>
      </c>
      <c r="AR173">
        <v>0.52071005917159696</v>
      </c>
      <c r="AS173">
        <v>0.53658536585365801</v>
      </c>
      <c r="AT173">
        <v>0.52852852852852805</v>
      </c>
      <c r="AU173">
        <v>59</v>
      </c>
      <c r="AV173">
        <v>81</v>
      </c>
      <c r="AW173">
        <v>76</v>
      </c>
      <c r="AX173">
        <v>88</v>
      </c>
      <c r="AY173">
        <v>1000</v>
      </c>
      <c r="AZ173">
        <v>0.44012944983818703</v>
      </c>
      <c r="BA173">
        <v>0.52670132013201298</v>
      </c>
      <c r="BB173">
        <v>0.43444873967562297</v>
      </c>
      <c r="BC173">
        <v>0.52380428038786897</v>
      </c>
      <c r="BD173">
        <v>0.43372777436498799</v>
      </c>
      <c r="BE173">
        <v>0.52169246891370602</v>
      </c>
      <c r="BF173">
        <v>-0.13019763393585701</v>
      </c>
      <c r="BG173">
        <v>4.8906300817455103E-2</v>
      </c>
      <c r="BH173">
        <v>1000</v>
      </c>
      <c r="BI173">
        <v>0.425992599275482</v>
      </c>
      <c r="BJ173">
        <v>0.51391308815192704</v>
      </c>
      <c r="BK173">
        <v>9</v>
      </c>
    </row>
    <row r="174" spans="1:63" x14ac:dyDescent="0.3">
      <c r="A174" t="s">
        <v>634</v>
      </c>
      <c r="B174" t="s">
        <v>109</v>
      </c>
      <c r="C174" t="s">
        <v>25</v>
      </c>
      <c r="D174" t="s">
        <v>66</v>
      </c>
      <c r="E174" t="s">
        <v>635</v>
      </c>
      <c r="F174">
        <v>5</v>
      </c>
      <c r="G174" t="s">
        <v>24</v>
      </c>
      <c r="H174" t="s">
        <v>36</v>
      </c>
      <c r="I174" t="s">
        <v>27</v>
      </c>
      <c r="J174" t="s">
        <v>31</v>
      </c>
      <c r="K174" t="s">
        <v>111</v>
      </c>
      <c r="L174">
        <v>10</v>
      </c>
      <c r="M174">
        <v>304</v>
      </c>
      <c r="N174">
        <v>42</v>
      </c>
      <c r="O174">
        <v>42</v>
      </c>
      <c r="P174" t="b">
        <v>1</v>
      </c>
      <c r="Q174" t="s">
        <v>112</v>
      </c>
      <c r="R174">
        <v>0.53248022786350302</v>
      </c>
      <c r="S174">
        <v>42</v>
      </c>
      <c r="T174">
        <v>0</v>
      </c>
      <c r="U174" t="s">
        <v>636</v>
      </c>
      <c r="V174" t="s">
        <v>618</v>
      </c>
      <c r="W174">
        <v>0.238095238095238</v>
      </c>
      <c r="X174" t="b">
        <v>0</v>
      </c>
      <c r="Y174">
        <v>886.06595579999203</v>
      </c>
      <c r="Z174">
        <v>43.476531900000502</v>
      </c>
      <c r="AA174">
        <v>12068.1268936</v>
      </c>
      <c r="AB174">
        <v>304</v>
      </c>
      <c r="AC174">
        <v>2</v>
      </c>
      <c r="AD174">
        <v>0.53289473684210498</v>
      </c>
      <c r="AE174">
        <v>0.52944250871080101</v>
      </c>
      <c r="AF174">
        <v>0.529509341714684</v>
      </c>
      <c r="AG174">
        <v>0.52944250871080101</v>
      </c>
      <c r="AH174">
        <v>0.52945280139524697</v>
      </c>
      <c r="AI174">
        <v>5.89518125415876E-2</v>
      </c>
      <c r="AJ174" t="s">
        <v>637</v>
      </c>
      <c r="AK174">
        <v>0.56820557491289203</v>
      </c>
      <c r="AL174">
        <v>0.62288989986399801</v>
      </c>
      <c r="AM174">
        <v>140</v>
      </c>
      <c r="AN174">
        <v>0.49275362318840499</v>
      </c>
      <c r="AO174">
        <v>0.48571428571428499</v>
      </c>
      <c r="AP174">
        <v>0.48920863309352502</v>
      </c>
      <c r="AQ174">
        <v>164</v>
      </c>
      <c r="AR174">
        <v>0.56626506024096301</v>
      </c>
      <c r="AS174">
        <v>0.57317073170731703</v>
      </c>
      <c r="AT174">
        <v>0.56969696969696904</v>
      </c>
      <c r="AU174">
        <v>68</v>
      </c>
      <c r="AV174">
        <v>72</v>
      </c>
      <c r="AW174">
        <v>70</v>
      </c>
      <c r="AX174">
        <v>94</v>
      </c>
      <c r="AY174">
        <v>1000</v>
      </c>
      <c r="AZ174">
        <v>0.47824974031755402</v>
      </c>
      <c r="BA174">
        <v>0.590762826282628</v>
      </c>
      <c r="BB174">
        <v>0.47519288729957998</v>
      </c>
      <c r="BC174">
        <v>0.58349540984246095</v>
      </c>
      <c r="BD174">
        <v>0.474886156816405</v>
      </c>
      <c r="BE174">
        <v>0.58353268118340595</v>
      </c>
      <c r="BF174">
        <v>-4.9691704176665498E-2</v>
      </c>
      <c r="BG174">
        <v>0.16913626238298601</v>
      </c>
      <c r="BH174">
        <v>1000</v>
      </c>
      <c r="BI174">
        <v>0.47801799886621299</v>
      </c>
      <c r="BJ174">
        <v>0.58605338476854096</v>
      </c>
      <c r="BK174">
        <v>5</v>
      </c>
    </row>
    <row r="175" spans="1:63" x14ac:dyDescent="0.3">
      <c r="A175" t="s">
        <v>638</v>
      </c>
      <c r="B175" t="s">
        <v>109</v>
      </c>
      <c r="C175" t="s">
        <v>25</v>
      </c>
      <c r="D175" t="s">
        <v>66</v>
      </c>
      <c r="E175" t="s">
        <v>639</v>
      </c>
      <c r="F175">
        <v>6</v>
      </c>
      <c r="G175" t="s">
        <v>24</v>
      </c>
      <c r="H175" t="s">
        <v>36</v>
      </c>
      <c r="I175" t="s">
        <v>32</v>
      </c>
      <c r="J175" t="s">
        <v>31</v>
      </c>
      <c r="K175" t="s">
        <v>111</v>
      </c>
      <c r="L175">
        <v>10</v>
      </c>
      <c r="M175">
        <v>304</v>
      </c>
      <c r="N175">
        <v>42</v>
      </c>
      <c r="O175">
        <v>42</v>
      </c>
      <c r="P175" t="b">
        <v>1</v>
      </c>
      <c r="Q175" t="s">
        <v>112</v>
      </c>
      <c r="R175">
        <v>0.61604792323433399</v>
      </c>
      <c r="S175">
        <v>42</v>
      </c>
      <c r="T175">
        <v>0</v>
      </c>
      <c r="U175" t="s">
        <v>640</v>
      </c>
      <c r="V175" t="s">
        <v>623</v>
      </c>
      <c r="W175">
        <v>0.30952380952380898</v>
      </c>
      <c r="X175" t="b">
        <v>0</v>
      </c>
      <c r="Y175">
        <v>915.03849890000402</v>
      </c>
      <c r="Z175">
        <v>40.2411403999931</v>
      </c>
      <c r="AA175">
        <v>12132.9928803</v>
      </c>
      <c r="AB175">
        <v>304</v>
      </c>
      <c r="AC175">
        <v>2</v>
      </c>
      <c r="AD175">
        <v>0.61184210526315697</v>
      </c>
      <c r="AE175">
        <v>0.60836236933797905</v>
      </c>
      <c r="AF175">
        <v>0.60889355742296902</v>
      </c>
      <c r="AG175">
        <v>0.60836236933797905</v>
      </c>
      <c r="AH175">
        <v>0.60852104068447699</v>
      </c>
      <c r="AI175">
        <v>0.21725527738579001</v>
      </c>
      <c r="AJ175" t="s">
        <v>641</v>
      </c>
      <c r="AK175">
        <v>0.63523519163762998</v>
      </c>
      <c r="AL175">
        <v>0.65790386991061001</v>
      </c>
      <c r="AM175">
        <v>140</v>
      </c>
      <c r="AN175">
        <v>0.58088235294117596</v>
      </c>
      <c r="AO175">
        <v>0.56428571428571395</v>
      </c>
      <c r="AP175">
        <v>0.57246376811594202</v>
      </c>
      <c r="AQ175">
        <v>164</v>
      </c>
      <c r="AR175">
        <v>0.63690476190476097</v>
      </c>
      <c r="AS175">
        <v>0.65243902439024304</v>
      </c>
      <c r="AT175">
        <v>0.64457831325301196</v>
      </c>
      <c r="AU175">
        <v>79</v>
      </c>
      <c r="AV175">
        <v>61</v>
      </c>
      <c r="AW175">
        <v>57</v>
      </c>
      <c r="AX175">
        <v>107</v>
      </c>
      <c r="AY175">
        <v>1000</v>
      </c>
      <c r="AZ175">
        <v>0.56145750723395105</v>
      </c>
      <c r="BA175">
        <v>0.66107792449117897</v>
      </c>
      <c r="BB175">
        <v>0.55813744624685901</v>
      </c>
      <c r="BC175">
        <v>0.65927777398584797</v>
      </c>
      <c r="BD175">
        <v>0.55731817547186802</v>
      </c>
      <c r="BE175">
        <v>0.65885981041469499</v>
      </c>
      <c r="BF175">
        <v>0.115411843218287</v>
      </c>
      <c r="BG175">
        <v>0.32072829739951603</v>
      </c>
      <c r="BH175">
        <v>1000</v>
      </c>
      <c r="BI175">
        <v>0.56486594266771695</v>
      </c>
      <c r="BJ175">
        <v>0.66530622614899604</v>
      </c>
      <c r="BK175">
        <v>2</v>
      </c>
    </row>
    <row r="176" spans="1:63" x14ac:dyDescent="0.3">
      <c r="A176" t="s">
        <v>642</v>
      </c>
      <c r="B176" t="s">
        <v>109</v>
      </c>
      <c r="C176" t="s">
        <v>25</v>
      </c>
      <c r="D176" t="s">
        <v>66</v>
      </c>
      <c r="E176" t="s">
        <v>643</v>
      </c>
      <c r="F176">
        <v>7</v>
      </c>
      <c r="G176" t="s">
        <v>24</v>
      </c>
      <c r="H176" t="s">
        <v>36</v>
      </c>
      <c r="I176" t="s">
        <v>33</v>
      </c>
      <c r="J176" t="s">
        <v>31</v>
      </c>
      <c r="K176" t="s">
        <v>111</v>
      </c>
      <c r="L176">
        <v>10</v>
      </c>
      <c r="M176">
        <v>304</v>
      </c>
      <c r="N176">
        <v>42</v>
      </c>
      <c r="O176">
        <v>42</v>
      </c>
      <c r="P176" t="b">
        <v>1</v>
      </c>
      <c r="Q176" t="s">
        <v>112</v>
      </c>
      <c r="R176">
        <v>0.56452422432387594</v>
      </c>
      <c r="S176">
        <v>42</v>
      </c>
      <c r="T176">
        <v>0</v>
      </c>
      <c r="U176" t="s">
        <v>644</v>
      </c>
      <c r="V176" t="s">
        <v>623</v>
      </c>
      <c r="W176">
        <v>0.38095238095237999</v>
      </c>
      <c r="X176" t="b">
        <v>0</v>
      </c>
      <c r="Y176">
        <v>917.96630039999695</v>
      </c>
      <c r="Z176">
        <v>34.941561399993503</v>
      </c>
      <c r="AA176">
        <v>12199.798906800001</v>
      </c>
      <c r="AB176">
        <v>304</v>
      </c>
      <c r="AC176">
        <v>2</v>
      </c>
      <c r="AD176">
        <v>0.56578947368420995</v>
      </c>
      <c r="AE176">
        <v>0.56254355400696798</v>
      </c>
      <c r="AF176">
        <v>0.56268552470752498</v>
      </c>
      <c r="AG176">
        <v>0.56254355400696798</v>
      </c>
      <c r="AH176">
        <v>0.56258992805755303</v>
      </c>
      <c r="AI176">
        <v>0.12522899823923</v>
      </c>
      <c r="AJ176" t="s">
        <v>645</v>
      </c>
      <c r="AK176">
        <v>0.55792682926829196</v>
      </c>
      <c r="AL176">
        <v>0.58898231864820605</v>
      </c>
      <c r="AM176">
        <v>140</v>
      </c>
      <c r="AN176">
        <v>0.52898550724637605</v>
      </c>
      <c r="AO176">
        <v>0.52142857142857102</v>
      </c>
      <c r="AP176">
        <v>0.52517985611510698</v>
      </c>
      <c r="AQ176">
        <v>164</v>
      </c>
      <c r="AR176">
        <v>0.59638554216867401</v>
      </c>
      <c r="AS176">
        <v>0.60365853658536495</v>
      </c>
      <c r="AT176">
        <v>0.6</v>
      </c>
      <c r="AU176">
        <v>73</v>
      </c>
      <c r="AV176">
        <v>67</v>
      </c>
      <c r="AW176">
        <v>65</v>
      </c>
      <c r="AX176">
        <v>99</v>
      </c>
      <c r="AY176">
        <v>1000</v>
      </c>
      <c r="AZ176">
        <v>0.51666666666666605</v>
      </c>
      <c r="BA176">
        <v>0.61539087947882698</v>
      </c>
      <c r="BB176">
        <v>0.51242177117052601</v>
      </c>
      <c r="BC176">
        <v>0.61327996715927702</v>
      </c>
      <c r="BD176">
        <v>0.51128010603435303</v>
      </c>
      <c r="BE176">
        <v>0.61261833102151997</v>
      </c>
      <c r="BF176">
        <v>2.5140555241462099E-2</v>
      </c>
      <c r="BG176">
        <v>0.22942516696382201</v>
      </c>
      <c r="BH176">
        <v>1000</v>
      </c>
      <c r="BI176">
        <v>0.50991966878214701</v>
      </c>
      <c r="BJ176">
        <v>0.62240979826890097</v>
      </c>
      <c r="BK176">
        <v>3</v>
      </c>
    </row>
    <row r="177" spans="1:63" x14ac:dyDescent="0.3">
      <c r="A177" t="s">
        <v>646</v>
      </c>
      <c r="B177" t="s">
        <v>109</v>
      </c>
      <c r="C177" t="s">
        <v>25</v>
      </c>
      <c r="D177" t="s">
        <v>66</v>
      </c>
      <c r="E177" t="s">
        <v>647</v>
      </c>
      <c r="F177">
        <v>8</v>
      </c>
      <c r="G177" t="s">
        <v>24</v>
      </c>
      <c r="H177" t="s">
        <v>36</v>
      </c>
      <c r="I177" t="s">
        <v>34</v>
      </c>
      <c r="J177" t="s">
        <v>31</v>
      </c>
      <c r="K177" t="s">
        <v>111</v>
      </c>
      <c r="L177">
        <v>10</v>
      </c>
      <c r="M177">
        <v>304</v>
      </c>
      <c r="N177">
        <v>42</v>
      </c>
      <c r="O177">
        <v>42</v>
      </c>
      <c r="P177" t="b">
        <v>1</v>
      </c>
      <c r="Q177" t="s">
        <v>112</v>
      </c>
      <c r="R177">
        <v>0.62764020242243201</v>
      </c>
      <c r="S177">
        <v>42</v>
      </c>
      <c r="T177">
        <v>0</v>
      </c>
      <c r="U177" t="s">
        <v>648</v>
      </c>
      <c r="V177" t="s">
        <v>649</v>
      </c>
      <c r="W177">
        <v>0.19047619047618999</v>
      </c>
      <c r="X177" t="b">
        <v>0</v>
      </c>
      <c r="Y177">
        <v>950.34282360001305</v>
      </c>
      <c r="Z177">
        <v>43.624295000003002</v>
      </c>
      <c r="AA177">
        <v>12266.879985400001</v>
      </c>
      <c r="AB177">
        <v>304</v>
      </c>
      <c r="AC177">
        <v>2</v>
      </c>
      <c r="AD177">
        <v>0.63815789473684204</v>
      </c>
      <c r="AE177">
        <v>0.63379790940766501</v>
      </c>
      <c r="AF177">
        <v>0.63530655391120505</v>
      </c>
      <c r="AG177">
        <v>0.63379790940766501</v>
      </c>
      <c r="AH177">
        <v>0.63410364145658205</v>
      </c>
      <c r="AI177">
        <v>0.26910023442928999</v>
      </c>
      <c r="AJ177" t="s">
        <v>650</v>
      </c>
      <c r="AK177">
        <v>0.66154181184668903</v>
      </c>
      <c r="AL177">
        <v>0.67045703676814095</v>
      </c>
      <c r="AM177">
        <v>140</v>
      </c>
      <c r="AN177">
        <v>0.61363636363636298</v>
      </c>
      <c r="AO177">
        <v>0.57857142857142796</v>
      </c>
      <c r="AP177">
        <v>0.59558823529411697</v>
      </c>
      <c r="AQ177">
        <v>164</v>
      </c>
      <c r="AR177">
        <v>0.65697674418604601</v>
      </c>
      <c r="AS177">
        <v>0.68902439024390205</v>
      </c>
      <c r="AT177">
        <v>0.67261904761904701</v>
      </c>
      <c r="AU177">
        <v>81</v>
      </c>
      <c r="AV177">
        <v>59</v>
      </c>
      <c r="AW177">
        <v>51</v>
      </c>
      <c r="AX177">
        <v>113</v>
      </c>
      <c r="AY177">
        <v>1000</v>
      </c>
      <c r="AZ177">
        <v>0.59</v>
      </c>
      <c r="BA177">
        <v>0.69073656644677905</v>
      </c>
      <c r="BB177">
        <v>0.587572752835965</v>
      </c>
      <c r="BC177">
        <v>0.684168469457475</v>
      </c>
      <c r="BD177">
        <v>0.58726330834705998</v>
      </c>
      <c r="BE177">
        <v>0.68469379450535395</v>
      </c>
      <c r="BF177">
        <v>0.17666089185641601</v>
      </c>
      <c r="BG177">
        <v>0.37290876131393402</v>
      </c>
      <c r="BH177">
        <v>1000</v>
      </c>
      <c r="BI177">
        <v>0.58054563492063405</v>
      </c>
      <c r="BJ177">
        <v>0.68020291673580002</v>
      </c>
      <c r="BK177">
        <v>1</v>
      </c>
    </row>
    <row r="178" spans="1:63" x14ac:dyDescent="0.3">
      <c r="A178" t="s">
        <v>651</v>
      </c>
      <c r="B178" t="s">
        <v>109</v>
      </c>
      <c r="C178" t="s">
        <v>25</v>
      </c>
      <c r="D178" t="s">
        <v>66</v>
      </c>
      <c r="E178" t="s">
        <v>652</v>
      </c>
      <c r="F178">
        <v>9</v>
      </c>
      <c r="G178" t="s">
        <v>24</v>
      </c>
      <c r="H178" t="s">
        <v>36</v>
      </c>
      <c r="I178" t="s">
        <v>35</v>
      </c>
      <c r="J178" t="s">
        <v>31</v>
      </c>
      <c r="K178" t="s">
        <v>111</v>
      </c>
      <c r="L178">
        <v>10</v>
      </c>
      <c r="M178">
        <v>304</v>
      </c>
      <c r="N178">
        <v>42</v>
      </c>
      <c r="O178">
        <v>42</v>
      </c>
      <c r="P178" t="b">
        <v>1</v>
      </c>
      <c r="Q178" t="s">
        <v>112</v>
      </c>
      <c r="R178">
        <v>0.53981665837066495</v>
      </c>
      <c r="S178">
        <v>42</v>
      </c>
      <c r="T178">
        <v>0</v>
      </c>
      <c r="U178" t="s">
        <v>653</v>
      </c>
      <c r="V178" t="s">
        <v>649</v>
      </c>
      <c r="W178">
        <v>0.19047619047618999</v>
      </c>
      <c r="X178" t="b">
        <v>0</v>
      </c>
      <c r="Y178">
        <v>951.72007269998903</v>
      </c>
      <c r="Z178">
        <v>43.862063900002298</v>
      </c>
      <c r="AA178">
        <v>12332.1664076</v>
      </c>
      <c r="AB178">
        <v>304</v>
      </c>
      <c r="AC178">
        <v>2</v>
      </c>
      <c r="AD178">
        <v>0.54934210526315697</v>
      </c>
      <c r="AE178">
        <v>0.54520905923344898</v>
      </c>
      <c r="AF178">
        <v>0.54549638395792199</v>
      </c>
      <c r="AG178">
        <v>0.54520905923344898</v>
      </c>
      <c r="AH178">
        <v>0.54520338520338496</v>
      </c>
      <c r="AI178">
        <v>9.0704988115571095E-2</v>
      </c>
      <c r="AJ178" t="s">
        <v>654</v>
      </c>
      <c r="AK178">
        <v>0.55897212543553998</v>
      </c>
      <c r="AL178">
        <v>0.60019650155295001</v>
      </c>
      <c r="AM178">
        <v>140</v>
      </c>
      <c r="AN178">
        <v>0.51111111111111096</v>
      </c>
      <c r="AO178">
        <v>0.49285714285714199</v>
      </c>
      <c r="AP178">
        <v>0.50181818181818105</v>
      </c>
      <c r="AQ178">
        <v>164</v>
      </c>
      <c r="AR178">
        <v>0.57988165680473303</v>
      </c>
      <c r="AS178">
        <v>0.59756097560975596</v>
      </c>
      <c r="AT178">
        <v>0.58858858858858798</v>
      </c>
      <c r="AU178">
        <v>69</v>
      </c>
      <c r="AV178">
        <v>71</v>
      </c>
      <c r="AW178">
        <v>66</v>
      </c>
      <c r="AX178">
        <v>98</v>
      </c>
      <c r="AY178">
        <v>1000</v>
      </c>
      <c r="AZ178">
        <v>0.50481746916819703</v>
      </c>
      <c r="BA178">
        <v>0.58974358974358898</v>
      </c>
      <c r="BB178">
        <v>0.50218763898601304</v>
      </c>
      <c r="BC178">
        <v>0.58368990658464304</v>
      </c>
      <c r="BD178">
        <v>0.50154091738140305</v>
      </c>
      <c r="BE178">
        <v>0.58319026635275095</v>
      </c>
      <c r="BF178">
        <v>4.3720465129807604E-3</v>
      </c>
      <c r="BG178">
        <v>0.16821676670895599</v>
      </c>
      <c r="BH178">
        <v>1000</v>
      </c>
      <c r="BI178">
        <v>0.49423115079364999</v>
      </c>
      <c r="BJ178">
        <v>0.58472111608871102</v>
      </c>
      <c r="BK178">
        <v>4</v>
      </c>
    </row>
    <row r="179" spans="1:63" x14ac:dyDescent="0.3">
      <c r="A179" t="s">
        <v>655</v>
      </c>
      <c r="B179" t="s">
        <v>109</v>
      </c>
      <c r="C179" t="s">
        <v>37</v>
      </c>
      <c r="D179" t="s">
        <v>66</v>
      </c>
      <c r="E179" t="s">
        <v>611</v>
      </c>
      <c r="F179">
        <v>0</v>
      </c>
      <c r="G179" t="s">
        <v>24</v>
      </c>
      <c r="H179" t="s">
        <v>26</v>
      </c>
      <c r="I179" t="s">
        <v>27</v>
      </c>
      <c r="J179" t="s">
        <v>31</v>
      </c>
      <c r="K179" t="s">
        <v>111</v>
      </c>
      <c r="L179">
        <v>10</v>
      </c>
      <c r="M179">
        <v>278</v>
      </c>
      <c r="N179">
        <v>42</v>
      </c>
      <c r="O179">
        <v>42</v>
      </c>
      <c r="P179" t="b">
        <v>1</v>
      </c>
      <c r="Q179" t="s">
        <v>112</v>
      </c>
      <c r="R179">
        <v>0.48681245225362801</v>
      </c>
      <c r="S179">
        <v>42</v>
      </c>
      <c r="T179">
        <v>0</v>
      </c>
      <c r="U179" t="s">
        <v>656</v>
      </c>
      <c r="V179" t="s">
        <v>623</v>
      </c>
      <c r="W179">
        <v>0.238095238095238</v>
      </c>
      <c r="X179" t="b">
        <v>0</v>
      </c>
      <c r="Y179">
        <v>945.00031670008104</v>
      </c>
      <c r="Z179">
        <v>40.875686300007096</v>
      </c>
      <c r="AA179">
        <v>11353.532519599899</v>
      </c>
      <c r="AB179">
        <v>278</v>
      </c>
      <c r="AC179">
        <v>2</v>
      </c>
      <c r="AD179">
        <v>0.49640287769784103</v>
      </c>
      <c r="AE179">
        <v>0.48761537258173798</v>
      </c>
      <c r="AF179">
        <v>0.48718778658898398</v>
      </c>
      <c r="AG179">
        <v>0.48761537258173798</v>
      </c>
      <c r="AH179">
        <v>0.485756566777654</v>
      </c>
      <c r="AI179">
        <v>-2.51932125381963E-2</v>
      </c>
      <c r="AJ179" t="s">
        <v>657</v>
      </c>
      <c r="AK179">
        <v>0.493925014340094</v>
      </c>
      <c r="AL179">
        <v>0.44759971696913198</v>
      </c>
      <c r="AM179">
        <v>151</v>
      </c>
      <c r="AN179">
        <v>0.53293413173652604</v>
      </c>
      <c r="AO179">
        <v>0.58940397350993301</v>
      </c>
      <c r="AP179">
        <v>0.55974842767295596</v>
      </c>
      <c r="AQ179">
        <v>127</v>
      </c>
      <c r="AR179">
        <v>0.44144144144144098</v>
      </c>
      <c r="AS179">
        <v>0.38582677165354301</v>
      </c>
      <c r="AT179">
        <v>0.41176470588235198</v>
      </c>
      <c r="AU179">
        <v>89</v>
      </c>
      <c r="AV179">
        <v>62</v>
      </c>
      <c r="AW179">
        <v>78</v>
      </c>
      <c r="AX179">
        <v>49</v>
      </c>
      <c r="AY179">
        <v>1000</v>
      </c>
      <c r="AZ179">
        <v>0.420070711346889</v>
      </c>
      <c r="BA179">
        <v>0.57299372590830799</v>
      </c>
      <c r="BB179">
        <v>0.41376031653722101</v>
      </c>
      <c r="BC179">
        <v>0.56709782195255998</v>
      </c>
      <c r="BD179">
        <v>0.41249915044962998</v>
      </c>
      <c r="BE179">
        <v>0.55972151236022705</v>
      </c>
      <c r="BF179">
        <v>-0.17330774965155399</v>
      </c>
      <c r="BG179">
        <v>0.13536006218240901</v>
      </c>
      <c r="BH179">
        <v>1000</v>
      </c>
      <c r="BI179">
        <v>0.41167304914389902</v>
      </c>
      <c r="BJ179">
        <v>0.55615129340650105</v>
      </c>
      <c r="BK179">
        <v>8</v>
      </c>
    </row>
    <row r="180" spans="1:63" x14ac:dyDescent="0.3">
      <c r="A180" t="s">
        <v>658</v>
      </c>
      <c r="B180" t="s">
        <v>109</v>
      </c>
      <c r="C180" t="s">
        <v>37</v>
      </c>
      <c r="D180" t="s">
        <v>66</v>
      </c>
      <c r="E180" t="s">
        <v>616</v>
      </c>
      <c r="F180">
        <v>1</v>
      </c>
      <c r="G180" t="s">
        <v>24</v>
      </c>
      <c r="H180" t="s">
        <v>26</v>
      </c>
      <c r="I180" t="s">
        <v>32</v>
      </c>
      <c r="J180" t="s">
        <v>31</v>
      </c>
      <c r="K180" t="s">
        <v>111</v>
      </c>
      <c r="L180">
        <v>10</v>
      </c>
      <c r="M180">
        <v>278</v>
      </c>
      <c r="N180">
        <v>42</v>
      </c>
      <c r="O180">
        <v>42</v>
      </c>
      <c r="P180" t="b">
        <v>1</v>
      </c>
      <c r="Q180" t="s">
        <v>112</v>
      </c>
      <c r="R180">
        <v>0.55669404125286404</v>
      </c>
      <c r="S180">
        <v>42</v>
      </c>
      <c r="T180">
        <v>0</v>
      </c>
      <c r="U180" t="s">
        <v>659</v>
      </c>
      <c r="V180" t="s">
        <v>618</v>
      </c>
      <c r="W180">
        <v>0.26190476190476097</v>
      </c>
      <c r="X180" t="b">
        <v>0</v>
      </c>
      <c r="Y180">
        <v>979.45304400002999</v>
      </c>
      <c r="Z180">
        <v>43.2360116000036</v>
      </c>
      <c r="AA180">
        <v>11430.4795328</v>
      </c>
      <c r="AB180">
        <v>278</v>
      </c>
      <c r="AC180">
        <v>2</v>
      </c>
      <c r="AD180">
        <v>0.57194244604316502</v>
      </c>
      <c r="AE180">
        <v>0.56278354278562803</v>
      </c>
      <c r="AF180">
        <v>0.56557734204792998</v>
      </c>
      <c r="AG180">
        <v>0.56278354278562803</v>
      </c>
      <c r="AH180">
        <v>0.56145025518658398</v>
      </c>
      <c r="AI180">
        <v>0.12833047744373099</v>
      </c>
      <c r="AJ180" t="s">
        <v>660</v>
      </c>
      <c r="AK180">
        <v>0.58095635396568801</v>
      </c>
      <c r="AL180">
        <v>0.52578563002392997</v>
      </c>
      <c r="AM180">
        <v>151</v>
      </c>
      <c r="AN180">
        <v>0.59411764705882297</v>
      </c>
      <c r="AO180">
        <v>0.66887417218542999</v>
      </c>
      <c r="AP180">
        <v>0.62928348909657295</v>
      </c>
      <c r="AQ180">
        <v>127</v>
      </c>
      <c r="AR180">
        <v>0.53703703703703698</v>
      </c>
      <c r="AS180">
        <v>0.45669291338582602</v>
      </c>
      <c r="AT180">
        <v>0.49361702127659501</v>
      </c>
      <c r="AU180">
        <v>101</v>
      </c>
      <c r="AV180">
        <v>50</v>
      </c>
      <c r="AW180">
        <v>69</v>
      </c>
      <c r="AX180">
        <v>58</v>
      </c>
      <c r="AY180">
        <v>1000</v>
      </c>
      <c r="AZ180">
        <v>0.49816816025303101</v>
      </c>
      <c r="BA180">
        <v>0.64288891713268903</v>
      </c>
      <c r="BB180">
        <v>0.49430383606338402</v>
      </c>
      <c r="BC180">
        <v>0.63128440469401204</v>
      </c>
      <c r="BD180">
        <v>0.48677596487768798</v>
      </c>
      <c r="BE180">
        <v>0.62907551862642397</v>
      </c>
      <c r="BF180">
        <v>-1.13211124545077E-2</v>
      </c>
      <c r="BG180">
        <v>0.26883142347449901</v>
      </c>
      <c r="BH180">
        <v>1000</v>
      </c>
      <c r="BI180">
        <v>0.487455009372121</v>
      </c>
      <c r="BJ180">
        <v>0.62540894156797999</v>
      </c>
      <c r="BK180">
        <v>1</v>
      </c>
    </row>
    <row r="181" spans="1:63" x14ac:dyDescent="0.3">
      <c r="A181" t="s">
        <v>661</v>
      </c>
      <c r="B181" t="s">
        <v>109</v>
      </c>
      <c r="C181" t="s">
        <v>37</v>
      </c>
      <c r="D181" t="s">
        <v>66</v>
      </c>
      <c r="E181" t="s">
        <v>621</v>
      </c>
      <c r="F181">
        <v>2</v>
      </c>
      <c r="G181" t="s">
        <v>24</v>
      </c>
      <c r="H181" t="s">
        <v>26</v>
      </c>
      <c r="I181" t="s">
        <v>33</v>
      </c>
      <c r="J181" t="s">
        <v>31</v>
      </c>
      <c r="K181" t="s">
        <v>111</v>
      </c>
      <c r="L181">
        <v>10</v>
      </c>
      <c r="M181">
        <v>278</v>
      </c>
      <c r="N181">
        <v>42</v>
      </c>
      <c r="O181">
        <v>42</v>
      </c>
      <c r="P181" t="b">
        <v>1</v>
      </c>
      <c r="Q181" t="s">
        <v>112</v>
      </c>
      <c r="R181">
        <v>0.54436858076563899</v>
      </c>
      <c r="S181">
        <v>42</v>
      </c>
      <c r="T181">
        <v>0</v>
      </c>
      <c r="U181" t="s">
        <v>662</v>
      </c>
      <c r="V181" t="s">
        <v>623</v>
      </c>
      <c r="W181">
        <v>0.19047619047618999</v>
      </c>
      <c r="X181" t="b">
        <v>0</v>
      </c>
      <c r="Y181">
        <v>980.08394220004402</v>
      </c>
      <c r="Z181">
        <v>37.487011700004501</v>
      </c>
      <c r="AA181">
        <v>11503.7608770999</v>
      </c>
      <c r="AB181">
        <v>278</v>
      </c>
      <c r="AC181">
        <v>2</v>
      </c>
      <c r="AD181">
        <v>0.53956834532374098</v>
      </c>
      <c r="AE181">
        <v>0.53360796787818698</v>
      </c>
      <c r="AF181">
        <v>0.534062681676444</v>
      </c>
      <c r="AG181">
        <v>0.53360796787818698</v>
      </c>
      <c r="AH181">
        <v>0.53338578547075699</v>
      </c>
      <c r="AI181">
        <v>6.7669121809784294E-2</v>
      </c>
      <c r="AJ181" t="s">
        <v>663</v>
      </c>
      <c r="AK181">
        <v>0.52557751473118797</v>
      </c>
      <c r="AL181">
        <v>0.49409365400445399</v>
      </c>
      <c r="AM181">
        <v>151</v>
      </c>
      <c r="AN181">
        <v>0.57232704402515699</v>
      </c>
      <c r="AO181">
        <v>0.60264900662251597</v>
      </c>
      <c r="AP181">
        <v>0.587096774193548</v>
      </c>
      <c r="AQ181">
        <v>127</v>
      </c>
      <c r="AR181">
        <v>0.495798319327731</v>
      </c>
      <c r="AS181">
        <v>0.464566929133858</v>
      </c>
      <c r="AT181">
        <v>0.47967479674796698</v>
      </c>
      <c r="AU181">
        <v>91</v>
      </c>
      <c r="AV181">
        <v>60</v>
      </c>
      <c r="AW181">
        <v>68</v>
      </c>
      <c r="AX181">
        <v>59</v>
      </c>
      <c r="AY181">
        <v>1000</v>
      </c>
      <c r="AZ181">
        <v>0.47100888988495399</v>
      </c>
      <c r="BA181">
        <v>0.61710669358596004</v>
      </c>
      <c r="BB181">
        <v>0.46788430884129001</v>
      </c>
      <c r="BC181">
        <v>0.60493749496840099</v>
      </c>
      <c r="BD181">
        <v>0.463318555780737</v>
      </c>
      <c r="BE181">
        <v>0.59946149142310701</v>
      </c>
      <c r="BF181">
        <v>-6.4425071213310606E-2</v>
      </c>
      <c r="BG181">
        <v>0.21122571826689299</v>
      </c>
      <c r="BH181">
        <v>1000</v>
      </c>
      <c r="BI181">
        <v>0.47647568800247297</v>
      </c>
      <c r="BJ181">
        <v>0.61924772219167101</v>
      </c>
      <c r="BK181">
        <v>2</v>
      </c>
    </row>
    <row r="182" spans="1:63" x14ac:dyDescent="0.3">
      <c r="A182" t="s">
        <v>664</v>
      </c>
      <c r="B182" t="s">
        <v>109</v>
      </c>
      <c r="C182" t="s">
        <v>37</v>
      </c>
      <c r="D182" t="s">
        <v>66</v>
      </c>
      <c r="E182" t="s">
        <v>626</v>
      </c>
      <c r="F182">
        <v>3</v>
      </c>
      <c r="G182" t="s">
        <v>24</v>
      </c>
      <c r="H182" t="s">
        <v>26</v>
      </c>
      <c r="I182" t="s">
        <v>34</v>
      </c>
      <c r="J182" t="s">
        <v>31</v>
      </c>
      <c r="K182" t="s">
        <v>111</v>
      </c>
      <c r="L182">
        <v>10</v>
      </c>
      <c r="M182">
        <v>278</v>
      </c>
      <c r="N182">
        <v>42</v>
      </c>
      <c r="O182">
        <v>42</v>
      </c>
      <c r="P182" t="b">
        <v>1</v>
      </c>
      <c r="Q182" t="s">
        <v>112</v>
      </c>
      <c r="R182">
        <v>0.51259549274255101</v>
      </c>
      <c r="S182">
        <v>42</v>
      </c>
      <c r="T182">
        <v>0</v>
      </c>
      <c r="U182" t="s">
        <v>665</v>
      </c>
      <c r="V182" t="s">
        <v>618</v>
      </c>
      <c r="W182">
        <v>0.16666666666666599</v>
      </c>
      <c r="X182" t="b">
        <v>0</v>
      </c>
      <c r="Y182">
        <v>998.82631390003098</v>
      </c>
      <c r="Z182">
        <v>43.604111800006599</v>
      </c>
      <c r="AA182">
        <v>11576.1959986</v>
      </c>
      <c r="AB182">
        <v>278</v>
      </c>
      <c r="AC182">
        <v>2</v>
      </c>
      <c r="AD182">
        <v>0.52158273381294895</v>
      </c>
      <c r="AE182">
        <v>0.51392292850810795</v>
      </c>
      <c r="AF182">
        <v>0.514281129653401</v>
      </c>
      <c r="AG182">
        <v>0.51392292850810795</v>
      </c>
      <c r="AH182">
        <v>0.51295527893038195</v>
      </c>
      <c r="AI182">
        <v>2.8201783431502599E-2</v>
      </c>
      <c r="AJ182" t="s">
        <v>666</v>
      </c>
      <c r="AK182">
        <v>0.52948844970537601</v>
      </c>
      <c r="AL182">
        <v>0.48180785509642798</v>
      </c>
      <c r="AM182">
        <v>151</v>
      </c>
      <c r="AN182">
        <v>0.55487804878048697</v>
      </c>
      <c r="AO182">
        <v>0.60264900662251597</v>
      </c>
      <c r="AP182">
        <v>0.57777777777777695</v>
      </c>
      <c r="AQ182">
        <v>127</v>
      </c>
      <c r="AR182">
        <v>0.47368421052631499</v>
      </c>
      <c r="AS182">
        <v>0.42519685039369998</v>
      </c>
      <c r="AT182">
        <v>0.44813278008298701</v>
      </c>
      <c r="AU182">
        <v>91</v>
      </c>
      <c r="AV182">
        <v>60</v>
      </c>
      <c r="AW182">
        <v>73</v>
      </c>
      <c r="AX182">
        <v>54</v>
      </c>
      <c r="AY182">
        <v>1000</v>
      </c>
      <c r="AZ182">
        <v>0.43413993345067198</v>
      </c>
      <c r="BA182">
        <v>0.60489953886693004</v>
      </c>
      <c r="BB182">
        <v>0.43325469585427101</v>
      </c>
      <c r="BC182">
        <v>0.59183309422641694</v>
      </c>
      <c r="BD182">
        <v>0.42814061378277202</v>
      </c>
      <c r="BE182">
        <v>0.58478429810723298</v>
      </c>
      <c r="BF182">
        <v>-0.13450793564400701</v>
      </c>
      <c r="BG182">
        <v>0.190003413412966</v>
      </c>
      <c r="BH182">
        <v>1000</v>
      </c>
      <c r="BI182">
        <v>0.43547605587934002</v>
      </c>
      <c r="BJ182">
        <v>0.58454336734693801</v>
      </c>
      <c r="BK182">
        <v>4</v>
      </c>
    </row>
    <row r="183" spans="1:63" x14ac:dyDescent="0.3">
      <c r="A183" t="s">
        <v>667</v>
      </c>
      <c r="B183" t="s">
        <v>109</v>
      </c>
      <c r="C183" t="s">
        <v>37</v>
      </c>
      <c r="D183" t="s">
        <v>66</v>
      </c>
      <c r="E183" t="s">
        <v>631</v>
      </c>
      <c r="F183">
        <v>4</v>
      </c>
      <c r="G183" t="s">
        <v>24</v>
      </c>
      <c r="H183" t="s">
        <v>26</v>
      </c>
      <c r="I183" t="s">
        <v>35</v>
      </c>
      <c r="J183" t="s">
        <v>31</v>
      </c>
      <c r="K183" t="s">
        <v>111</v>
      </c>
      <c r="L183">
        <v>10</v>
      </c>
      <c r="M183">
        <v>278</v>
      </c>
      <c r="N183">
        <v>42</v>
      </c>
      <c r="O183">
        <v>42</v>
      </c>
      <c r="P183" t="b">
        <v>1</v>
      </c>
      <c r="Q183" t="s">
        <v>112</v>
      </c>
      <c r="R183">
        <v>0.51297534165181202</v>
      </c>
      <c r="S183">
        <v>42</v>
      </c>
      <c r="T183">
        <v>0</v>
      </c>
      <c r="U183" t="s">
        <v>668</v>
      </c>
      <c r="V183" t="s">
        <v>669</v>
      </c>
      <c r="W183">
        <v>0.214285714285714</v>
      </c>
      <c r="X183" t="b">
        <v>0</v>
      </c>
      <c r="Y183">
        <v>993.87305599993999</v>
      </c>
      <c r="Z183">
        <v>41.897016400002002</v>
      </c>
      <c r="AA183">
        <v>11645.4806419999</v>
      </c>
      <c r="AB183">
        <v>278</v>
      </c>
      <c r="AC183">
        <v>2</v>
      </c>
      <c r="AD183">
        <v>0.50359712230215803</v>
      </c>
      <c r="AE183">
        <v>0.49861813630912</v>
      </c>
      <c r="AF183">
        <v>0.49861001835824798</v>
      </c>
      <c r="AG183">
        <v>0.49861813630912</v>
      </c>
      <c r="AH183">
        <v>0.49850980392156802</v>
      </c>
      <c r="AI183">
        <v>-2.7718334450152699E-3</v>
      </c>
      <c r="AJ183" t="s">
        <v>670</v>
      </c>
      <c r="AK183">
        <v>0.50649215205715103</v>
      </c>
      <c r="AL183">
        <v>0.46110663476061697</v>
      </c>
      <c r="AM183">
        <v>151</v>
      </c>
      <c r="AN183">
        <v>0.54193548387096702</v>
      </c>
      <c r="AO183">
        <v>0.556291390728476</v>
      </c>
      <c r="AP183">
        <v>0.54901960784313697</v>
      </c>
      <c r="AQ183">
        <v>127</v>
      </c>
      <c r="AR183">
        <v>0.45528455284552799</v>
      </c>
      <c r="AS183">
        <v>0.440944881889763</v>
      </c>
      <c r="AT183">
        <v>0.44800000000000001</v>
      </c>
      <c r="AU183">
        <v>84</v>
      </c>
      <c r="AV183">
        <v>67</v>
      </c>
      <c r="AW183">
        <v>71</v>
      </c>
      <c r="AX183">
        <v>56</v>
      </c>
      <c r="AY183">
        <v>1000</v>
      </c>
      <c r="AZ183">
        <v>0.43017339888386902</v>
      </c>
      <c r="BA183">
        <v>0.58041958041957997</v>
      </c>
      <c r="BB183">
        <v>0.42974725383849999</v>
      </c>
      <c r="BC183">
        <v>0.57374073232938605</v>
      </c>
      <c r="BD183">
        <v>0.42672882585363697</v>
      </c>
      <c r="BE183">
        <v>0.57076900823096199</v>
      </c>
      <c r="BF183">
        <v>-0.140987681671669</v>
      </c>
      <c r="BG183">
        <v>0.14939476119345799</v>
      </c>
      <c r="BH183">
        <v>1000</v>
      </c>
      <c r="BI183">
        <v>0.45078171610775197</v>
      </c>
      <c r="BJ183">
        <v>0.57935906735351606</v>
      </c>
      <c r="BK183">
        <v>3</v>
      </c>
    </row>
    <row r="184" spans="1:63" x14ac:dyDescent="0.3">
      <c r="A184" t="s">
        <v>671</v>
      </c>
      <c r="B184" t="s">
        <v>109</v>
      </c>
      <c r="C184" t="s">
        <v>37</v>
      </c>
      <c r="D184" t="s">
        <v>66</v>
      </c>
      <c r="E184" t="s">
        <v>635</v>
      </c>
      <c r="F184">
        <v>5</v>
      </c>
      <c r="G184" t="s">
        <v>24</v>
      </c>
      <c r="H184" t="s">
        <v>36</v>
      </c>
      <c r="I184" t="s">
        <v>27</v>
      </c>
      <c r="J184" t="s">
        <v>31</v>
      </c>
      <c r="K184" t="s">
        <v>111</v>
      </c>
      <c r="L184">
        <v>10</v>
      </c>
      <c r="M184">
        <v>278</v>
      </c>
      <c r="N184">
        <v>42</v>
      </c>
      <c r="O184">
        <v>42</v>
      </c>
      <c r="P184" t="b">
        <v>1</v>
      </c>
      <c r="Q184" t="s">
        <v>112</v>
      </c>
      <c r="R184">
        <v>0.48375986758339701</v>
      </c>
      <c r="S184">
        <v>42</v>
      </c>
      <c r="T184">
        <v>0</v>
      </c>
      <c r="U184" t="s">
        <v>672</v>
      </c>
      <c r="V184" t="s">
        <v>613</v>
      </c>
      <c r="W184">
        <v>0.214285714285714</v>
      </c>
      <c r="X184" t="b">
        <v>0</v>
      </c>
      <c r="Y184">
        <v>849.17650239996999</v>
      </c>
      <c r="Z184">
        <v>37.004555199993703</v>
      </c>
      <c r="AA184">
        <v>11715.645955399999</v>
      </c>
      <c r="AB184">
        <v>278</v>
      </c>
      <c r="AC184">
        <v>2</v>
      </c>
      <c r="AD184">
        <v>0.48201438848920802</v>
      </c>
      <c r="AE184">
        <v>0.474996089065025</v>
      </c>
      <c r="AF184">
        <v>0.47454477889260399</v>
      </c>
      <c r="AG184">
        <v>0.474996089065025</v>
      </c>
      <c r="AH184">
        <v>0.47414880201765403</v>
      </c>
      <c r="AI184">
        <v>-5.0457113726386602E-2</v>
      </c>
      <c r="AJ184" t="s">
        <v>673</v>
      </c>
      <c r="AK184">
        <v>0.48141002242269298</v>
      </c>
      <c r="AL184">
        <v>0.44279633937046597</v>
      </c>
      <c r="AM184">
        <v>151</v>
      </c>
      <c r="AN184">
        <v>0.52173913043478204</v>
      </c>
      <c r="AO184">
        <v>0.556291390728476</v>
      </c>
      <c r="AP184">
        <v>0.53846153846153799</v>
      </c>
      <c r="AQ184">
        <v>127</v>
      </c>
      <c r="AR184">
        <v>0.427350427350427</v>
      </c>
      <c r="AS184">
        <v>0.39370078740157399</v>
      </c>
      <c r="AT184">
        <v>0.40983606557377</v>
      </c>
      <c r="AU184">
        <v>84</v>
      </c>
      <c r="AV184">
        <v>67</v>
      </c>
      <c r="AW184">
        <v>77</v>
      </c>
      <c r="AX184">
        <v>50</v>
      </c>
      <c r="AY184">
        <v>1000</v>
      </c>
      <c r="AZ184">
        <v>0.40529590257412801</v>
      </c>
      <c r="BA184">
        <v>0.55637298517085698</v>
      </c>
      <c r="BB184">
        <v>0.40470809911232603</v>
      </c>
      <c r="BC184">
        <v>0.54694624378648504</v>
      </c>
      <c r="BD184">
        <v>0.40074087854582302</v>
      </c>
      <c r="BE184">
        <v>0.54324144555964704</v>
      </c>
      <c r="BF184">
        <v>-0.191373730187818</v>
      </c>
      <c r="BG184">
        <v>9.2707749770211595E-2</v>
      </c>
      <c r="BH184">
        <v>1000</v>
      </c>
      <c r="BI184">
        <v>0.40264722999414798</v>
      </c>
      <c r="BJ184">
        <v>0.55533129474340404</v>
      </c>
      <c r="BK184">
        <v>9</v>
      </c>
    </row>
    <row r="185" spans="1:63" x14ac:dyDescent="0.3">
      <c r="A185" t="s">
        <v>674</v>
      </c>
      <c r="B185" t="s">
        <v>109</v>
      </c>
      <c r="C185" t="s">
        <v>37</v>
      </c>
      <c r="D185" t="s">
        <v>66</v>
      </c>
      <c r="E185" t="s">
        <v>639</v>
      </c>
      <c r="F185">
        <v>6</v>
      </c>
      <c r="G185" t="s">
        <v>24</v>
      </c>
      <c r="H185" t="s">
        <v>36</v>
      </c>
      <c r="I185" t="s">
        <v>32</v>
      </c>
      <c r="J185" t="s">
        <v>31</v>
      </c>
      <c r="K185" t="s">
        <v>111</v>
      </c>
      <c r="L185">
        <v>10</v>
      </c>
      <c r="M185">
        <v>278</v>
      </c>
      <c r="N185">
        <v>42</v>
      </c>
      <c r="O185">
        <v>42</v>
      </c>
      <c r="P185" t="b">
        <v>1</v>
      </c>
      <c r="Q185" t="s">
        <v>112</v>
      </c>
      <c r="R185">
        <v>0.502593158475511</v>
      </c>
      <c r="S185">
        <v>42</v>
      </c>
      <c r="T185">
        <v>0</v>
      </c>
      <c r="U185" t="s">
        <v>675</v>
      </c>
      <c r="V185" t="s">
        <v>676</v>
      </c>
      <c r="W185">
        <v>0.19047619047618999</v>
      </c>
      <c r="X185" t="b">
        <v>0</v>
      </c>
      <c r="Y185">
        <v>888.36353740004199</v>
      </c>
      <c r="Z185">
        <v>42.902566600008797</v>
      </c>
      <c r="AA185">
        <v>11781.208759199901</v>
      </c>
      <c r="AB185">
        <v>278</v>
      </c>
      <c r="AC185">
        <v>2</v>
      </c>
      <c r="AD185">
        <v>0.50719424460431595</v>
      </c>
      <c r="AE185">
        <v>0.49942639620378498</v>
      </c>
      <c r="AF185">
        <v>0.49941163885322998</v>
      </c>
      <c r="AG185">
        <v>0.49942639620378498</v>
      </c>
      <c r="AH185">
        <v>0.498307317394454</v>
      </c>
      <c r="AI185">
        <v>-1.16187122751508E-3</v>
      </c>
      <c r="AJ185" t="s">
        <v>677</v>
      </c>
      <c r="AK185">
        <v>0.52912342910778498</v>
      </c>
      <c r="AL185">
        <v>0.49957421856068002</v>
      </c>
      <c r="AM185">
        <v>151</v>
      </c>
      <c r="AN185">
        <v>0.542682926829268</v>
      </c>
      <c r="AO185">
        <v>0.58940397350993301</v>
      </c>
      <c r="AP185">
        <v>0.56507936507936496</v>
      </c>
      <c r="AQ185">
        <v>127</v>
      </c>
      <c r="AR185">
        <v>0.45614035087719201</v>
      </c>
      <c r="AS185">
        <v>0.40944881889763701</v>
      </c>
      <c r="AT185">
        <v>0.43153526970954298</v>
      </c>
      <c r="AU185">
        <v>89</v>
      </c>
      <c r="AV185">
        <v>62</v>
      </c>
      <c r="AW185">
        <v>75</v>
      </c>
      <c r="AX185">
        <v>52</v>
      </c>
      <c r="AY185">
        <v>1000</v>
      </c>
      <c r="AZ185">
        <v>0.447643912044634</v>
      </c>
      <c r="BA185">
        <v>0.573943661971831</v>
      </c>
      <c r="BB185">
        <v>0.44106114452003398</v>
      </c>
      <c r="BC185">
        <v>0.56237239812467599</v>
      </c>
      <c r="BD185">
        <v>0.43957259348229699</v>
      </c>
      <c r="BE185">
        <v>0.55968726464218199</v>
      </c>
      <c r="BF185">
        <v>-0.117462548545578</v>
      </c>
      <c r="BG185">
        <v>0.126147801793144</v>
      </c>
      <c r="BH185">
        <v>1000</v>
      </c>
      <c r="BI185">
        <v>0.43726951841342598</v>
      </c>
      <c r="BJ185">
        <v>0.56772194384919406</v>
      </c>
      <c r="BK185">
        <v>6</v>
      </c>
    </row>
    <row r="186" spans="1:63" x14ac:dyDescent="0.3">
      <c r="A186" t="s">
        <v>678</v>
      </c>
      <c r="B186" t="s">
        <v>109</v>
      </c>
      <c r="C186" t="s">
        <v>37</v>
      </c>
      <c r="D186" t="s">
        <v>66</v>
      </c>
      <c r="E186" t="s">
        <v>643</v>
      </c>
      <c r="F186">
        <v>7</v>
      </c>
      <c r="G186" t="s">
        <v>24</v>
      </c>
      <c r="H186" t="s">
        <v>36</v>
      </c>
      <c r="I186" t="s">
        <v>33</v>
      </c>
      <c r="J186" t="s">
        <v>31</v>
      </c>
      <c r="K186" t="s">
        <v>111</v>
      </c>
      <c r="L186">
        <v>10</v>
      </c>
      <c r="M186">
        <v>278</v>
      </c>
      <c r="N186">
        <v>42</v>
      </c>
      <c r="O186">
        <v>42</v>
      </c>
      <c r="P186" t="b">
        <v>1</v>
      </c>
      <c r="Q186" t="s">
        <v>112</v>
      </c>
      <c r="R186">
        <v>0.48958969951616998</v>
      </c>
      <c r="S186">
        <v>42</v>
      </c>
      <c r="T186">
        <v>0</v>
      </c>
      <c r="U186" t="s">
        <v>679</v>
      </c>
      <c r="V186" t="s">
        <v>628</v>
      </c>
      <c r="W186">
        <v>0.214285714285714</v>
      </c>
      <c r="X186" t="b">
        <v>0</v>
      </c>
      <c r="Y186">
        <v>879.34172849991</v>
      </c>
      <c r="Z186">
        <v>43.829992400001998</v>
      </c>
      <c r="AA186">
        <v>11845.3216244</v>
      </c>
      <c r="AB186">
        <v>278</v>
      </c>
      <c r="AC186">
        <v>2</v>
      </c>
      <c r="AD186">
        <v>0.46402877697841699</v>
      </c>
      <c r="AE186">
        <v>0.46156854565364702</v>
      </c>
      <c r="AF186">
        <v>0.46175799086757902</v>
      </c>
      <c r="AG186">
        <v>0.46156854565364702</v>
      </c>
      <c r="AH186">
        <v>0.46151346151346101</v>
      </c>
      <c r="AI186">
        <v>-7.6673229437278598E-2</v>
      </c>
      <c r="AJ186" t="s">
        <v>680</v>
      </c>
      <c r="AK186">
        <v>0.46858215570735701</v>
      </c>
      <c r="AL186">
        <v>0.43331769699843797</v>
      </c>
      <c r="AM186">
        <v>151</v>
      </c>
      <c r="AN186">
        <v>0.50684931506849296</v>
      </c>
      <c r="AO186">
        <v>0.49006622516556197</v>
      </c>
      <c r="AP186">
        <v>0.49831649831649799</v>
      </c>
      <c r="AQ186">
        <v>127</v>
      </c>
      <c r="AR186">
        <v>0.41666666666666602</v>
      </c>
      <c r="AS186">
        <v>0.43307086614173201</v>
      </c>
      <c r="AT186">
        <v>0.42471042471042397</v>
      </c>
      <c r="AU186">
        <v>74</v>
      </c>
      <c r="AV186">
        <v>77</v>
      </c>
      <c r="AW186">
        <v>72</v>
      </c>
      <c r="AX186">
        <v>55</v>
      </c>
      <c r="AY186">
        <v>1000</v>
      </c>
      <c r="AZ186">
        <v>0.38924560041407802</v>
      </c>
      <c r="BA186">
        <v>0.54579533941236003</v>
      </c>
      <c r="BB186">
        <v>0.38546628874764599</v>
      </c>
      <c r="BC186">
        <v>0.54207906557044405</v>
      </c>
      <c r="BD186">
        <v>0.38367973858847099</v>
      </c>
      <c r="BE186">
        <v>0.53680735526091194</v>
      </c>
      <c r="BF186">
        <v>-0.23030374509742299</v>
      </c>
      <c r="BG186">
        <v>8.4071102979059606E-2</v>
      </c>
      <c r="BH186">
        <v>1000</v>
      </c>
      <c r="BI186">
        <v>0.41374623446862402</v>
      </c>
      <c r="BJ186">
        <v>0.57329092028397</v>
      </c>
      <c r="BK186">
        <v>7</v>
      </c>
    </row>
    <row r="187" spans="1:63" x14ac:dyDescent="0.3">
      <c r="A187" t="s">
        <v>681</v>
      </c>
      <c r="B187" t="s">
        <v>109</v>
      </c>
      <c r="C187" t="s">
        <v>37</v>
      </c>
      <c r="D187" t="s">
        <v>66</v>
      </c>
      <c r="E187" t="s">
        <v>647</v>
      </c>
      <c r="F187">
        <v>8</v>
      </c>
      <c r="G187" t="s">
        <v>24</v>
      </c>
      <c r="H187" t="s">
        <v>36</v>
      </c>
      <c r="I187" t="s">
        <v>34</v>
      </c>
      <c r="J187" t="s">
        <v>31</v>
      </c>
      <c r="K187" t="s">
        <v>111</v>
      </c>
      <c r="L187">
        <v>10</v>
      </c>
      <c r="M187">
        <v>278</v>
      </c>
      <c r="N187">
        <v>42</v>
      </c>
      <c r="O187">
        <v>42</v>
      </c>
      <c r="P187" t="b">
        <v>1</v>
      </c>
      <c r="Q187" t="s">
        <v>112</v>
      </c>
      <c r="R187">
        <v>0.50277247262541302</v>
      </c>
      <c r="S187">
        <v>42</v>
      </c>
      <c r="T187">
        <v>0</v>
      </c>
      <c r="U187" t="s">
        <v>682</v>
      </c>
      <c r="V187" t="s">
        <v>649</v>
      </c>
      <c r="W187">
        <v>0.19047619047618999</v>
      </c>
      <c r="X187" t="b">
        <v>0</v>
      </c>
      <c r="Y187">
        <v>899.75398620004103</v>
      </c>
      <c r="Z187">
        <v>43.291309999995001</v>
      </c>
      <c r="AA187">
        <v>11910.1533749999</v>
      </c>
      <c r="AB187">
        <v>278</v>
      </c>
      <c r="AC187">
        <v>2</v>
      </c>
      <c r="AD187">
        <v>0.492805755395683</v>
      </c>
      <c r="AE187">
        <v>0.48430411430359199</v>
      </c>
      <c r="AF187">
        <v>0.483810240963855</v>
      </c>
      <c r="AG187">
        <v>0.48430411430359199</v>
      </c>
      <c r="AH187">
        <v>0.48262344416139802</v>
      </c>
      <c r="AI187">
        <v>-3.1881819727468501E-2</v>
      </c>
      <c r="AJ187" t="s">
        <v>683</v>
      </c>
      <c r="AK187">
        <v>0.51160244042342395</v>
      </c>
      <c r="AL187">
        <v>0.46421650345487703</v>
      </c>
      <c r="AM187">
        <v>151</v>
      </c>
      <c r="AN187">
        <v>0.53012048192771</v>
      </c>
      <c r="AO187">
        <v>0.58278145695364203</v>
      </c>
      <c r="AP187">
        <v>0.55520504731861198</v>
      </c>
      <c r="AQ187">
        <v>127</v>
      </c>
      <c r="AR187">
        <v>0.4375</v>
      </c>
      <c r="AS187">
        <v>0.38582677165354301</v>
      </c>
      <c r="AT187">
        <v>0.410041841004184</v>
      </c>
      <c r="AU187">
        <v>88</v>
      </c>
      <c r="AV187">
        <v>63</v>
      </c>
      <c r="AW187">
        <v>78</v>
      </c>
      <c r="AX187">
        <v>49</v>
      </c>
      <c r="AY187">
        <v>1000</v>
      </c>
      <c r="AZ187">
        <v>0.40972222222222199</v>
      </c>
      <c r="BA187">
        <v>0.56729755115732905</v>
      </c>
      <c r="BB187">
        <v>0.40923542891836401</v>
      </c>
      <c r="BC187">
        <v>0.55406530829567202</v>
      </c>
      <c r="BD187">
        <v>0.40488087855174398</v>
      </c>
      <c r="BE187">
        <v>0.55092926242629103</v>
      </c>
      <c r="BF187">
        <v>-0.18286286176691199</v>
      </c>
      <c r="BG187">
        <v>0.109325614264316</v>
      </c>
      <c r="BH187">
        <v>1000</v>
      </c>
      <c r="BI187">
        <v>0.430602045110973</v>
      </c>
      <c r="BJ187">
        <v>0.56924504161772804</v>
      </c>
      <c r="BK187">
        <v>5</v>
      </c>
    </row>
    <row r="188" spans="1:63" x14ac:dyDescent="0.3">
      <c r="A188" t="s">
        <v>684</v>
      </c>
      <c r="B188" t="s">
        <v>109</v>
      </c>
      <c r="C188" t="s">
        <v>37</v>
      </c>
      <c r="D188" t="s">
        <v>66</v>
      </c>
      <c r="E188" t="s">
        <v>652</v>
      </c>
      <c r="F188">
        <v>9</v>
      </c>
      <c r="G188" t="s">
        <v>24</v>
      </c>
      <c r="H188" t="s">
        <v>36</v>
      </c>
      <c r="I188" t="s">
        <v>35</v>
      </c>
      <c r="J188" t="s">
        <v>31</v>
      </c>
      <c r="K188" t="s">
        <v>111</v>
      </c>
      <c r="L188">
        <v>10</v>
      </c>
      <c r="M188">
        <v>278</v>
      </c>
      <c r="N188">
        <v>42</v>
      </c>
      <c r="O188">
        <v>42</v>
      </c>
      <c r="P188" t="b">
        <v>1</v>
      </c>
      <c r="Q188" t="s">
        <v>112</v>
      </c>
      <c r="R188">
        <v>0.471507618198794</v>
      </c>
      <c r="S188">
        <v>42</v>
      </c>
      <c r="T188">
        <v>0</v>
      </c>
      <c r="U188" t="s">
        <v>685</v>
      </c>
      <c r="V188" t="s">
        <v>613</v>
      </c>
      <c r="W188">
        <v>0.19047619047618999</v>
      </c>
      <c r="X188" t="b">
        <v>0</v>
      </c>
      <c r="Y188">
        <v>900.49394359995597</v>
      </c>
      <c r="Z188">
        <v>42.466496500010102</v>
      </c>
      <c r="AA188">
        <v>11984.5385309999</v>
      </c>
      <c r="AB188">
        <v>278</v>
      </c>
      <c r="AC188">
        <v>2</v>
      </c>
      <c r="AD188">
        <v>0.46402877697841699</v>
      </c>
      <c r="AE188">
        <v>0.45843979767429699</v>
      </c>
      <c r="AF188">
        <v>0.458123160992013</v>
      </c>
      <c r="AG188">
        <v>0.45843979767429699</v>
      </c>
      <c r="AH188">
        <v>0.45813220307941799</v>
      </c>
      <c r="AI188">
        <v>-8.3436440526494099E-2</v>
      </c>
      <c r="AJ188" t="s">
        <v>686</v>
      </c>
      <c r="AK188">
        <v>0.46592271992491002</v>
      </c>
      <c r="AL188">
        <v>0.43202785641547098</v>
      </c>
      <c r="AM188">
        <v>151</v>
      </c>
      <c r="AN188">
        <v>0.50641025641025605</v>
      </c>
      <c r="AO188">
        <v>0.52317880794701899</v>
      </c>
      <c r="AP188">
        <v>0.51465798045602595</v>
      </c>
      <c r="AQ188">
        <v>127</v>
      </c>
      <c r="AR188">
        <v>0.40983606557377</v>
      </c>
      <c r="AS188">
        <v>0.39370078740157399</v>
      </c>
      <c r="AT188">
        <v>0.40160642570281102</v>
      </c>
      <c r="AU188">
        <v>79</v>
      </c>
      <c r="AV188">
        <v>72</v>
      </c>
      <c r="AW188">
        <v>77</v>
      </c>
      <c r="AX188">
        <v>50</v>
      </c>
      <c r="AY188">
        <v>1000</v>
      </c>
      <c r="AZ188">
        <v>0.38740389131163999</v>
      </c>
      <c r="BA188">
        <v>0.54063604240282603</v>
      </c>
      <c r="BB188">
        <v>0.38532792240373898</v>
      </c>
      <c r="BC188">
        <v>0.52899157363541705</v>
      </c>
      <c r="BD188">
        <v>0.38204959094925001</v>
      </c>
      <c r="BE188">
        <v>0.52493951482929702</v>
      </c>
      <c r="BF188">
        <v>-0.22812052293078</v>
      </c>
      <c r="BG188">
        <v>5.7489443365778298E-2</v>
      </c>
      <c r="BH188">
        <v>1000</v>
      </c>
      <c r="BI188">
        <v>0.40048462008135699</v>
      </c>
      <c r="BJ188">
        <v>0.545331867121848</v>
      </c>
      <c r="BK188">
        <v>10</v>
      </c>
    </row>
    <row r="189" spans="1:63" x14ac:dyDescent="0.3">
      <c r="A189" t="s">
        <v>0</v>
      </c>
      <c r="B189" t="s">
        <v>69</v>
      </c>
      <c r="C189" t="s">
        <v>2</v>
      </c>
      <c r="D189" t="s">
        <v>70</v>
      </c>
      <c r="E189" t="s">
        <v>71</v>
      </c>
      <c r="F189" t="s">
        <v>72</v>
      </c>
      <c r="G189" t="s">
        <v>1</v>
      </c>
      <c r="H189" t="s">
        <v>3</v>
      </c>
      <c r="I189" t="s">
        <v>4</v>
      </c>
      <c r="J189" t="s">
        <v>5</v>
      </c>
      <c r="K189" t="s">
        <v>73</v>
      </c>
      <c r="L189" t="s">
        <v>74</v>
      </c>
      <c r="M189" t="s">
        <v>75</v>
      </c>
      <c r="N189" t="s">
        <v>6</v>
      </c>
      <c r="O189" t="s">
        <v>7</v>
      </c>
      <c r="P189" t="s">
        <v>8</v>
      </c>
      <c r="Q189" t="s">
        <v>76</v>
      </c>
      <c r="R189" t="s">
        <v>77</v>
      </c>
      <c r="S189" t="s">
        <v>78</v>
      </c>
      <c r="T189" t="s">
        <v>79</v>
      </c>
      <c r="U189" t="s">
        <v>80</v>
      </c>
      <c r="V189" t="s">
        <v>81</v>
      </c>
      <c r="W189" t="s">
        <v>82</v>
      </c>
      <c r="X189" t="s">
        <v>9</v>
      </c>
      <c r="Y189" t="s">
        <v>83</v>
      </c>
      <c r="Z189" t="s">
        <v>84</v>
      </c>
      <c r="AA189" t="s">
        <v>85</v>
      </c>
      <c r="AB189" t="s">
        <v>10</v>
      </c>
      <c r="AC189" t="s">
        <v>282</v>
      </c>
      <c r="AD189" t="s">
        <v>283</v>
      </c>
      <c r="AE189" t="s">
        <v>284</v>
      </c>
      <c r="AF189" t="s">
        <v>285</v>
      </c>
      <c r="AG189" t="s">
        <v>19</v>
      </c>
      <c r="AH189" t="s">
        <v>286</v>
      </c>
      <c r="AI189" t="s">
        <v>287</v>
      </c>
      <c r="AJ189" t="s">
        <v>288</v>
      </c>
      <c r="AK189" t="s">
        <v>289</v>
      </c>
      <c r="AL189" t="s">
        <v>290</v>
      </c>
      <c r="AM189" t="s">
        <v>291</v>
      </c>
      <c r="AN189" t="s">
        <v>292</v>
      </c>
      <c r="AO189" t="s">
        <v>293</v>
      </c>
      <c r="AP189" t="s">
        <v>104</v>
      </c>
      <c r="AQ189" t="s">
        <v>105</v>
      </c>
      <c r="AR189" t="s">
        <v>106</v>
      </c>
      <c r="AS189" t="s">
        <v>107</v>
      </c>
    </row>
    <row r="190" spans="1:63" x14ac:dyDescent="0.3">
      <c r="A190" t="s">
        <v>687</v>
      </c>
      <c r="B190" t="s">
        <v>109</v>
      </c>
      <c r="C190" t="s">
        <v>25</v>
      </c>
      <c r="D190" t="s">
        <v>68</v>
      </c>
      <c r="E190" t="s">
        <v>688</v>
      </c>
      <c r="F190">
        <v>0</v>
      </c>
      <c r="G190" t="s">
        <v>24</v>
      </c>
      <c r="H190" t="s">
        <v>26</v>
      </c>
      <c r="I190" t="s">
        <v>27</v>
      </c>
      <c r="J190" t="s">
        <v>689</v>
      </c>
      <c r="K190" t="s">
        <v>111</v>
      </c>
      <c r="L190">
        <v>10</v>
      </c>
      <c r="M190">
        <v>332</v>
      </c>
      <c r="N190">
        <v>42</v>
      </c>
      <c r="O190">
        <v>42</v>
      </c>
      <c r="P190" t="b">
        <v>1</v>
      </c>
      <c r="Q190" t="s">
        <v>248</v>
      </c>
      <c r="R190">
        <v>2.1181478041856501</v>
      </c>
      <c r="S190">
        <v>42</v>
      </c>
      <c r="T190">
        <v>0</v>
      </c>
      <c r="U190" t="s">
        <v>690</v>
      </c>
      <c r="V190" t="s">
        <v>691</v>
      </c>
      <c r="W190">
        <v>0.19047619047618999</v>
      </c>
      <c r="X190" t="b">
        <v>0</v>
      </c>
      <c r="Y190">
        <v>1073.77792599995</v>
      </c>
      <c r="Z190">
        <v>47.233127499988697</v>
      </c>
      <c r="AA190">
        <v>8483.7780075999999</v>
      </c>
      <c r="AB190">
        <v>332</v>
      </c>
      <c r="AC190">
        <v>2.11769191131761</v>
      </c>
      <c r="AD190">
        <v>2.5009835943907799</v>
      </c>
      <c r="AE190">
        <v>-0.201277843717519</v>
      </c>
      <c r="AF190">
        <v>4.5026529524457203E-2</v>
      </c>
      <c r="AG190">
        <v>1000</v>
      </c>
      <c r="AH190">
        <v>1.9624357402255801</v>
      </c>
      <c r="AI190">
        <v>2.2939178108920601</v>
      </c>
      <c r="AJ190">
        <v>2.3322876090961202</v>
      </c>
      <c r="AK190">
        <v>2.673711924914</v>
      </c>
      <c r="AL190">
        <v>-0.31560398708348503</v>
      </c>
      <c r="AM190">
        <v>-0.103423589770702</v>
      </c>
      <c r="AN190">
        <v>-5.0334257968192603E-2</v>
      </c>
      <c r="AO190">
        <v>0.14291383872604399</v>
      </c>
      <c r="AP190">
        <v>1000</v>
      </c>
      <c r="AQ190">
        <v>1.9642229794836601</v>
      </c>
      <c r="AR190">
        <v>2.2939178108920601</v>
      </c>
      <c r="AS190">
        <v>5</v>
      </c>
    </row>
    <row r="191" spans="1:63" x14ac:dyDescent="0.3">
      <c r="A191" t="s">
        <v>692</v>
      </c>
      <c r="B191" t="s">
        <v>109</v>
      </c>
      <c r="C191" t="s">
        <v>25</v>
      </c>
      <c r="D191" t="s">
        <v>68</v>
      </c>
      <c r="E191" t="s">
        <v>693</v>
      </c>
      <c r="F191">
        <v>1</v>
      </c>
      <c r="G191" t="s">
        <v>24</v>
      </c>
      <c r="H191" t="s">
        <v>26</v>
      </c>
      <c r="I191" t="s">
        <v>32</v>
      </c>
      <c r="J191" t="s">
        <v>689</v>
      </c>
      <c r="K191" t="s">
        <v>111</v>
      </c>
      <c r="L191">
        <v>10</v>
      </c>
      <c r="M191">
        <v>332</v>
      </c>
      <c r="N191">
        <v>42</v>
      </c>
      <c r="O191">
        <v>42</v>
      </c>
      <c r="P191" t="b">
        <v>1</v>
      </c>
      <c r="Q191" t="s">
        <v>248</v>
      </c>
      <c r="R191">
        <v>2.0234475208862901</v>
      </c>
      <c r="S191">
        <v>42</v>
      </c>
      <c r="T191">
        <v>0</v>
      </c>
      <c r="U191" t="s">
        <v>694</v>
      </c>
      <c r="V191" t="s">
        <v>695</v>
      </c>
      <c r="W191">
        <v>0.238095238095238</v>
      </c>
      <c r="X191" t="b">
        <v>0</v>
      </c>
      <c r="Y191">
        <v>977.22079359975703</v>
      </c>
      <c r="Z191">
        <v>44.151471700002702</v>
      </c>
      <c r="AA191">
        <v>8511.5777713999996</v>
      </c>
      <c r="AB191">
        <v>332</v>
      </c>
      <c r="AC191">
        <v>2.0229998205370001</v>
      </c>
      <c r="AD191">
        <v>2.3581505563271898</v>
      </c>
      <c r="AE191">
        <v>-6.7984229410267896E-2</v>
      </c>
      <c r="AF191">
        <v>0.105580881042868</v>
      </c>
      <c r="AG191">
        <v>1000</v>
      </c>
      <c r="AH191">
        <v>1.8803800883746</v>
      </c>
      <c r="AI191">
        <v>2.1855711211286901</v>
      </c>
      <c r="AJ191">
        <v>2.2051721253555301</v>
      </c>
      <c r="AK191">
        <v>2.5159002390256502</v>
      </c>
      <c r="AL191">
        <v>-0.152945998186761</v>
      </c>
      <c r="AM191">
        <v>-1.3885161502550001E-3</v>
      </c>
      <c r="AN191">
        <v>1.8310901185744102E-2</v>
      </c>
      <c r="AO191">
        <v>0.18784154343048401</v>
      </c>
      <c r="AP191">
        <v>1000</v>
      </c>
      <c r="AQ191">
        <v>1.88050307954044</v>
      </c>
      <c r="AR191">
        <v>2.1840091398935599</v>
      </c>
      <c r="AS191">
        <v>1</v>
      </c>
    </row>
    <row r="192" spans="1:63" x14ac:dyDescent="0.3">
      <c r="A192" t="s">
        <v>696</v>
      </c>
      <c r="B192" t="s">
        <v>109</v>
      </c>
      <c r="C192" t="s">
        <v>25</v>
      </c>
      <c r="D192" t="s">
        <v>68</v>
      </c>
      <c r="E192" t="s">
        <v>697</v>
      </c>
      <c r="F192">
        <v>2</v>
      </c>
      <c r="G192" t="s">
        <v>24</v>
      </c>
      <c r="H192" t="s">
        <v>26</v>
      </c>
      <c r="I192" t="s">
        <v>33</v>
      </c>
      <c r="J192" t="s">
        <v>689</v>
      </c>
      <c r="K192" t="s">
        <v>111</v>
      </c>
      <c r="L192">
        <v>10</v>
      </c>
      <c r="M192">
        <v>332</v>
      </c>
      <c r="N192">
        <v>42</v>
      </c>
      <c r="O192">
        <v>42</v>
      </c>
      <c r="P192" t="b">
        <v>1</v>
      </c>
      <c r="Q192" t="s">
        <v>248</v>
      </c>
      <c r="R192">
        <v>2.09069440889734</v>
      </c>
      <c r="S192">
        <v>42</v>
      </c>
      <c r="T192">
        <v>0</v>
      </c>
      <c r="U192" t="s">
        <v>698</v>
      </c>
      <c r="V192" t="s">
        <v>691</v>
      </c>
      <c r="W192">
        <v>0.238095238095238</v>
      </c>
      <c r="X192" t="b">
        <v>0</v>
      </c>
      <c r="Y192">
        <v>1054.5442405000499</v>
      </c>
      <c r="Z192">
        <v>38.8428497999775</v>
      </c>
      <c r="AA192">
        <v>8539.3014509999994</v>
      </c>
      <c r="AB192">
        <v>332</v>
      </c>
      <c r="AC192">
        <v>2.0861903587408901</v>
      </c>
      <c r="AD192">
        <v>2.40422061408111</v>
      </c>
      <c r="AE192">
        <v>-0.11012124553684</v>
      </c>
      <c r="AF192">
        <v>-9.9996796942056904E-3</v>
      </c>
      <c r="AG192">
        <v>1000</v>
      </c>
      <c r="AH192">
        <v>1.9258424583317599</v>
      </c>
      <c r="AI192">
        <v>2.2371473361167502</v>
      </c>
      <c r="AJ192">
        <v>2.2427185935277101</v>
      </c>
      <c r="AK192">
        <v>2.5572068870862901</v>
      </c>
      <c r="AL192">
        <v>-0.17045667148119201</v>
      </c>
      <c r="AM192">
        <v>-5.3923166827617199E-2</v>
      </c>
      <c r="AN192">
        <v>-9.6025651103558193E-2</v>
      </c>
      <c r="AO192">
        <v>7.9633728005999299E-2</v>
      </c>
      <c r="AP192">
        <v>1000</v>
      </c>
      <c r="AQ192">
        <v>1.9317835306200499</v>
      </c>
      <c r="AR192">
        <v>2.24216604249697</v>
      </c>
      <c r="AS192">
        <v>3</v>
      </c>
    </row>
    <row r="193" spans="1:45" x14ac:dyDescent="0.3">
      <c r="A193" t="s">
        <v>699</v>
      </c>
      <c r="B193" t="s">
        <v>109</v>
      </c>
      <c r="C193" t="s">
        <v>25</v>
      </c>
      <c r="D193" t="s">
        <v>68</v>
      </c>
      <c r="E193" t="s">
        <v>700</v>
      </c>
      <c r="F193">
        <v>3</v>
      </c>
      <c r="G193" t="s">
        <v>24</v>
      </c>
      <c r="H193" t="s">
        <v>26</v>
      </c>
      <c r="I193" t="s">
        <v>34</v>
      </c>
      <c r="J193" t="s">
        <v>689</v>
      </c>
      <c r="K193" t="s">
        <v>111</v>
      </c>
      <c r="L193">
        <v>10</v>
      </c>
      <c r="M193">
        <v>332</v>
      </c>
      <c r="N193">
        <v>42</v>
      </c>
      <c r="O193">
        <v>42</v>
      </c>
      <c r="P193" t="b">
        <v>1</v>
      </c>
      <c r="Q193" t="s">
        <v>248</v>
      </c>
      <c r="R193">
        <v>2.0488781841378598</v>
      </c>
      <c r="S193">
        <v>42</v>
      </c>
      <c r="T193">
        <v>0</v>
      </c>
      <c r="U193" t="s">
        <v>701</v>
      </c>
      <c r="V193" t="s">
        <v>702</v>
      </c>
      <c r="W193">
        <v>0.214285714285714</v>
      </c>
      <c r="X193" t="b">
        <v>0</v>
      </c>
      <c r="Y193">
        <v>945.06361839992303</v>
      </c>
      <c r="Z193">
        <v>39.270674800019997</v>
      </c>
      <c r="AA193">
        <v>8567.4024871000001</v>
      </c>
      <c r="AB193">
        <v>332</v>
      </c>
      <c r="AC193">
        <v>2.0474735144788299</v>
      </c>
      <c r="AD193">
        <v>2.4170408162509802</v>
      </c>
      <c r="AE193">
        <v>-0.121991973065101</v>
      </c>
      <c r="AF193">
        <v>0.104760456463368</v>
      </c>
      <c r="AG193">
        <v>1000</v>
      </c>
      <c r="AH193">
        <v>1.8887083666346001</v>
      </c>
      <c r="AI193">
        <v>2.2281649934902501</v>
      </c>
      <c r="AJ193">
        <v>2.24227311219986</v>
      </c>
      <c r="AK193">
        <v>2.5973281532318402</v>
      </c>
      <c r="AL193">
        <v>-0.22275248407467799</v>
      </c>
      <c r="AM193">
        <v>-3.10879153649826E-2</v>
      </c>
      <c r="AN193">
        <v>8.7335384808861008E-3</v>
      </c>
      <c r="AO193">
        <v>0.202282818793144</v>
      </c>
      <c r="AP193">
        <v>1000</v>
      </c>
      <c r="AQ193">
        <v>1.89142461024154</v>
      </c>
      <c r="AR193">
        <v>2.2284788224959202</v>
      </c>
      <c r="AS193">
        <v>2</v>
      </c>
    </row>
    <row r="194" spans="1:45" x14ac:dyDescent="0.3">
      <c r="A194" t="s">
        <v>703</v>
      </c>
      <c r="B194" t="s">
        <v>109</v>
      </c>
      <c r="C194" t="s">
        <v>25</v>
      </c>
      <c r="D194" t="s">
        <v>68</v>
      </c>
      <c r="E194" t="s">
        <v>704</v>
      </c>
      <c r="F194">
        <v>4</v>
      </c>
      <c r="G194" t="s">
        <v>24</v>
      </c>
      <c r="H194" t="s">
        <v>26</v>
      </c>
      <c r="I194" t="s">
        <v>35</v>
      </c>
      <c r="J194" t="s">
        <v>689</v>
      </c>
      <c r="K194" t="s">
        <v>111</v>
      </c>
      <c r="L194">
        <v>10</v>
      </c>
      <c r="M194">
        <v>332</v>
      </c>
      <c r="N194">
        <v>42</v>
      </c>
      <c r="O194">
        <v>42</v>
      </c>
      <c r="P194" t="b">
        <v>1</v>
      </c>
      <c r="Q194" t="s">
        <v>248</v>
      </c>
      <c r="R194">
        <v>2.15520234029385</v>
      </c>
      <c r="S194">
        <v>42</v>
      </c>
      <c r="T194">
        <v>0</v>
      </c>
      <c r="U194" t="s">
        <v>705</v>
      </c>
      <c r="V194" t="s">
        <v>706</v>
      </c>
      <c r="W194">
        <v>0.26190476190476097</v>
      </c>
      <c r="X194" t="b">
        <v>0</v>
      </c>
      <c r="Y194">
        <v>961.69729160002998</v>
      </c>
      <c r="Z194">
        <v>34.186854099992999</v>
      </c>
      <c r="AA194">
        <v>8595.4936825000004</v>
      </c>
      <c r="AB194">
        <v>332</v>
      </c>
      <c r="AC194">
        <v>2.15413555752006</v>
      </c>
      <c r="AD194">
        <v>2.5286161315949101</v>
      </c>
      <c r="AE194">
        <v>-0.22796952732939599</v>
      </c>
      <c r="AF194">
        <v>-2.68365067313826E-2</v>
      </c>
      <c r="AG194">
        <v>1000</v>
      </c>
      <c r="AH194">
        <v>1.9859998549551701</v>
      </c>
      <c r="AI194">
        <v>2.3062009402468799</v>
      </c>
      <c r="AJ194">
        <v>2.3547044839068998</v>
      </c>
      <c r="AK194">
        <v>2.6913610036558202</v>
      </c>
      <c r="AL194">
        <v>-0.377087712249011</v>
      </c>
      <c r="AM194">
        <v>-0.11563339269</v>
      </c>
      <c r="AN194">
        <v>-0.122542098889664</v>
      </c>
      <c r="AO194">
        <v>7.3895289282335005E-2</v>
      </c>
      <c r="AP194">
        <v>1000</v>
      </c>
      <c r="AQ194">
        <v>1.9855425776369799</v>
      </c>
      <c r="AR194">
        <v>2.3053919889129801</v>
      </c>
      <c r="AS194">
        <v>7</v>
      </c>
    </row>
    <row r="195" spans="1:45" x14ac:dyDescent="0.3">
      <c r="A195" t="s">
        <v>707</v>
      </c>
      <c r="B195" t="s">
        <v>109</v>
      </c>
      <c r="C195" t="s">
        <v>25</v>
      </c>
      <c r="D195" t="s">
        <v>68</v>
      </c>
      <c r="E195" t="s">
        <v>708</v>
      </c>
      <c r="F195">
        <v>5</v>
      </c>
      <c r="G195" t="s">
        <v>24</v>
      </c>
      <c r="H195" t="s">
        <v>36</v>
      </c>
      <c r="I195" t="s">
        <v>27</v>
      </c>
      <c r="J195" t="s">
        <v>689</v>
      </c>
      <c r="K195" t="s">
        <v>111</v>
      </c>
      <c r="L195">
        <v>10</v>
      </c>
      <c r="M195">
        <v>332</v>
      </c>
      <c r="N195">
        <v>42</v>
      </c>
      <c r="O195">
        <v>42</v>
      </c>
      <c r="P195" t="b">
        <v>1</v>
      </c>
      <c r="Q195" t="s">
        <v>248</v>
      </c>
      <c r="R195">
        <v>2.3279417708923398</v>
      </c>
      <c r="S195">
        <v>42</v>
      </c>
      <c r="T195">
        <v>0</v>
      </c>
      <c r="U195" t="s">
        <v>709</v>
      </c>
      <c r="V195" t="s">
        <v>691</v>
      </c>
      <c r="W195">
        <v>0.214285714285714</v>
      </c>
      <c r="X195" t="b">
        <v>0</v>
      </c>
      <c r="Y195">
        <v>493.91969629999898</v>
      </c>
      <c r="Z195">
        <v>18.3432662999912</v>
      </c>
      <c r="AA195">
        <v>8623.5701649999992</v>
      </c>
      <c r="AB195">
        <v>332</v>
      </c>
      <c r="AC195">
        <v>2.3272113186698702</v>
      </c>
      <c r="AD195">
        <v>2.83564589168232</v>
      </c>
      <c r="AE195">
        <v>-0.54427902885955404</v>
      </c>
      <c r="AF195">
        <v>2.6330713405792699E-3</v>
      </c>
      <c r="AG195">
        <v>1000</v>
      </c>
      <c r="AH195">
        <v>2.13968973938199</v>
      </c>
      <c r="AI195">
        <v>2.50038888626962</v>
      </c>
      <c r="AJ195">
        <v>2.6142785618797499</v>
      </c>
      <c r="AK195">
        <v>3.0375536041632301</v>
      </c>
      <c r="AL195">
        <v>-0.78418952275317599</v>
      </c>
      <c r="AM195">
        <v>-0.34938312141399502</v>
      </c>
      <c r="AN195">
        <v>-7.5022537944462495E-2</v>
      </c>
      <c r="AO195">
        <v>7.5481110564106696E-2</v>
      </c>
      <c r="AP195">
        <v>1000</v>
      </c>
      <c r="AQ195">
        <v>2.1426900717609301</v>
      </c>
      <c r="AR195">
        <v>2.5018666592015499</v>
      </c>
      <c r="AS195">
        <v>10</v>
      </c>
    </row>
    <row r="196" spans="1:45" x14ac:dyDescent="0.3">
      <c r="A196" t="s">
        <v>710</v>
      </c>
      <c r="B196" t="s">
        <v>109</v>
      </c>
      <c r="C196" t="s">
        <v>25</v>
      </c>
      <c r="D196" t="s">
        <v>68</v>
      </c>
      <c r="E196" t="s">
        <v>711</v>
      </c>
      <c r="F196">
        <v>6</v>
      </c>
      <c r="G196" t="s">
        <v>24</v>
      </c>
      <c r="H196" t="s">
        <v>36</v>
      </c>
      <c r="I196" t="s">
        <v>32</v>
      </c>
      <c r="J196" t="s">
        <v>689</v>
      </c>
      <c r="K196" t="s">
        <v>111</v>
      </c>
      <c r="L196">
        <v>10</v>
      </c>
      <c r="M196">
        <v>332</v>
      </c>
      <c r="N196">
        <v>42</v>
      </c>
      <c r="O196">
        <v>42</v>
      </c>
      <c r="P196" t="b">
        <v>1</v>
      </c>
      <c r="Q196" t="s">
        <v>248</v>
      </c>
      <c r="R196">
        <v>2.12993442714916</v>
      </c>
      <c r="S196">
        <v>42</v>
      </c>
      <c r="T196">
        <v>0</v>
      </c>
      <c r="U196" t="s">
        <v>712</v>
      </c>
      <c r="V196" t="s">
        <v>713</v>
      </c>
      <c r="W196">
        <v>0.214285714285714</v>
      </c>
      <c r="X196" t="b">
        <v>0</v>
      </c>
      <c r="Y196">
        <v>543.36488009994298</v>
      </c>
      <c r="Z196">
        <v>20.3997789000131</v>
      </c>
      <c r="AA196">
        <v>8651.7591766999994</v>
      </c>
      <c r="AB196">
        <v>332</v>
      </c>
      <c r="AC196">
        <v>2.1290053694857898</v>
      </c>
      <c r="AD196">
        <v>2.5102685147974699</v>
      </c>
      <c r="AE196">
        <v>-0.21021390664592901</v>
      </c>
      <c r="AF196">
        <v>0.102827650685803</v>
      </c>
      <c r="AG196">
        <v>1000</v>
      </c>
      <c r="AH196">
        <v>1.9649846163590401</v>
      </c>
      <c r="AI196">
        <v>2.31191972772119</v>
      </c>
      <c r="AJ196">
        <v>2.3199591583689601</v>
      </c>
      <c r="AK196">
        <v>2.72205980017451</v>
      </c>
      <c r="AL196">
        <v>-0.36041828000516402</v>
      </c>
      <c r="AM196">
        <v>-8.6865001207638001E-2</v>
      </c>
      <c r="AN196">
        <v>-3.8334447655725698E-3</v>
      </c>
      <c r="AO196">
        <v>0.201236612636712</v>
      </c>
      <c r="AP196">
        <v>1000</v>
      </c>
      <c r="AQ196">
        <v>1.9639883516233501</v>
      </c>
      <c r="AR196">
        <v>2.3145115973225501</v>
      </c>
      <c r="AS196">
        <v>6</v>
      </c>
    </row>
    <row r="197" spans="1:45" x14ac:dyDescent="0.3">
      <c r="A197" t="s">
        <v>714</v>
      </c>
      <c r="B197" t="s">
        <v>109</v>
      </c>
      <c r="C197" t="s">
        <v>25</v>
      </c>
      <c r="D197" t="s">
        <v>68</v>
      </c>
      <c r="E197" t="s">
        <v>715</v>
      </c>
      <c r="F197">
        <v>7</v>
      </c>
      <c r="G197" t="s">
        <v>24</v>
      </c>
      <c r="H197" t="s">
        <v>36</v>
      </c>
      <c r="I197" t="s">
        <v>33</v>
      </c>
      <c r="J197" t="s">
        <v>689</v>
      </c>
      <c r="K197" t="s">
        <v>111</v>
      </c>
      <c r="L197">
        <v>10</v>
      </c>
      <c r="M197">
        <v>332</v>
      </c>
      <c r="N197">
        <v>42</v>
      </c>
      <c r="O197">
        <v>42</v>
      </c>
      <c r="P197" t="b">
        <v>1</v>
      </c>
      <c r="Q197" t="s">
        <v>248</v>
      </c>
      <c r="R197">
        <v>2.1971819294063502</v>
      </c>
      <c r="S197">
        <v>42</v>
      </c>
      <c r="T197">
        <v>0</v>
      </c>
      <c r="U197" t="s">
        <v>716</v>
      </c>
      <c r="V197" t="s">
        <v>717</v>
      </c>
      <c r="W197">
        <v>0.19047619047618999</v>
      </c>
      <c r="X197" t="b">
        <v>0</v>
      </c>
      <c r="Y197">
        <v>614.61615150002694</v>
      </c>
      <c r="Z197">
        <v>22.602650899985701</v>
      </c>
      <c r="AA197">
        <v>8680.1967898000003</v>
      </c>
      <c r="AB197">
        <v>332</v>
      </c>
      <c r="AC197">
        <v>2.1970520566640199</v>
      </c>
      <c r="AD197">
        <v>2.5663572823573002</v>
      </c>
      <c r="AE197">
        <v>-0.26489948768631599</v>
      </c>
      <c r="AF197">
        <v>-2.05862517747143E-2</v>
      </c>
      <c r="AG197">
        <v>1000</v>
      </c>
      <c r="AH197">
        <v>2.02678535560911</v>
      </c>
      <c r="AI197">
        <v>2.3722397352889799</v>
      </c>
      <c r="AJ197">
        <v>2.39512774004355</v>
      </c>
      <c r="AK197">
        <v>2.7425921543815699</v>
      </c>
      <c r="AL197">
        <v>-0.417891400613842</v>
      </c>
      <c r="AM197">
        <v>-0.14250625744145501</v>
      </c>
      <c r="AN197">
        <v>-0.13651952989372401</v>
      </c>
      <c r="AO197">
        <v>8.7050041111575299E-2</v>
      </c>
      <c r="AP197">
        <v>1000</v>
      </c>
      <c r="AQ197">
        <v>2.0302103148396702</v>
      </c>
      <c r="AR197">
        <v>2.3710911039259499</v>
      </c>
      <c r="AS197">
        <v>9</v>
      </c>
    </row>
    <row r="198" spans="1:45" x14ac:dyDescent="0.3">
      <c r="A198" t="s">
        <v>718</v>
      </c>
      <c r="B198" t="s">
        <v>109</v>
      </c>
      <c r="C198" t="s">
        <v>25</v>
      </c>
      <c r="D198" t="s">
        <v>68</v>
      </c>
      <c r="E198" t="s">
        <v>719</v>
      </c>
      <c r="F198">
        <v>8</v>
      </c>
      <c r="G198" t="s">
        <v>24</v>
      </c>
      <c r="H198" t="s">
        <v>36</v>
      </c>
      <c r="I198" t="s">
        <v>34</v>
      </c>
      <c r="J198" t="s">
        <v>689</v>
      </c>
      <c r="K198" t="s">
        <v>111</v>
      </c>
      <c r="L198">
        <v>10</v>
      </c>
      <c r="M198">
        <v>332</v>
      </c>
      <c r="N198">
        <v>42</v>
      </c>
      <c r="O198">
        <v>42</v>
      </c>
      <c r="P198" t="b">
        <v>1</v>
      </c>
      <c r="Q198" t="s">
        <v>248</v>
      </c>
      <c r="R198">
        <v>2.0977698866925798</v>
      </c>
      <c r="S198">
        <v>42</v>
      </c>
      <c r="T198">
        <v>0</v>
      </c>
      <c r="U198" t="s">
        <v>720</v>
      </c>
      <c r="V198" t="s">
        <v>691</v>
      </c>
      <c r="W198">
        <v>0.19047619047618999</v>
      </c>
      <c r="X198" t="b">
        <v>0</v>
      </c>
      <c r="Y198">
        <v>507.60081939995803</v>
      </c>
      <c r="Z198">
        <v>20.093120999990699</v>
      </c>
      <c r="AA198">
        <v>8708.4958778</v>
      </c>
      <c r="AB198">
        <v>332</v>
      </c>
      <c r="AC198">
        <v>2.0972629397542302</v>
      </c>
      <c r="AD198">
        <v>2.5200531296965298</v>
      </c>
      <c r="AE198">
        <v>-0.219666724158946</v>
      </c>
      <c r="AF198">
        <v>0.12235117374860199</v>
      </c>
      <c r="AG198">
        <v>1000</v>
      </c>
      <c r="AH198">
        <v>1.92875152585348</v>
      </c>
      <c r="AI198">
        <v>2.2879043796119301</v>
      </c>
      <c r="AJ198">
        <v>2.3138743494564098</v>
      </c>
      <c r="AK198">
        <v>2.7356203526451401</v>
      </c>
      <c r="AL198">
        <v>-0.40063628529991302</v>
      </c>
      <c r="AM198">
        <v>-6.3443477481128302E-2</v>
      </c>
      <c r="AN198">
        <v>1.7396943920704101E-2</v>
      </c>
      <c r="AO198">
        <v>0.234357725362972</v>
      </c>
      <c r="AP198">
        <v>1000</v>
      </c>
      <c r="AQ198">
        <v>1.9315966644579501</v>
      </c>
      <c r="AR198">
        <v>2.2878986384726598</v>
      </c>
      <c r="AS198">
        <v>4</v>
      </c>
    </row>
    <row r="199" spans="1:45" x14ac:dyDescent="0.3">
      <c r="A199" t="s">
        <v>721</v>
      </c>
      <c r="B199" t="s">
        <v>109</v>
      </c>
      <c r="C199" t="s">
        <v>25</v>
      </c>
      <c r="D199" t="s">
        <v>68</v>
      </c>
      <c r="E199" t="s">
        <v>722</v>
      </c>
      <c r="F199">
        <v>9</v>
      </c>
      <c r="G199" t="s">
        <v>24</v>
      </c>
      <c r="H199" t="s">
        <v>36</v>
      </c>
      <c r="I199" t="s">
        <v>35</v>
      </c>
      <c r="J199" t="s">
        <v>689</v>
      </c>
      <c r="K199" t="s">
        <v>111</v>
      </c>
      <c r="L199">
        <v>10</v>
      </c>
      <c r="M199">
        <v>332</v>
      </c>
      <c r="N199">
        <v>42</v>
      </c>
      <c r="O199">
        <v>42</v>
      </c>
      <c r="P199" t="b">
        <v>1</v>
      </c>
      <c r="Q199" t="s">
        <v>248</v>
      </c>
      <c r="R199">
        <v>2.1679441073952499</v>
      </c>
      <c r="S199">
        <v>42</v>
      </c>
      <c r="T199">
        <v>0</v>
      </c>
      <c r="U199" t="s">
        <v>723</v>
      </c>
      <c r="V199" t="s">
        <v>691</v>
      </c>
      <c r="W199">
        <v>0.28571428571428498</v>
      </c>
      <c r="X199" t="b">
        <v>0</v>
      </c>
      <c r="Y199">
        <v>474.89175599993899</v>
      </c>
      <c r="Z199">
        <v>19.303426300008098</v>
      </c>
      <c r="AA199">
        <v>8736.4584161999992</v>
      </c>
      <c r="AB199">
        <v>332</v>
      </c>
      <c r="AC199">
        <v>2.1690252841544999</v>
      </c>
      <c r="AD199">
        <v>2.5436059506048099</v>
      </c>
      <c r="AE199">
        <v>-0.24257166473383299</v>
      </c>
      <c r="AF199">
        <v>5.9459679707071798E-2</v>
      </c>
      <c r="AG199">
        <v>1000</v>
      </c>
      <c r="AH199">
        <v>2.0079240904859899</v>
      </c>
      <c r="AI199">
        <v>2.3113147140960901</v>
      </c>
      <c r="AJ199">
        <v>2.38060014014204</v>
      </c>
      <c r="AK199">
        <v>2.68985107657097</v>
      </c>
      <c r="AL199">
        <v>-0.39610067998362303</v>
      </c>
      <c r="AM199">
        <v>-0.109874877055208</v>
      </c>
      <c r="AN199">
        <v>-4.5373488860171098E-2</v>
      </c>
      <c r="AO199">
        <v>0.16882045194981901</v>
      </c>
      <c r="AP199">
        <v>1000</v>
      </c>
      <c r="AQ199">
        <v>2.00631416008288</v>
      </c>
      <c r="AR199">
        <v>2.31014285981054</v>
      </c>
      <c r="AS199">
        <v>8</v>
      </c>
    </row>
    <row r="200" spans="1:45" x14ac:dyDescent="0.3">
      <c r="A200" t="s">
        <v>724</v>
      </c>
      <c r="B200" t="s">
        <v>109</v>
      </c>
      <c r="C200" t="s">
        <v>37</v>
      </c>
      <c r="D200" t="s">
        <v>68</v>
      </c>
      <c r="E200" t="s">
        <v>688</v>
      </c>
      <c r="F200">
        <v>0</v>
      </c>
      <c r="G200" t="s">
        <v>24</v>
      </c>
      <c r="H200" t="s">
        <v>26</v>
      </c>
      <c r="I200" t="s">
        <v>27</v>
      </c>
      <c r="J200" t="s">
        <v>689</v>
      </c>
      <c r="K200" t="s">
        <v>111</v>
      </c>
      <c r="L200">
        <v>10</v>
      </c>
      <c r="M200">
        <v>332</v>
      </c>
      <c r="N200">
        <v>42</v>
      </c>
      <c r="O200">
        <v>42</v>
      </c>
      <c r="P200" t="b">
        <v>1</v>
      </c>
      <c r="Q200" t="s">
        <v>248</v>
      </c>
      <c r="R200">
        <v>1.91000490837239</v>
      </c>
      <c r="S200">
        <v>42</v>
      </c>
      <c r="T200">
        <v>0</v>
      </c>
      <c r="U200" t="s">
        <v>725</v>
      </c>
      <c r="V200" t="s">
        <v>706</v>
      </c>
      <c r="W200">
        <v>0.38095238095237999</v>
      </c>
      <c r="X200" t="b">
        <v>0</v>
      </c>
      <c r="Y200">
        <v>1482.0939274999901</v>
      </c>
      <c r="Z200">
        <v>39.021138099975303</v>
      </c>
      <c r="AA200">
        <v>9401.6729395999992</v>
      </c>
      <c r="AB200">
        <v>332</v>
      </c>
      <c r="AC200">
        <v>1.91020554499831</v>
      </c>
      <c r="AD200">
        <v>2.3400481157093198</v>
      </c>
      <c r="AE200">
        <v>-0.37398295646087998</v>
      </c>
      <c r="AF200">
        <v>-1.3639086802378001E-2</v>
      </c>
      <c r="AG200">
        <v>1000</v>
      </c>
      <c r="AH200">
        <v>1.71325900094887</v>
      </c>
      <c r="AI200">
        <v>2.12197010556724</v>
      </c>
      <c r="AJ200">
        <v>2.1246276400788302</v>
      </c>
      <c r="AK200">
        <v>2.5534404375092401</v>
      </c>
      <c r="AL200">
        <v>-0.64114818231916104</v>
      </c>
      <c r="AM200">
        <v>-0.173378958424034</v>
      </c>
      <c r="AN200">
        <v>-0.19327049020710799</v>
      </c>
      <c r="AO200">
        <v>0.17135914438171199</v>
      </c>
      <c r="AP200">
        <v>1000</v>
      </c>
      <c r="AQ200">
        <v>1.7144735570848699</v>
      </c>
      <c r="AR200">
        <v>2.1185297987986602</v>
      </c>
      <c r="AS200">
        <v>7</v>
      </c>
    </row>
    <row r="201" spans="1:45" x14ac:dyDescent="0.3">
      <c r="A201" t="s">
        <v>726</v>
      </c>
      <c r="B201" t="s">
        <v>109</v>
      </c>
      <c r="C201" t="s">
        <v>37</v>
      </c>
      <c r="D201" t="s">
        <v>68</v>
      </c>
      <c r="E201" t="s">
        <v>693</v>
      </c>
      <c r="F201">
        <v>1</v>
      </c>
      <c r="G201" t="s">
        <v>24</v>
      </c>
      <c r="H201" t="s">
        <v>26</v>
      </c>
      <c r="I201" t="s">
        <v>32</v>
      </c>
      <c r="J201" t="s">
        <v>689</v>
      </c>
      <c r="K201" t="s">
        <v>111</v>
      </c>
      <c r="L201">
        <v>10</v>
      </c>
      <c r="M201">
        <v>332</v>
      </c>
      <c r="N201">
        <v>42</v>
      </c>
      <c r="O201">
        <v>42</v>
      </c>
      <c r="P201" t="b">
        <v>1</v>
      </c>
      <c r="Q201" t="s">
        <v>248</v>
      </c>
      <c r="R201">
        <v>1.72487217421048</v>
      </c>
      <c r="S201">
        <v>42</v>
      </c>
      <c r="T201">
        <v>0</v>
      </c>
      <c r="U201" t="s">
        <v>727</v>
      </c>
      <c r="V201" t="s">
        <v>695</v>
      </c>
      <c r="W201">
        <v>0.19047619047618999</v>
      </c>
      <c r="X201" t="b">
        <v>0</v>
      </c>
      <c r="Y201">
        <v>1040.2713139</v>
      </c>
      <c r="Z201">
        <v>39.020443300025299</v>
      </c>
      <c r="AA201">
        <v>9429.9891165999998</v>
      </c>
      <c r="AB201">
        <v>332</v>
      </c>
      <c r="AC201">
        <v>1.7232292932622799</v>
      </c>
      <c r="AD201">
        <v>2.0605480654002699</v>
      </c>
      <c r="AE201">
        <v>-6.5362166408918093E-2</v>
      </c>
      <c r="AF201">
        <v>0.101077629400163</v>
      </c>
      <c r="AG201">
        <v>1000</v>
      </c>
      <c r="AH201">
        <v>1.59159210819132</v>
      </c>
      <c r="AI201">
        <v>1.8673737883747701</v>
      </c>
      <c r="AJ201">
        <v>1.9207432663694299</v>
      </c>
      <c r="AK201">
        <v>2.2016888851087701</v>
      </c>
      <c r="AL201">
        <v>-0.178131566647621</v>
      </c>
      <c r="AM201">
        <v>1.3799146498965E-2</v>
      </c>
      <c r="AN201">
        <v>-1.03280523752194E-3</v>
      </c>
      <c r="AO201">
        <v>0.208973613438556</v>
      </c>
      <c r="AP201">
        <v>1000</v>
      </c>
      <c r="AQ201">
        <v>1.59315718844132</v>
      </c>
      <c r="AR201">
        <v>1.8682685121167999</v>
      </c>
      <c r="AS201">
        <v>1</v>
      </c>
    </row>
    <row r="202" spans="1:45" x14ac:dyDescent="0.3">
      <c r="A202" t="s">
        <v>728</v>
      </c>
      <c r="B202" t="s">
        <v>109</v>
      </c>
      <c r="C202" t="s">
        <v>37</v>
      </c>
      <c r="D202" t="s">
        <v>68</v>
      </c>
      <c r="E202" t="s">
        <v>697</v>
      </c>
      <c r="F202">
        <v>2</v>
      </c>
      <c r="G202" t="s">
        <v>24</v>
      </c>
      <c r="H202" t="s">
        <v>26</v>
      </c>
      <c r="I202" t="s">
        <v>33</v>
      </c>
      <c r="J202" t="s">
        <v>689</v>
      </c>
      <c r="K202" t="s">
        <v>111</v>
      </c>
      <c r="L202">
        <v>10</v>
      </c>
      <c r="M202">
        <v>332</v>
      </c>
      <c r="N202">
        <v>42</v>
      </c>
      <c r="O202">
        <v>42</v>
      </c>
      <c r="P202" t="b">
        <v>1</v>
      </c>
      <c r="Q202" t="s">
        <v>248</v>
      </c>
      <c r="R202">
        <v>1.728328692234</v>
      </c>
      <c r="S202">
        <v>42</v>
      </c>
      <c r="T202">
        <v>0</v>
      </c>
      <c r="U202" t="s">
        <v>729</v>
      </c>
      <c r="V202" t="s">
        <v>713</v>
      </c>
      <c r="W202">
        <v>0.14285714285714199</v>
      </c>
      <c r="X202" t="b">
        <v>0</v>
      </c>
      <c r="Y202">
        <v>1009.27579519992</v>
      </c>
      <c r="Z202">
        <v>37.997880299975797</v>
      </c>
      <c r="AA202">
        <v>9458.0181806000001</v>
      </c>
      <c r="AB202">
        <v>332</v>
      </c>
      <c r="AC202">
        <v>1.72569098721828</v>
      </c>
      <c r="AD202">
        <v>2.0597614232299999</v>
      </c>
      <c r="AE202">
        <v>-6.45488887663212E-2</v>
      </c>
      <c r="AF202">
        <v>0.122246059294616</v>
      </c>
      <c r="AG202">
        <v>1000</v>
      </c>
      <c r="AH202">
        <v>1.5690328843244099</v>
      </c>
      <c r="AI202">
        <v>1.89368606263588</v>
      </c>
      <c r="AJ202">
        <v>1.8803902326774999</v>
      </c>
      <c r="AK202">
        <v>2.24039088676219</v>
      </c>
      <c r="AL202">
        <v>-0.21562947590537199</v>
      </c>
      <c r="AM202">
        <v>6.4470104451467405E-2</v>
      </c>
      <c r="AN202">
        <v>-4.1319187681208E-2</v>
      </c>
      <c r="AO202">
        <v>0.28496798138488799</v>
      </c>
      <c r="AP202">
        <v>1000</v>
      </c>
      <c r="AQ202">
        <v>1.5710155969597901</v>
      </c>
      <c r="AR202">
        <v>1.8967624275110799</v>
      </c>
      <c r="AS202">
        <v>2</v>
      </c>
    </row>
    <row r="203" spans="1:45" x14ac:dyDescent="0.3">
      <c r="A203" t="s">
        <v>730</v>
      </c>
      <c r="B203" t="s">
        <v>109</v>
      </c>
      <c r="C203" t="s">
        <v>37</v>
      </c>
      <c r="D203" t="s">
        <v>68</v>
      </c>
      <c r="E203" t="s">
        <v>700</v>
      </c>
      <c r="F203">
        <v>3</v>
      </c>
      <c r="G203" t="s">
        <v>24</v>
      </c>
      <c r="H203" t="s">
        <v>26</v>
      </c>
      <c r="I203" t="s">
        <v>34</v>
      </c>
      <c r="J203" t="s">
        <v>689</v>
      </c>
      <c r="K203" t="s">
        <v>111</v>
      </c>
      <c r="L203">
        <v>10</v>
      </c>
      <c r="M203">
        <v>332</v>
      </c>
      <c r="N203">
        <v>42</v>
      </c>
      <c r="O203">
        <v>42</v>
      </c>
      <c r="P203" t="b">
        <v>1</v>
      </c>
      <c r="Q203" t="s">
        <v>248</v>
      </c>
      <c r="R203">
        <v>1.91024004531655</v>
      </c>
      <c r="S203">
        <v>42</v>
      </c>
      <c r="T203">
        <v>0</v>
      </c>
      <c r="U203" t="s">
        <v>731</v>
      </c>
      <c r="V203" t="s">
        <v>732</v>
      </c>
      <c r="W203">
        <v>0.16666666666666599</v>
      </c>
      <c r="X203" t="b">
        <v>0</v>
      </c>
      <c r="Y203">
        <v>1186.7919653998199</v>
      </c>
      <c r="Z203">
        <v>36.253891800006301</v>
      </c>
      <c r="AA203">
        <v>9485.9359081999992</v>
      </c>
      <c r="AB203">
        <v>332</v>
      </c>
      <c r="AC203">
        <v>1.9078001014932</v>
      </c>
      <c r="AD203">
        <v>2.3200743258465599</v>
      </c>
      <c r="AE203">
        <v>-0.350627434643072</v>
      </c>
      <c r="AF203">
        <v>-2.2551255523278902E-3</v>
      </c>
      <c r="AG203">
        <v>1000</v>
      </c>
      <c r="AH203">
        <v>1.6806999695357501</v>
      </c>
      <c r="AI203">
        <v>2.1314486728470001</v>
      </c>
      <c r="AJ203">
        <v>2.0717726254632498</v>
      </c>
      <c r="AK203">
        <v>2.5585420151854299</v>
      </c>
      <c r="AL203">
        <v>-0.68713064340900099</v>
      </c>
      <c r="AM203">
        <v>-0.14354472587848599</v>
      </c>
      <c r="AN203">
        <v>-0.14458153178045699</v>
      </c>
      <c r="AO203">
        <v>0.13196423862092599</v>
      </c>
      <c r="AP203">
        <v>1000</v>
      </c>
      <c r="AQ203">
        <v>1.6850220356968399</v>
      </c>
      <c r="AR203">
        <v>2.1293950640180999</v>
      </c>
      <c r="AS203">
        <v>8</v>
      </c>
    </row>
    <row r="204" spans="1:45" x14ac:dyDescent="0.3">
      <c r="A204" t="s">
        <v>733</v>
      </c>
      <c r="B204" t="s">
        <v>109</v>
      </c>
      <c r="C204" t="s">
        <v>37</v>
      </c>
      <c r="D204" t="s">
        <v>68</v>
      </c>
      <c r="E204" t="s">
        <v>704</v>
      </c>
      <c r="F204">
        <v>4</v>
      </c>
      <c r="G204" t="s">
        <v>24</v>
      </c>
      <c r="H204" t="s">
        <v>26</v>
      </c>
      <c r="I204" t="s">
        <v>35</v>
      </c>
      <c r="J204" t="s">
        <v>689</v>
      </c>
      <c r="K204" t="s">
        <v>111</v>
      </c>
      <c r="L204">
        <v>10</v>
      </c>
      <c r="M204">
        <v>332</v>
      </c>
      <c r="N204">
        <v>42</v>
      </c>
      <c r="O204">
        <v>42</v>
      </c>
      <c r="P204" t="b">
        <v>1</v>
      </c>
      <c r="Q204" t="s">
        <v>248</v>
      </c>
      <c r="R204">
        <v>1.8520957625954899</v>
      </c>
      <c r="S204">
        <v>42</v>
      </c>
      <c r="T204">
        <v>0</v>
      </c>
      <c r="U204" t="s">
        <v>734</v>
      </c>
      <c r="V204" t="s">
        <v>735</v>
      </c>
      <c r="W204">
        <v>0.16666666666666599</v>
      </c>
      <c r="X204" t="b">
        <v>0</v>
      </c>
      <c r="Y204">
        <v>1164.6499350000099</v>
      </c>
      <c r="Z204">
        <v>37.243542199997997</v>
      </c>
      <c r="AA204">
        <v>9513.9811554000007</v>
      </c>
      <c r="AB204">
        <v>332</v>
      </c>
      <c r="AC204">
        <v>1.84853433215598</v>
      </c>
      <c r="AD204">
        <v>2.2157927356612599</v>
      </c>
      <c r="AE204">
        <v>-0.231941369010948</v>
      </c>
      <c r="AF204">
        <v>2.6490519572045599E-2</v>
      </c>
      <c r="AG204">
        <v>1000</v>
      </c>
      <c r="AH204">
        <v>1.68955469016399</v>
      </c>
      <c r="AI204">
        <v>2.0423916585697999</v>
      </c>
      <c r="AJ204">
        <v>2.0309555077653401</v>
      </c>
      <c r="AK204">
        <v>2.4169901526044999</v>
      </c>
      <c r="AL204">
        <v>-0.44086200015501797</v>
      </c>
      <c r="AM204">
        <v>-7.48954100646608E-2</v>
      </c>
      <c r="AN204">
        <v>-0.14322780981959801</v>
      </c>
      <c r="AO204">
        <v>0.18148213137043401</v>
      </c>
      <c r="AP204">
        <v>1000</v>
      </c>
      <c r="AQ204">
        <v>1.6933460152220099</v>
      </c>
      <c r="AR204">
        <v>2.0452136551507398</v>
      </c>
      <c r="AS204">
        <v>3</v>
      </c>
    </row>
    <row r="205" spans="1:45" x14ac:dyDescent="0.3">
      <c r="A205" t="s">
        <v>736</v>
      </c>
      <c r="B205" t="s">
        <v>109</v>
      </c>
      <c r="C205" t="s">
        <v>37</v>
      </c>
      <c r="D205" t="s">
        <v>68</v>
      </c>
      <c r="E205" t="s">
        <v>708</v>
      </c>
      <c r="F205">
        <v>5</v>
      </c>
      <c r="G205" t="s">
        <v>24</v>
      </c>
      <c r="H205" t="s">
        <v>36</v>
      </c>
      <c r="I205" t="s">
        <v>27</v>
      </c>
      <c r="J205" t="s">
        <v>689</v>
      </c>
      <c r="K205" t="s">
        <v>111</v>
      </c>
      <c r="L205">
        <v>10</v>
      </c>
      <c r="M205">
        <v>332</v>
      </c>
      <c r="N205">
        <v>42</v>
      </c>
      <c r="O205">
        <v>42</v>
      </c>
      <c r="P205" t="b">
        <v>1</v>
      </c>
      <c r="Q205" t="s">
        <v>248</v>
      </c>
      <c r="R205">
        <v>2.1054065821811898</v>
      </c>
      <c r="S205">
        <v>42</v>
      </c>
      <c r="T205">
        <v>0</v>
      </c>
      <c r="U205" t="s">
        <v>737</v>
      </c>
      <c r="V205" t="s">
        <v>691</v>
      </c>
      <c r="W205">
        <v>0.14285714285714199</v>
      </c>
      <c r="X205" t="b">
        <v>0</v>
      </c>
      <c r="Y205">
        <v>580.81421929993598</v>
      </c>
      <c r="Z205">
        <v>19.498220300003499</v>
      </c>
      <c r="AA205">
        <v>9541.8550703000001</v>
      </c>
      <c r="AB205">
        <v>332</v>
      </c>
      <c r="AC205">
        <v>2.10114144797909</v>
      </c>
      <c r="AD205">
        <v>2.8154118080122599</v>
      </c>
      <c r="AE205">
        <v>-0.98891226642903196</v>
      </c>
      <c r="AF205">
        <v>-5.2138390129496497E-2</v>
      </c>
      <c r="AG205">
        <v>1000</v>
      </c>
      <c r="AH205">
        <v>1.87006385159815</v>
      </c>
      <c r="AI205">
        <v>2.3442731305822599</v>
      </c>
      <c r="AJ205">
        <v>2.3687583086378798</v>
      </c>
      <c r="AK205">
        <v>3.2676419568506199</v>
      </c>
      <c r="AL205">
        <v>-1.8268512859664201</v>
      </c>
      <c r="AM205">
        <v>-0.41768129332567899</v>
      </c>
      <c r="AN205">
        <v>-0.200717155688802</v>
      </c>
      <c r="AO205">
        <v>0.124690087449642</v>
      </c>
      <c r="AP205">
        <v>1000</v>
      </c>
      <c r="AQ205">
        <v>1.8720745803399499</v>
      </c>
      <c r="AR205">
        <v>2.3491955079365998</v>
      </c>
      <c r="AS205">
        <v>10</v>
      </c>
    </row>
    <row r="206" spans="1:45" x14ac:dyDescent="0.3">
      <c r="A206" t="s">
        <v>738</v>
      </c>
      <c r="B206" t="s">
        <v>109</v>
      </c>
      <c r="C206" t="s">
        <v>37</v>
      </c>
      <c r="D206" t="s">
        <v>68</v>
      </c>
      <c r="E206" t="s">
        <v>711</v>
      </c>
      <c r="F206">
        <v>6</v>
      </c>
      <c r="G206" t="s">
        <v>24</v>
      </c>
      <c r="H206" t="s">
        <v>36</v>
      </c>
      <c r="I206" t="s">
        <v>32</v>
      </c>
      <c r="J206" t="s">
        <v>689</v>
      </c>
      <c r="K206" t="s">
        <v>111</v>
      </c>
      <c r="L206">
        <v>10</v>
      </c>
      <c r="M206">
        <v>332</v>
      </c>
      <c r="N206">
        <v>42</v>
      </c>
      <c r="O206">
        <v>42</v>
      </c>
      <c r="P206" t="b">
        <v>1</v>
      </c>
      <c r="Q206" t="s">
        <v>248</v>
      </c>
      <c r="R206">
        <v>1.8784935686588899</v>
      </c>
      <c r="S206">
        <v>42</v>
      </c>
      <c r="T206">
        <v>0</v>
      </c>
      <c r="U206" t="s">
        <v>739</v>
      </c>
      <c r="V206" t="s">
        <v>713</v>
      </c>
      <c r="W206">
        <v>0.30952380952380898</v>
      </c>
      <c r="X206" t="b">
        <v>0</v>
      </c>
      <c r="Y206">
        <v>642.017973100257</v>
      </c>
      <c r="Z206">
        <v>21.457828800004702</v>
      </c>
      <c r="AA206">
        <v>9569.7806746999995</v>
      </c>
      <c r="AB206">
        <v>332</v>
      </c>
      <c r="AC206">
        <v>1.87868535040899</v>
      </c>
      <c r="AD206">
        <v>2.2500387193867701</v>
      </c>
      <c r="AE206">
        <v>-0.270315958711911</v>
      </c>
      <c r="AF206">
        <v>6.3395465367126799E-2</v>
      </c>
      <c r="AG206">
        <v>1000</v>
      </c>
      <c r="AH206">
        <v>1.7399712574156301</v>
      </c>
      <c r="AI206">
        <v>2.0211983627179699</v>
      </c>
      <c r="AJ206">
        <v>2.0970819601134498</v>
      </c>
      <c r="AK206">
        <v>2.3953589110811899</v>
      </c>
      <c r="AL206">
        <v>-0.44340745078404198</v>
      </c>
      <c r="AM206">
        <v>-0.13668723930382601</v>
      </c>
      <c r="AN206">
        <v>-5.00924765027492E-2</v>
      </c>
      <c r="AO206">
        <v>0.18893493379602699</v>
      </c>
      <c r="AP206">
        <v>1000</v>
      </c>
      <c r="AQ206">
        <v>1.74023654431203</v>
      </c>
      <c r="AR206">
        <v>2.0200498866782302</v>
      </c>
      <c r="AS206">
        <v>5</v>
      </c>
    </row>
    <row r="207" spans="1:45" x14ac:dyDescent="0.3">
      <c r="A207" t="s">
        <v>740</v>
      </c>
      <c r="B207" t="s">
        <v>109</v>
      </c>
      <c r="C207" t="s">
        <v>37</v>
      </c>
      <c r="D207" t="s">
        <v>68</v>
      </c>
      <c r="E207" t="s">
        <v>715</v>
      </c>
      <c r="F207">
        <v>7</v>
      </c>
      <c r="G207" t="s">
        <v>24</v>
      </c>
      <c r="H207" t="s">
        <v>36</v>
      </c>
      <c r="I207" t="s">
        <v>33</v>
      </c>
      <c r="J207" t="s">
        <v>689</v>
      </c>
      <c r="K207" t="s">
        <v>111</v>
      </c>
      <c r="L207">
        <v>10</v>
      </c>
      <c r="M207">
        <v>332</v>
      </c>
      <c r="N207">
        <v>42</v>
      </c>
      <c r="O207">
        <v>42</v>
      </c>
      <c r="P207" t="b">
        <v>1</v>
      </c>
      <c r="Q207" t="s">
        <v>248</v>
      </c>
      <c r="R207">
        <v>1.8684965855090401</v>
      </c>
      <c r="S207">
        <v>42</v>
      </c>
      <c r="T207">
        <v>0</v>
      </c>
      <c r="U207" t="s">
        <v>741</v>
      </c>
      <c r="V207" t="s">
        <v>713</v>
      </c>
      <c r="W207">
        <v>0.19047619047618999</v>
      </c>
      <c r="X207" t="b">
        <v>0</v>
      </c>
      <c r="Y207">
        <v>578.13725160014201</v>
      </c>
      <c r="Z207">
        <v>18.128792800016502</v>
      </c>
      <c r="AA207">
        <v>9597.9969390999904</v>
      </c>
      <c r="AB207">
        <v>332</v>
      </c>
      <c r="AC207">
        <v>1.86036561518206</v>
      </c>
      <c r="AD207">
        <v>2.2533943243766101</v>
      </c>
      <c r="AE207">
        <v>-0.27410776648396201</v>
      </c>
      <c r="AF207">
        <v>8.5650874391473994E-2</v>
      </c>
      <c r="AG207">
        <v>1000</v>
      </c>
      <c r="AH207">
        <v>1.6899801652801101</v>
      </c>
      <c r="AI207">
        <v>2.02932014251954</v>
      </c>
      <c r="AJ207">
        <v>2.0631439124054398</v>
      </c>
      <c r="AK207">
        <v>2.4382702737262401</v>
      </c>
      <c r="AL207">
        <v>-0.44269219005690102</v>
      </c>
      <c r="AM207">
        <v>-0.152231981276675</v>
      </c>
      <c r="AN207">
        <v>-2.8717081243968101E-2</v>
      </c>
      <c r="AO207">
        <v>0.19594701311087501</v>
      </c>
      <c r="AP207">
        <v>1000</v>
      </c>
      <c r="AQ207">
        <v>1.69727828350244</v>
      </c>
      <c r="AR207">
        <v>2.0382931229161101</v>
      </c>
      <c r="AS207">
        <v>4</v>
      </c>
    </row>
    <row r="208" spans="1:45" x14ac:dyDescent="0.3">
      <c r="A208" t="s">
        <v>742</v>
      </c>
      <c r="B208" t="s">
        <v>109</v>
      </c>
      <c r="C208" t="s">
        <v>37</v>
      </c>
      <c r="D208" t="s">
        <v>68</v>
      </c>
      <c r="E208" t="s">
        <v>719</v>
      </c>
      <c r="F208">
        <v>8</v>
      </c>
      <c r="G208" t="s">
        <v>24</v>
      </c>
      <c r="H208" t="s">
        <v>36</v>
      </c>
      <c r="I208" t="s">
        <v>34</v>
      </c>
      <c r="J208" t="s">
        <v>689</v>
      </c>
      <c r="K208" t="s">
        <v>111</v>
      </c>
      <c r="L208">
        <v>10</v>
      </c>
      <c r="M208">
        <v>332</v>
      </c>
      <c r="N208">
        <v>42</v>
      </c>
      <c r="O208">
        <v>42</v>
      </c>
      <c r="P208" t="b">
        <v>1</v>
      </c>
      <c r="Q208" t="s">
        <v>248</v>
      </c>
      <c r="R208">
        <v>1.90562326785643</v>
      </c>
      <c r="S208">
        <v>42</v>
      </c>
      <c r="T208">
        <v>0</v>
      </c>
      <c r="U208" t="s">
        <v>743</v>
      </c>
      <c r="V208" t="s">
        <v>691</v>
      </c>
      <c r="W208">
        <v>0.19047619047618999</v>
      </c>
      <c r="X208" t="b">
        <v>0</v>
      </c>
      <c r="Y208">
        <v>512.27506299983304</v>
      </c>
      <c r="Z208">
        <v>19.910312999978402</v>
      </c>
      <c r="AA208">
        <v>9626.4685516999998</v>
      </c>
      <c r="AB208">
        <v>332</v>
      </c>
      <c r="AC208">
        <v>1.90549914027039</v>
      </c>
      <c r="AD208">
        <v>2.3101213360606998</v>
      </c>
      <c r="AE208">
        <v>-0.33906405796963901</v>
      </c>
      <c r="AF208">
        <v>7.6332206617729395E-2</v>
      </c>
      <c r="AG208">
        <v>1000</v>
      </c>
      <c r="AH208">
        <v>1.7555310153565999</v>
      </c>
      <c r="AI208">
        <v>2.0633489785872401</v>
      </c>
      <c r="AJ208">
        <v>2.1544686781437798</v>
      </c>
      <c r="AK208">
        <v>2.4763247047118599</v>
      </c>
      <c r="AL208">
        <v>-0.56401331070046201</v>
      </c>
      <c r="AM208">
        <v>-0.175267520179958</v>
      </c>
      <c r="AN208">
        <v>-6.1107633430367299E-2</v>
      </c>
      <c r="AO208">
        <v>0.199958154376424</v>
      </c>
      <c r="AP208">
        <v>1000</v>
      </c>
      <c r="AQ208">
        <v>1.75630048126086</v>
      </c>
      <c r="AR208">
        <v>2.0621098514832399</v>
      </c>
      <c r="AS208">
        <v>6</v>
      </c>
    </row>
    <row r="209" spans="1:63" x14ac:dyDescent="0.3">
      <c r="A209" t="s">
        <v>744</v>
      </c>
      <c r="B209" t="s">
        <v>109</v>
      </c>
      <c r="C209" t="s">
        <v>37</v>
      </c>
      <c r="D209" t="s">
        <v>68</v>
      </c>
      <c r="E209" t="s">
        <v>722</v>
      </c>
      <c r="F209">
        <v>9</v>
      </c>
      <c r="G209" t="s">
        <v>24</v>
      </c>
      <c r="H209" t="s">
        <v>36</v>
      </c>
      <c r="I209" t="s">
        <v>35</v>
      </c>
      <c r="J209" t="s">
        <v>689</v>
      </c>
      <c r="K209" t="s">
        <v>111</v>
      </c>
      <c r="L209">
        <v>10</v>
      </c>
      <c r="M209">
        <v>332</v>
      </c>
      <c r="N209">
        <v>42</v>
      </c>
      <c r="O209">
        <v>42</v>
      </c>
      <c r="P209" t="b">
        <v>1</v>
      </c>
      <c r="Q209" t="s">
        <v>248</v>
      </c>
      <c r="R209">
        <v>1.91383012458083</v>
      </c>
      <c r="S209">
        <v>42</v>
      </c>
      <c r="T209">
        <v>0</v>
      </c>
      <c r="U209" t="s">
        <v>745</v>
      </c>
      <c r="V209" t="s">
        <v>746</v>
      </c>
      <c r="W209">
        <v>0.238095238095238</v>
      </c>
      <c r="X209" t="b">
        <v>0</v>
      </c>
      <c r="Y209">
        <v>477.15327800017201</v>
      </c>
      <c r="Z209">
        <v>17.4475760000423</v>
      </c>
      <c r="AA209">
        <v>9654.4801340999893</v>
      </c>
      <c r="AB209">
        <v>332</v>
      </c>
      <c r="AC209">
        <v>1.91246198447853</v>
      </c>
      <c r="AD209">
        <v>2.3502522014826699</v>
      </c>
      <c r="AE209">
        <v>-0.38599194754890098</v>
      </c>
      <c r="AF209">
        <v>5.8819949133367397E-2</v>
      </c>
      <c r="AG209">
        <v>1000</v>
      </c>
      <c r="AH209">
        <v>1.76171280494435</v>
      </c>
      <c r="AI209">
        <v>2.0587724149839399</v>
      </c>
      <c r="AJ209">
        <v>2.1708870526993098</v>
      </c>
      <c r="AK209">
        <v>2.51984194957805</v>
      </c>
      <c r="AL209">
        <v>-0.66457334020141001</v>
      </c>
      <c r="AM209">
        <v>-0.19461562661357301</v>
      </c>
      <c r="AN209">
        <v>-6.59784182524107E-2</v>
      </c>
      <c r="AO209">
        <v>0.18057751947606601</v>
      </c>
      <c r="AP209">
        <v>1000</v>
      </c>
      <c r="AQ209">
        <v>1.76389469513958</v>
      </c>
      <c r="AR209">
        <v>2.0611282774054298</v>
      </c>
      <c r="AS209">
        <v>9</v>
      </c>
    </row>
    <row r="210" spans="1:63" x14ac:dyDescent="0.3">
      <c r="A210" t="s">
        <v>0</v>
      </c>
      <c r="B210" t="s">
        <v>69</v>
      </c>
      <c r="C210" t="s">
        <v>2</v>
      </c>
      <c r="D210" t="s">
        <v>70</v>
      </c>
      <c r="E210" t="s">
        <v>71</v>
      </c>
      <c r="F210" t="s">
        <v>72</v>
      </c>
      <c r="G210" t="s">
        <v>1</v>
      </c>
      <c r="H210" t="s">
        <v>3</v>
      </c>
      <c r="I210" t="s">
        <v>4</v>
      </c>
      <c r="J210" t="s">
        <v>5</v>
      </c>
      <c r="K210" t="s">
        <v>73</v>
      </c>
      <c r="L210" t="s">
        <v>74</v>
      </c>
      <c r="M210" t="s">
        <v>75</v>
      </c>
      <c r="N210" t="s">
        <v>6</v>
      </c>
      <c r="O210" t="s">
        <v>7</v>
      </c>
      <c r="P210" t="s">
        <v>8</v>
      </c>
      <c r="Q210" t="s">
        <v>76</v>
      </c>
      <c r="R210" t="s">
        <v>77</v>
      </c>
      <c r="S210" t="s">
        <v>78</v>
      </c>
      <c r="T210" t="s">
        <v>79</v>
      </c>
      <c r="U210" t="s">
        <v>80</v>
      </c>
      <c r="V210" t="s">
        <v>81</v>
      </c>
      <c r="W210" t="s">
        <v>82</v>
      </c>
      <c r="X210" t="s">
        <v>9</v>
      </c>
      <c r="Y210" t="s">
        <v>83</v>
      </c>
      <c r="Z210" t="s">
        <v>84</v>
      </c>
      <c r="AA210" t="s">
        <v>85</v>
      </c>
      <c r="AB210" t="s">
        <v>10</v>
      </c>
      <c r="AC210" t="s">
        <v>86</v>
      </c>
      <c r="AD210" t="s">
        <v>11</v>
      </c>
      <c r="AE210" t="s">
        <v>87</v>
      </c>
      <c r="AF210" t="s">
        <v>88</v>
      </c>
      <c r="AG210" t="s">
        <v>89</v>
      </c>
      <c r="AH210" t="s">
        <v>90</v>
      </c>
      <c r="AI210" t="s">
        <v>12</v>
      </c>
      <c r="AJ210" t="s">
        <v>91</v>
      </c>
      <c r="AK210" t="s">
        <v>17</v>
      </c>
      <c r="AL210" t="s">
        <v>18</v>
      </c>
      <c r="AM210" t="s">
        <v>92</v>
      </c>
      <c r="AN210" t="s">
        <v>93</v>
      </c>
      <c r="AO210" t="s">
        <v>94</v>
      </c>
      <c r="AP210" t="s">
        <v>95</v>
      </c>
      <c r="AQ210" t="s">
        <v>380</v>
      </c>
      <c r="AR210" t="s">
        <v>381</v>
      </c>
      <c r="AS210" t="s">
        <v>382</v>
      </c>
      <c r="AT210" t="s">
        <v>383</v>
      </c>
      <c r="AU210" t="s">
        <v>96</v>
      </c>
      <c r="AV210" t="s">
        <v>97</v>
      </c>
      <c r="AW210" t="s">
        <v>98</v>
      </c>
      <c r="AX210" t="s">
        <v>99</v>
      </c>
      <c r="AY210" t="s">
        <v>19</v>
      </c>
      <c r="AZ210" t="s">
        <v>20</v>
      </c>
      <c r="BA210" t="s">
        <v>21</v>
      </c>
      <c r="BB210" t="s">
        <v>100</v>
      </c>
      <c r="BC210" t="s">
        <v>101</v>
      </c>
      <c r="BD210" t="s">
        <v>102</v>
      </c>
      <c r="BE210" t="s">
        <v>103</v>
      </c>
      <c r="BF210" t="s">
        <v>22</v>
      </c>
      <c r="BG210" t="s">
        <v>23</v>
      </c>
      <c r="BH210" t="s">
        <v>104</v>
      </c>
      <c r="BI210" t="s">
        <v>105</v>
      </c>
      <c r="BJ210" t="s">
        <v>106</v>
      </c>
      <c r="BK210" t="s">
        <v>107</v>
      </c>
    </row>
    <row r="211" spans="1:63" x14ac:dyDescent="0.3">
      <c r="A211" t="s">
        <v>747</v>
      </c>
      <c r="B211" t="s">
        <v>109</v>
      </c>
      <c r="C211" t="s">
        <v>25</v>
      </c>
      <c r="D211" t="s">
        <v>67</v>
      </c>
      <c r="E211" t="s">
        <v>688</v>
      </c>
      <c r="F211">
        <v>0</v>
      </c>
      <c r="G211" t="s">
        <v>24</v>
      </c>
      <c r="H211" t="s">
        <v>26</v>
      </c>
      <c r="I211" t="s">
        <v>27</v>
      </c>
      <c r="J211" t="s">
        <v>689</v>
      </c>
      <c r="K211" t="s">
        <v>111</v>
      </c>
      <c r="L211">
        <v>10</v>
      </c>
      <c r="M211">
        <v>332</v>
      </c>
      <c r="N211">
        <v>42</v>
      </c>
      <c r="O211">
        <v>42</v>
      </c>
      <c r="P211" t="b">
        <v>1</v>
      </c>
      <c r="Q211" t="s">
        <v>112</v>
      </c>
      <c r="R211">
        <v>0.29942946797888997</v>
      </c>
      <c r="S211">
        <v>42</v>
      </c>
      <c r="T211">
        <v>0</v>
      </c>
      <c r="U211" t="s">
        <v>748</v>
      </c>
      <c r="V211" t="s">
        <v>749</v>
      </c>
      <c r="W211">
        <v>0.16666666666666599</v>
      </c>
      <c r="X211" t="b">
        <v>0</v>
      </c>
      <c r="Y211">
        <v>816.79451799990704</v>
      </c>
      <c r="Z211">
        <v>40.105721099996998</v>
      </c>
      <c r="AA211">
        <v>6903.3797035999996</v>
      </c>
      <c r="AB211">
        <v>332</v>
      </c>
      <c r="AC211">
        <v>3</v>
      </c>
      <c r="AD211">
        <v>0.30421686746987903</v>
      </c>
      <c r="AE211">
        <v>0.30274290379525098</v>
      </c>
      <c r="AF211">
        <v>0.30388220551378398</v>
      </c>
      <c r="AG211">
        <v>0.30274290379525098</v>
      </c>
      <c r="AH211">
        <v>0.303022108042872</v>
      </c>
      <c r="AI211">
        <v>-4.6872988835163797E-2</v>
      </c>
      <c r="AJ211" t="s">
        <v>750</v>
      </c>
      <c r="AK211">
        <v>0.46256540131104301</v>
      </c>
      <c r="AM211">
        <v>104</v>
      </c>
      <c r="AN211">
        <v>0.31578947368421001</v>
      </c>
      <c r="AO211">
        <v>0.28846153846153799</v>
      </c>
      <c r="AP211">
        <v>0.30150753768844202</v>
      </c>
      <c r="AQ211">
        <v>109</v>
      </c>
      <c r="AR211">
        <v>0.26785714285714202</v>
      </c>
      <c r="AS211">
        <v>0.27522935779816499</v>
      </c>
      <c r="AT211">
        <v>0.27149321266968302</v>
      </c>
      <c r="AU211">
        <v>119</v>
      </c>
      <c r="AV211">
        <v>0.32800000000000001</v>
      </c>
      <c r="AW211">
        <v>0.34453781512604997</v>
      </c>
      <c r="AX211">
        <v>0.33606557377049101</v>
      </c>
      <c r="AY211">
        <v>1000</v>
      </c>
      <c r="AZ211">
        <v>0.25821971224956303</v>
      </c>
      <c r="BA211">
        <v>0.35417135885885798</v>
      </c>
      <c r="BB211">
        <v>0.25427175666971003</v>
      </c>
      <c r="BC211">
        <v>0.35311751131165497</v>
      </c>
      <c r="BD211">
        <v>0.252622069838073</v>
      </c>
      <c r="BE211">
        <v>0.351797090443835</v>
      </c>
      <c r="BF211">
        <v>-0.121154089911075</v>
      </c>
      <c r="BG211">
        <v>3.0610940752834302E-2</v>
      </c>
      <c r="BH211">
        <v>1000</v>
      </c>
      <c r="BI211">
        <v>0.25137595199694002</v>
      </c>
      <c r="BJ211">
        <v>0.34504584844563901</v>
      </c>
      <c r="BK211">
        <v>10</v>
      </c>
    </row>
    <row r="212" spans="1:63" x14ac:dyDescent="0.3">
      <c r="A212" t="s">
        <v>751</v>
      </c>
      <c r="B212" t="s">
        <v>109</v>
      </c>
      <c r="C212" t="s">
        <v>25</v>
      </c>
      <c r="D212" t="s">
        <v>67</v>
      </c>
      <c r="E212" t="s">
        <v>693</v>
      </c>
      <c r="F212">
        <v>1</v>
      </c>
      <c r="G212" t="s">
        <v>24</v>
      </c>
      <c r="H212" t="s">
        <v>26</v>
      </c>
      <c r="I212" t="s">
        <v>32</v>
      </c>
      <c r="J212" t="s">
        <v>689</v>
      </c>
      <c r="K212" t="s">
        <v>111</v>
      </c>
      <c r="L212">
        <v>10</v>
      </c>
      <c r="M212">
        <v>332</v>
      </c>
      <c r="N212">
        <v>42</v>
      </c>
      <c r="O212">
        <v>42</v>
      </c>
      <c r="P212" t="b">
        <v>1</v>
      </c>
      <c r="Q212" t="s">
        <v>112</v>
      </c>
      <c r="R212">
        <v>0.32825559834545698</v>
      </c>
      <c r="S212">
        <v>42</v>
      </c>
      <c r="T212">
        <v>0</v>
      </c>
      <c r="U212" t="s">
        <v>752</v>
      </c>
      <c r="V212" t="s">
        <v>753</v>
      </c>
      <c r="W212">
        <v>0.16666666666666599</v>
      </c>
      <c r="X212" t="b">
        <v>0</v>
      </c>
      <c r="Y212">
        <v>713.52833229996395</v>
      </c>
      <c r="Z212">
        <v>30.306960999994701</v>
      </c>
      <c r="AA212">
        <v>6939.8939020999997</v>
      </c>
      <c r="AB212">
        <v>332</v>
      </c>
      <c r="AC212">
        <v>3</v>
      </c>
      <c r="AD212">
        <v>0.35240963855421598</v>
      </c>
      <c r="AE212">
        <v>0.35141681937418501</v>
      </c>
      <c r="AF212">
        <v>0.35346416718153101</v>
      </c>
      <c r="AG212">
        <v>0.35141681937418501</v>
      </c>
      <c r="AH212">
        <v>0.3511444270406</v>
      </c>
      <c r="AI212">
        <v>2.67609826484153E-2</v>
      </c>
      <c r="AJ212" t="s">
        <v>754</v>
      </c>
      <c r="AK212">
        <v>0.52826617998846404</v>
      </c>
      <c r="AM212">
        <v>104</v>
      </c>
      <c r="AN212">
        <v>0.324561403508771</v>
      </c>
      <c r="AO212">
        <v>0.35576923076923</v>
      </c>
      <c r="AP212">
        <v>0.33944954128440302</v>
      </c>
      <c r="AQ212">
        <v>109</v>
      </c>
      <c r="AR212">
        <v>0.37362637362637302</v>
      </c>
      <c r="AS212">
        <v>0.31192660550458701</v>
      </c>
      <c r="AT212">
        <v>0.34</v>
      </c>
      <c r="AU212">
        <v>119</v>
      </c>
      <c r="AV212">
        <v>0.36220472440944801</v>
      </c>
      <c r="AW212">
        <v>0.38655462184873901</v>
      </c>
      <c r="AX212">
        <v>0.37398373983739802</v>
      </c>
      <c r="AY212">
        <v>1000</v>
      </c>
      <c r="AZ212">
        <v>0.30058786465036402</v>
      </c>
      <c r="BA212">
        <v>0.40774101747949898</v>
      </c>
      <c r="BB212">
        <v>0.29788637409980101</v>
      </c>
      <c r="BC212">
        <v>0.40526277662061899</v>
      </c>
      <c r="BD212">
        <v>0.29602761434263702</v>
      </c>
      <c r="BE212">
        <v>0.40331457327548098</v>
      </c>
      <c r="BF212">
        <v>-5.2801310371394197E-2</v>
      </c>
      <c r="BG212">
        <v>0.107748309386342</v>
      </c>
      <c r="BH212">
        <v>1000</v>
      </c>
      <c r="BI212">
        <v>0.275951588193043</v>
      </c>
      <c r="BJ212">
        <v>0.38664405988029998</v>
      </c>
      <c r="BK212">
        <v>5</v>
      </c>
    </row>
    <row r="213" spans="1:63" x14ac:dyDescent="0.3">
      <c r="A213" t="s">
        <v>755</v>
      </c>
      <c r="B213" t="s">
        <v>109</v>
      </c>
      <c r="C213" t="s">
        <v>25</v>
      </c>
      <c r="D213" t="s">
        <v>67</v>
      </c>
      <c r="E213" t="s">
        <v>697</v>
      </c>
      <c r="F213">
        <v>2</v>
      </c>
      <c r="G213" t="s">
        <v>24</v>
      </c>
      <c r="H213" t="s">
        <v>26</v>
      </c>
      <c r="I213" t="s">
        <v>33</v>
      </c>
      <c r="J213" t="s">
        <v>689</v>
      </c>
      <c r="K213" t="s">
        <v>111</v>
      </c>
      <c r="L213">
        <v>10</v>
      </c>
      <c r="M213">
        <v>332</v>
      </c>
      <c r="N213">
        <v>42</v>
      </c>
      <c r="O213">
        <v>42</v>
      </c>
      <c r="P213" t="b">
        <v>1</v>
      </c>
      <c r="Q213" t="s">
        <v>112</v>
      </c>
      <c r="R213">
        <v>0.32067821994009399</v>
      </c>
      <c r="S213">
        <v>42</v>
      </c>
      <c r="T213">
        <v>0</v>
      </c>
      <c r="U213" t="s">
        <v>756</v>
      </c>
      <c r="V213" t="s">
        <v>757</v>
      </c>
      <c r="W213">
        <v>0.16666666666666599</v>
      </c>
      <c r="X213" t="b">
        <v>0</v>
      </c>
      <c r="Y213">
        <v>676.52267129993902</v>
      </c>
      <c r="Z213">
        <v>27.503249100001899</v>
      </c>
      <c r="AA213">
        <v>6976.0502626999896</v>
      </c>
      <c r="AB213">
        <v>332</v>
      </c>
      <c r="AC213">
        <v>3</v>
      </c>
      <c r="AD213">
        <v>0.33433734939759002</v>
      </c>
      <c r="AE213">
        <v>0.33556513642860097</v>
      </c>
      <c r="AF213">
        <v>0.33434213054009099</v>
      </c>
      <c r="AG213">
        <v>0.33556513642860097</v>
      </c>
      <c r="AH213">
        <v>0.33389929877528002</v>
      </c>
      <c r="AI213">
        <v>2.7133158443275601E-3</v>
      </c>
      <c r="AJ213" t="s">
        <v>758</v>
      </c>
      <c r="AK213">
        <v>0.49659490187555</v>
      </c>
      <c r="AM213">
        <v>104</v>
      </c>
      <c r="AN213">
        <v>0.330578512396694</v>
      </c>
      <c r="AO213">
        <v>0.38461538461538403</v>
      </c>
      <c r="AP213">
        <v>0.35555555555555501</v>
      </c>
      <c r="AQ213">
        <v>109</v>
      </c>
      <c r="AR213">
        <v>0.31730769230769201</v>
      </c>
      <c r="AS213">
        <v>0.302752293577981</v>
      </c>
      <c r="AT213">
        <v>0.309859154929577</v>
      </c>
      <c r="AU213">
        <v>119</v>
      </c>
      <c r="AV213">
        <v>0.355140186915887</v>
      </c>
      <c r="AW213">
        <v>0.31932773109243601</v>
      </c>
      <c r="AX213">
        <v>0.33628318584070799</v>
      </c>
      <c r="AY213">
        <v>1000</v>
      </c>
      <c r="AZ213">
        <v>0.29909365558912299</v>
      </c>
      <c r="BA213">
        <v>0.36936936936936898</v>
      </c>
      <c r="BB213">
        <v>0.29885997640320699</v>
      </c>
      <c r="BC213">
        <v>0.37176066536161001</v>
      </c>
      <c r="BD213">
        <v>0.29577948576556801</v>
      </c>
      <c r="BE213">
        <v>0.36779663399389301</v>
      </c>
      <c r="BF213">
        <v>-5.1411855251088497E-2</v>
      </c>
      <c r="BG213">
        <v>5.4717700264414797E-2</v>
      </c>
      <c r="BH213">
        <v>1000</v>
      </c>
      <c r="BI213">
        <v>0.28470389923896</v>
      </c>
      <c r="BJ213">
        <v>0.36160181492009102</v>
      </c>
      <c r="BK213">
        <v>8</v>
      </c>
    </row>
    <row r="214" spans="1:63" x14ac:dyDescent="0.3">
      <c r="A214" t="s">
        <v>759</v>
      </c>
      <c r="B214" t="s">
        <v>109</v>
      </c>
      <c r="C214" t="s">
        <v>25</v>
      </c>
      <c r="D214" t="s">
        <v>67</v>
      </c>
      <c r="E214" t="s">
        <v>700</v>
      </c>
      <c r="F214">
        <v>3</v>
      </c>
      <c r="G214" t="s">
        <v>24</v>
      </c>
      <c r="H214" t="s">
        <v>26</v>
      </c>
      <c r="I214" t="s">
        <v>34</v>
      </c>
      <c r="J214" t="s">
        <v>689</v>
      </c>
      <c r="K214" t="s">
        <v>111</v>
      </c>
      <c r="L214">
        <v>10</v>
      </c>
      <c r="M214">
        <v>332</v>
      </c>
      <c r="N214">
        <v>42</v>
      </c>
      <c r="O214">
        <v>42</v>
      </c>
      <c r="P214" t="b">
        <v>1</v>
      </c>
      <c r="Q214" t="s">
        <v>112</v>
      </c>
      <c r="R214">
        <v>0.32780273855370101</v>
      </c>
      <c r="S214">
        <v>42</v>
      </c>
      <c r="T214">
        <v>0</v>
      </c>
      <c r="U214" t="s">
        <v>760</v>
      </c>
      <c r="V214" t="s">
        <v>753</v>
      </c>
      <c r="W214">
        <v>0.16666666666666599</v>
      </c>
      <c r="X214" t="b">
        <v>0</v>
      </c>
      <c r="Y214">
        <v>872.341495099957</v>
      </c>
      <c r="Z214">
        <v>37.870391800013699</v>
      </c>
      <c r="AA214">
        <v>7012.3273993999901</v>
      </c>
      <c r="AB214">
        <v>332</v>
      </c>
      <c r="AC214">
        <v>3</v>
      </c>
      <c r="AD214">
        <v>0.343373493975903</v>
      </c>
      <c r="AE214">
        <v>0.343526189586632</v>
      </c>
      <c r="AF214">
        <v>0.34059813084112101</v>
      </c>
      <c r="AG214">
        <v>0.343526189586632</v>
      </c>
      <c r="AH214">
        <v>0.34108689236226902</v>
      </c>
      <c r="AI214">
        <v>1.4878937242331801E-2</v>
      </c>
      <c r="AJ214" t="s">
        <v>761</v>
      </c>
      <c r="AK214">
        <v>0.52208614472094705</v>
      </c>
      <c r="AM214">
        <v>104</v>
      </c>
      <c r="AN214">
        <v>0.3</v>
      </c>
      <c r="AO214">
        <v>0.28846153846153799</v>
      </c>
      <c r="AP214">
        <v>0.29411764705882298</v>
      </c>
      <c r="AQ214">
        <v>109</v>
      </c>
      <c r="AR214">
        <v>0.376</v>
      </c>
      <c r="AS214">
        <v>0.43119266055045802</v>
      </c>
      <c r="AT214">
        <v>0.401709401709401</v>
      </c>
      <c r="AU214">
        <v>119</v>
      </c>
      <c r="AV214">
        <v>0.34579439252336402</v>
      </c>
      <c r="AW214">
        <v>0.310924369747899</v>
      </c>
      <c r="AX214">
        <v>0.32743362831858402</v>
      </c>
      <c r="AY214">
        <v>1000</v>
      </c>
      <c r="AZ214">
        <v>0.288752216312056</v>
      </c>
      <c r="BA214">
        <v>0.39882427069927001</v>
      </c>
      <c r="BB214">
        <v>0.289693191324151</v>
      </c>
      <c r="BC214">
        <v>0.39878042604998898</v>
      </c>
      <c r="BD214">
        <v>0.28591918012844197</v>
      </c>
      <c r="BE214">
        <v>0.39540077032711601</v>
      </c>
      <c r="BF214">
        <v>-6.7514454596571502E-2</v>
      </c>
      <c r="BG214">
        <v>9.8154537397984104E-2</v>
      </c>
      <c r="BH214">
        <v>1000</v>
      </c>
      <c r="BI214">
        <v>0.26986687236687201</v>
      </c>
      <c r="BJ214">
        <v>0.393200069225288</v>
      </c>
      <c r="BK214">
        <v>6</v>
      </c>
    </row>
    <row r="215" spans="1:63" x14ac:dyDescent="0.3">
      <c r="A215" t="s">
        <v>762</v>
      </c>
      <c r="B215" t="s">
        <v>109</v>
      </c>
      <c r="C215" t="s">
        <v>25</v>
      </c>
      <c r="D215" t="s">
        <v>67</v>
      </c>
      <c r="E215" t="s">
        <v>704</v>
      </c>
      <c r="F215">
        <v>4</v>
      </c>
      <c r="G215" t="s">
        <v>24</v>
      </c>
      <c r="H215" t="s">
        <v>26</v>
      </c>
      <c r="I215" t="s">
        <v>35</v>
      </c>
      <c r="J215" t="s">
        <v>689</v>
      </c>
      <c r="K215" t="s">
        <v>111</v>
      </c>
      <c r="L215">
        <v>10</v>
      </c>
      <c r="M215">
        <v>332</v>
      </c>
      <c r="N215">
        <v>42</v>
      </c>
      <c r="O215">
        <v>42</v>
      </c>
      <c r="P215" t="b">
        <v>1</v>
      </c>
      <c r="Q215" t="s">
        <v>112</v>
      </c>
      <c r="R215">
        <v>0.31765083440308001</v>
      </c>
      <c r="S215">
        <v>42</v>
      </c>
      <c r="T215">
        <v>0</v>
      </c>
      <c r="U215" t="s">
        <v>763</v>
      </c>
      <c r="V215" t="s">
        <v>764</v>
      </c>
      <c r="W215">
        <v>0.14285714285714199</v>
      </c>
      <c r="X215" t="b">
        <v>0</v>
      </c>
      <c r="Y215">
        <v>811.70505580008103</v>
      </c>
      <c r="Z215">
        <v>32.031161399998297</v>
      </c>
      <c r="AA215">
        <v>7049.1420617999902</v>
      </c>
      <c r="AB215">
        <v>332</v>
      </c>
      <c r="AC215">
        <v>3</v>
      </c>
      <c r="AD215">
        <v>0.34036144578313199</v>
      </c>
      <c r="AE215">
        <v>0.339220232906147</v>
      </c>
      <c r="AF215">
        <v>0.34122897304715399</v>
      </c>
      <c r="AG215">
        <v>0.339220232906147</v>
      </c>
      <c r="AH215">
        <v>0.33947206359870102</v>
      </c>
      <c r="AI215">
        <v>7.8349725590914996E-3</v>
      </c>
      <c r="AJ215" t="s">
        <v>765</v>
      </c>
      <c r="AK215">
        <v>0.49860083279442602</v>
      </c>
      <c r="AM215">
        <v>104</v>
      </c>
      <c r="AN215">
        <v>0.35164835164835101</v>
      </c>
      <c r="AO215">
        <v>0.30769230769230699</v>
      </c>
      <c r="AP215">
        <v>0.32820512820512798</v>
      </c>
      <c r="AQ215">
        <v>109</v>
      </c>
      <c r="AR215">
        <v>0.31666666666666599</v>
      </c>
      <c r="AS215">
        <v>0.34862385321100903</v>
      </c>
      <c r="AT215">
        <v>0.33187772925764097</v>
      </c>
      <c r="AU215">
        <v>119</v>
      </c>
      <c r="AV215">
        <v>0.35537190082644599</v>
      </c>
      <c r="AW215">
        <v>0.36134453781512599</v>
      </c>
      <c r="AX215">
        <v>0.358333333333333</v>
      </c>
      <c r="AY215">
        <v>1000</v>
      </c>
      <c r="AZ215">
        <v>0.29040943792173901</v>
      </c>
      <c r="BA215">
        <v>0.39158249765529102</v>
      </c>
      <c r="BB215">
        <v>0.29049967131069798</v>
      </c>
      <c r="BC215">
        <v>0.38847324264928601</v>
      </c>
      <c r="BD215">
        <v>0.28919349821748203</v>
      </c>
      <c r="BE215">
        <v>0.38705541766423901</v>
      </c>
      <c r="BF215">
        <v>-6.5227436747527207E-2</v>
      </c>
      <c r="BG215">
        <v>8.2983679961469201E-2</v>
      </c>
      <c r="BH215">
        <v>1000</v>
      </c>
      <c r="BI215">
        <v>0.27341217524144301</v>
      </c>
      <c r="BJ215">
        <v>0.36030033605033601</v>
      </c>
      <c r="BK215">
        <v>9</v>
      </c>
    </row>
    <row r="216" spans="1:63" x14ac:dyDescent="0.3">
      <c r="A216" t="s">
        <v>766</v>
      </c>
      <c r="B216" t="s">
        <v>109</v>
      </c>
      <c r="C216" t="s">
        <v>25</v>
      </c>
      <c r="D216" t="s">
        <v>67</v>
      </c>
      <c r="E216" t="s">
        <v>708</v>
      </c>
      <c r="F216">
        <v>5</v>
      </c>
      <c r="G216" t="s">
        <v>24</v>
      </c>
      <c r="H216" t="s">
        <v>36</v>
      </c>
      <c r="I216" t="s">
        <v>27</v>
      </c>
      <c r="J216" t="s">
        <v>689</v>
      </c>
      <c r="K216" t="s">
        <v>111</v>
      </c>
      <c r="L216">
        <v>10</v>
      </c>
      <c r="M216">
        <v>332</v>
      </c>
      <c r="N216">
        <v>42</v>
      </c>
      <c r="O216">
        <v>42</v>
      </c>
      <c r="P216" t="b">
        <v>1</v>
      </c>
      <c r="Q216" t="s">
        <v>112</v>
      </c>
      <c r="R216">
        <v>0.32468264156325699</v>
      </c>
      <c r="S216">
        <v>42</v>
      </c>
      <c r="T216">
        <v>0</v>
      </c>
      <c r="U216" t="s">
        <v>767</v>
      </c>
      <c r="V216" t="s">
        <v>764</v>
      </c>
      <c r="W216">
        <v>0.16666666666666599</v>
      </c>
      <c r="X216" t="b">
        <v>0</v>
      </c>
      <c r="Y216">
        <v>272.63872529999497</v>
      </c>
      <c r="Z216">
        <v>12.1542257000073</v>
      </c>
      <c r="AA216">
        <v>7086.3304590999896</v>
      </c>
      <c r="AB216">
        <v>332</v>
      </c>
      <c r="AC216">
        <v>3</v>
      </c>
      <c r="AD216">
        <v>0.33734939759036098</v>
      </c>
      <c r="AE216">
        <v>0.33825629757901698</v>
      </c>
      <c r="AF216">
        <v>0.33619365436410398</v>
      </c>
      <c r="AG216">
        <v>0.33825629757901698</v>
      </c>
      <c r="AH216">
        <v>0.336778874052587</v>
      </c>
      <c r="AI216">
        <v>6.0089933721315502E-3</v>
      </c>
      <c r="AJ216" t="s">
        <v>768</v>
      </c>
      <c r="AK216">
        <v>0.485956683296905</v>
      </c>
      <c r="AM216">
        <v>104</v>
      </c>
      <c r="AN216">
        <v>0.356521739130434</v>
      </c>
      <c r="AO216">
        <v>0.394230769230769</v>
      </c>
      <c r="AP216">
        <v>0.37442922374429199</v>
      </c>
      <c r="AQ216">
        <v>109</v>
      </c>
      <c r="AR216">
        <v>0.29807692307692302</v>
      </c>
      <c r="AS216">
        <v>0.28440366972476999</v>
      </c>
      <c r="AT216">
        <v>0.29107981220657198</v>
      </c>
      <c r="AU216">
        <v>119</v>
      </c>
      <c r="AV216">
        <v>0.35398230088495503</v>
      </c>
      <c r="AW216">
        <v>0.33613445378151202</v>
      </c>
      <c r="AX216">
        <v>0.34482758620689602</v>
      </c>
      <c r="AY216">
        <v>1000</v>
      </c>
      <c r="AZ216">
        <v>0.27082541793312997</v>
      </c>
      <c r="BA216">
        <v>0.39879199036109902</v>
      </c>
      <c r="BB216">
        <v>0.27317018057805997</v>
      </c>
      <c r="BC216">
        <v>0.39967884803472598</v>
      </c>
      <c r="BD216">
        <v>0.269928792759697</v>
      </c>
      <c r="BE216">
        <v>0.39567811706785</v>
      </c>
      <c r="BF216">
        <v>-9.2891635561837799E-2</v>
      </c>
      <c r="BG216">
        <v>9.7621148899726701E-2</v>
      </c>
      <c r="BH216">
        <v>1000</v>
      </c>
      <c r="BI216">
        <v>0.26064751517976797</v>
      </c>
      <c r="BJ216">
        <v>0.389497872716074</v>
      </c>
      <c r="BK216">
        <v>7</v>
      </c>
    </row>
    <row r="217" spans="1:63" x14ac:dyDescent="0.3">
      <c r="A217" t="s">
        <v>769</v>
      </c>
      <c r="B217" t="s">
        <v>109</v>
      </c>
      <c r="C217" t="s">
        <v>25</v>
      </c>
      <c r="D217" t="s">
        <v>67</v>
      </c>
      <c r="E217" t="s">
        <v>711</v>
      </c>
      <c r="F217">
        <v>6</v>
      </c>
      <c r="G217" t="s">
        <v>24</v>
      </c>
      <c r="H217" t="s">
        <v>36</v>
      </c>
      <c r="I217" t="s">
        <v>32</v>
      </c>
      <c r="J217" t="s">
        <v>689</v>
      </c>
      <c r="K217" t="s">
        <v>111</v>
      </c>
      <c r="L217">
        <v>10</v>
      </c>
      <c r="M217">
        <v>332</v>
      </c>
      <c r="N217">
        <v>42</v>
      </c>
      <c r="O217">
        <v>42</v>
      </c>
      <c r="P217" t="b">
        <v>1</v>
      </c>
      <c r="Q217" t="s">
        <v>112</v>
      </c>
      <c r="R217">
        <v>0.359381685922122</v>
      </c>
      <c r="S217">
        <v>42</v>
      </c>
      <c r="T217">
        <v>0</v>
      </c>
      <c r="U217" t="s">
        <v>770</v>
      </c>
      <c r="V217" t="s">
        <v>771</v>
      </c>
      <c r="W217">
        <v>0.14285714285714199</v>
      </c>
      <c r="X217" t="b">
        <v>0</v>
      </c>
      <c r="Y217">
        <v>336.19542569999601</v>
      </c>
      <c r="Z217">
        <v>13.1270006000195</v>
      </c>
      <c r="AA217">
        <v>7122.8564299999998</v>
      </c>
      <c r="AB217">
        <v>332</v>
      </c>
      <c r="AC217">
        <v>3</v>
      </c>
      <c r="AD217">
        <v>0.36445783132530102</v>
      </c>
      <c r="AE217">
        <v>0.36460427501981701</v>
      </c>
      <c r="AF217">
        <v>0.36467236467236402</v>
      </c>
      <c r="AG217">
        <v>0.36460427501981701</v>
      </c>
      <c r="AH217">
        <v>0.36462012563707402</v>
      </c>
      <c r="AI217">
        <v>4.5433486130788098E-2</v>
      </c>
      <c r="AJ217" t="s">
        <v>772</v>
      </c>
      <c r="AK217">
        <v>0.54043479518405402</v>
      </c>
      <c r="AM217">
        <v>104</v>
      </c>
      <c r="AN217">
        <v>0.38461538461538403</v>
      </c>
      <c r="AO217">
        <v>0.38461538461538403</v>
      </c>
      <c r="AP217">
        <v>0.38461538461538403</v>
      </c>
      <c r="AQ217">
        <v>109</v>
      </c>
      <c r="AR217">
        <v>0.33333333333333298</v>
      </c>
      <c r="AS217">
        <v>0.33944954128440302</v>
      </c>
      <c r="AT217">
        <v>0.33636363636363598</v>
      </c>
      <c r="AU217">
        <v>119</v>
      </c>
      <c r="AV217">
        <v>0.37606837606837601</v>
      </c>
      <c r="AW217">
        <v>0.369747899159663</v>
      </c>
      <c r="AX217">
        <v>0.37288135593220301</v>
      </c>
      <c r="AY217">
        <v>1000</v>
      </c>
      <c r="AZ217">
        <v>0.31113152427351798</v>
      </c>
      <c r="BA217">
        <v>0.41515151515151499</v>
      </c>
      <c r="BB217">
        <v>0.311519426559557</v>
      </c>
      <c r="BC217">
        <v>0.41568573351021998</v>
      </c>
      <c r="BD217">
        <v>0.310927405830902</v>
      </c>
      <c r="BE217">
        <v>0.41445467154743698</v>
      </c>
      <c r="BF217">
        <v>-3.4646499861870197E-2</v>
      </c>
      <c r="BG217">
        <v>0.122390427207273</v>
      </c>
      <c r="BH217">
        <v>1000</v>
      </c>
      <c r="BI217">
        <v>0.30935663897209098</v>
      </c>
      <c r="BJ217">
        <v>0.41262913755574898</v>
      </c>
      <c r="BK217">
        <v>3</v>
      </c>
    </row>
    <row r="218" spans="1:63" x14ac:dyDescent="0.3">
      <c r="A218" t="s">
        <v>773</v>
      </c>
      <c r="B218" t="s">
        <v>109</v>
      </c>
      <c r="C218" t="s">
        <v>25</v>
      </c>
      <c r="D218" t="s">
        <v>67</v>
      </c>
      <c r="E218" t="s">
        <v>715</v>
      </c>
      <c r="F218">
        <v>7</v>
      </c>
      <c r="G218" t="s">
        <v>24</v>
      </c>
      <c r="H218" t="s">
        <v>36</v>
      </c>
      <c r="I218" t="s">
        <v>33</v>
      </c>
      <c r="J218" t="s">
        <v>689</v>
      </c>
      <c r="K218" t="s">
        <v>111</v>
      </c>
      <c r="L218">
        <v>10</v>
      </c>
      <c r="M218">
        <v>332</v>
      </c>
      <c r="N218">
        <v>42</v>
      </c>
      <c r="O218">
        <v>42</v>
      </c>
      <c r="P218" t="b">
        <v>1</v>
      </c>
      <c r="Q218" t="s">
        <v>112</v>
      </c>
      <c r="R218">
        <v>0.36022322065325901</v>
      </c>
      <c r="S218">
        <v>42</v>
      </c>
      <c r="T218">
        <v>0</v>
      </c>
      <c r="U218" t="s">
        <v>774</v>
      </c>
      <c r="V218" t="s">
        <v>775</v>
      </c>
      <c r="W218">
        <v>0.19047619047618999</v>
      </c>
      <c r="X218" t="b">
        <v>0</v>
      </c>
      <c r="Y218">
        <v>365.23976569997802</v>
      </c>
      <c r="Z218">
        <v>16.0923928000011</v>
      </c>
      <c r="AA218">
        <v>7159.6729010999898</v>
      </c>
      <c r="AB218">
        <v>332</v>
      </c>
      <c r="AC218">
        <v>3</v>
      </c>
      <c r="AD218">
        <v>0.36746987951807197</v>
      </c>
      <c r="AE218">
        <v>0.36560527527877701</v>
      </c>
      <c r="AF218">
        <v>0.36689769717292597</v>
      </c>
      <c r="AG218">
        <v>0.36560527527877701</v>
      </c>
      <c r="AH218">
        <v>0.36605694774708802</v>
      </c>
      <c r="AI218">
        <v>5.0952045546728199E-2</v>
      </c>
      <c r="AJ218" t="s">
        <v>776</v>
      </c>
      <c r="AK218">
        <v>0.55079771808754197</v>
      </c>
      <c r="AM218">
        <v>104</v>
      </c>
      <c r="AN218">
        <v>0.302752293577981</v>
      </c>
      <c r="AO218">
        <v>0.31730769230769201</v>
      </c>
      <c r="AP218">
        <v>0.309859154929577</v>
      </c>
      <c r="AQ218">
        <v>109</v>
      </c>
      <c r="AR218">
        <v>0.36936936936936898</v>
      </c>
      <c r="AS218">
        <v>0.37614678899082499</v>
      </c>
      <c r="AT218">
        <v>0.37272727272727202</v>
      </c>
      <c r="AU218">
        <v>119</v>
      </c>
      <c r="AV218">
        <v>0.42857142857142799</v>
      </c>
      <c r="AW218">
        <v>0.40336134453781503</v>
      </c>
      <c r="AX218">
        <v>0.415584415584415</v>
      </c>
      <c r="AY218">
        <v>1000</v>
      </c>
      <c r="AZ218">
        <v>0.32021757725767103</v>
      </c>
      <c r="BA218">
        <v>0.41592754788103797</v>
      </c>
      <c r="BB218">
        <v>0.31811622134397199</v>
      </c>
      <c r="BC218">
        <v>0.41661885140241001</v>
      </c>
      <c r="BD218">
        <v>0.31782802873360699</v>
      </c>
      <c r="BE218">
        <v>0.41219891276072501</v>
      </c>
      <c r="BF218">
        <v>-2.1822339243167899E-2</v>
      </c>
      <c r="BG218">
        <v>0.12476566609947901</v>
      </c>
      <c r="BH218">
        <v>1000</v>
      </c>
      <c r="BI218">
        <v>0.30486448145261502</v>
      </c>
      <c r="BJ218">
        <v>0.41814589330872198</v>
      </c>
      <c r="BK218">
        <v>2</v>
      </c>
    </row>
    <row r="219" spans="1:63" x14ac:dyDescent="0.3">
      <c r="A219" t="s">
        <v>777</v>
      </c>
      <c r="B219" t="s">
        <v>109</v>
      </c>
      <c r="C219" t="s">
        <v>25</v>
      </c>
      <c r="D219" t="s">
        <v>67</v>
      </c>
      <c r="E219" t="s">
        <v>719</v>
      </c>
      <c r="F219">
        <v>8</v>
      </c>
      <c r="G219" t="s">
        <v>24</v>
      </c>
      <c r="H219" t="s">
        <v>36</v>
      </c>
      <c r="I219" t="s">
        <v>34</v>
      </c>
      <c r="J219" t="s">
        <v>689</v>
      </c>
      <c r="K219" t="s">
        <v>111</v>
      </c>
      <c r="L219">
        <v>10</v>
      </c>
      <c r="M219">
        <v>332</v>
      </c>
      <c r="N219">
        <v>42</v>
      </c>
      <c r="O219">
        <v>42</v>
      </c>
      <c r="P219" t="b">
        <v>1</v>
      </c>
      <c r="Q219" t="s">
        <v>112</v>
      </c>
      <c r="R219">
        <v>0.34092140921409197</v>
      </c>
      <c r="S219">
        <v>42</v>
      </c>
      <c r="T219">
        <v>0</v>
      </c>
      <c r="U219" t="s">
        <v>778</v>
      </c>
      <c r="V219" t="s">
        <v>775</v>
      </c>
      <c r="W219">
        <v>0.14285714285714199</v>
      </c>
      <c r="X219" t="b">
        <v>0</v>
      </c>
      <c r="Y219">
        <v>309.94674739997902</v>
      </c>
      <c r="Z219">
        <v>14.131677499990399</v>
      </c>
      <c r="AA219">
        <v>7195.8728076999896</v>
      </c>
      <c r="AB219">
        <v>332</v>
      </c>
      <c r="AC219">
        <v>3</v>
      </c>
      <c r="AD219">
        <v>0.343373493975903</v>
      </c>
      <c r="AE219">
        <v>0.34139742700185199</v>
      </c>
      <c r="AF219">
        <v>0.342413838558144</v>
      </c>
      <c r="AG219">
        <v>0.34139742700185199</v>
      </c>
      <c r="AH219">
        <v>0.34165807640064699</v>
      </c>
      <c r="AI219">
        <v>1.2560257951201199E-2</v>
      </c>
      <c r="AJ219" t="s">
        <v>779</v>
      </c>
      <c r="AK219">
        <v>0.52260543082370503</v>
      </c>
      <c r="AM219">
        <v>104</v>
      </c>
      <c r="AN219">
        <v>0.34375</v>
      </c>
      <c r="AO219">
        <v>0.31730769230769201</v>
      </c>
      <c r="AP219">
        <v>0.33</v>
      </c>
      <c r="AQ219">
        <v>109</v>
      </c>
      <c r="AR219">
        <v>0.29824561403508698</v>
      </c>
      <c r="AS219">
        <v>0.31192660550458701</v>
      </c>
      <c r="AT219">
        <v>0.30493273542600802</v>
      </c>
      <c r="AU219">
        <v>119</v>
      </c>
      <c r="AV219">
        <v>0.38524590163934402</v>
      </c>
      <c r="AW219">
        <v>0.39495798319327702</v>
      </c>
      <c r="AX219">
        <v>0.390041493775933</v>
      </c>
      <c r="AY219">
        <v>1000</v>
      </c>
      <c r="AZ219">
        <v>0.29817038423966102</v>
      </c>
      <c r="BA219">
        <v>0.393308850702143</v>
      </c>
      <c r="BB219">
        <v>0.29531474515171102</v>
      </c>
      <c r="BC219">
        <v>0.39179661548394801</v>
      </c>
      <c r="BD219">
        <v>0.29460722634658698</v>
      </c>
      <c r="BE219">
        <v>0.39092755046998401</v>
      </c>
      <c r="BF219">
        <v>-5.6969974294241998E-2</v>
      </c>
      <c r="BG219">
        <v>8.9208896199841403E-2</v>
      </c>
      <c r="BH219">
        <v>1000</v>
      </c>
      <c r="BI219">
        <v>0.29069509123785398</v>
      </c>
      <c r="BJ219">
        <v>0.39206571934329199</v>
      </c>
      <c r="BK219">
        <v>4</v>
      </c>
    </row>
    <row r="220" spans="1:63" x14ac:dyDescent="0.3">
      <c r="A220" t="s">
        <v>780</v>
      </c>
      <c r="B220" t="s">
        <v>109</v>
      </c>
      <c r="C220" t="s">
        <v>25</v>
      </c>
      <c r="D220" t="s">
        <v>67</v>
      </c>
      <c r="E220" t="s">
        <v>722</v>
      </c>
      <c r="F220">
        <v>9</v>
      </c>
      <c r="G220" t="s">
        <v>24</v>
      </c>
      <c r="H220" t="s">
        <v>36</v>
      </c>
      <c r="I220" t="s">
        <v>35</v>
      </c>
      <c r="J220" t="s">
        <v>689</v>
      </c>
      <c r="K220" t="s">
        <v>111</v>
      </c>
      <c r="L220">
        <v>10</v>
      </c>
      <c r="M220">
        <v>332</v>
      </c>
      <c r="N220">
        <v>42</v>
      </c>
      <c r="O220">
        <v>42</v>
      </c>
      <c r="P220" t="b">
        <v>1</v>
      </c>
      <c r="Q220" t="s">
        <v>112</v>
      </c>
      <c r="R220">
        <v>0.37142347739266801</v>
      </c>
      <c r="S220">
        <v>42</v>
      </c>
      <c r="T220">
        <v>0</v>
      </c>
      <c r="U220" t="s">
        <v>781</v>
      </c>
      <c r="V220" t="s">
        <v>782</v>
      </c>
      <c r="W220">
        <v>0.19047619047618999</v>
      </c>
      <c r="X220" t="b">
        <v>0</v>
      </c>
      <c r="Y220">
        <v>310.452270799985</v>
      </c>
      <c r="Z220">
        <v>13.360340500010301</v>
      </c>
      <c r="AA220">
        <v>7232.8977970999904</v>
      </c>
      <c r="AB220">
        <v>332</v>
      </c>
      <c r="AC220">
        <v>3</v>
      </c>
      <c r="AD220">
        <v>0.36746987951807197</v>
      </c>
      <c r="AE220">
        <v>0.36780940322494499</v>
      </c>
      <c r="AF220">
        <v>0.36718919644513898</v>
      </c>
      <c r="AG220">
        <v>0.36780940322494499</v>
      </c>
      <c r="AH220">
        <v>0.36742883873981702</v>
      </c>
      <c r="AI220">
        <v>5.0093347214475503E-2</v>
      </c>
      <c r="AJ220" t="s">
        <v>783</v>
      </c>
      <c r="AK220">
        <v>0.51843243896569102</v>
      </c>
      <c r="AM220">
        <v>104</v>
      </c>
      <c r="AN220">
        <v>0.37962962962962898</v>
      </c>
      <c r="AO220">
        <v>0.394230769230769</v>
      </c>
      <c r="AP220">
        <v>0.38679245283018798</v>
      </c>
      <c r="AQ220">
        <v>109</v>
      </c>
      <c r="AR220">
        <v>0.349056603773584</v>
      </c>
      <c r="AS220">
        <v>0.33944954128440302</v>
      </c>
      <c r="AT220">
        <v>0.34418604651162699</v>
      </c>
      <c r="AU220">
        <v>119</v>
      </c>
      <c r="AV220">
        <v>0.37288135593220301</v>
      </c>
      <c r="AW220">
        <v>0.369747899159663</v>
      </c>
      <c r="AX220">
        <v>0.37130801687763698</v>
      </c>
      <c r="AY220">
        <v>1000</v>
      </c>
      <c r="AZ220">
        <v>0.32527678280690298</v>
      </c>
      <c r="BA220">
        <v>0.40895861601085398</v>
      </c>
      <c r="BB220">
        <v>0.32434863168420502</v>
      </c>
      <c r="BC220">
        <v>0.41007252439560998</v>
      </c>
      <c r="BD220">
        <v>0.32356353121852499</v>
      </c>
      <c r="BE220">
        <v>0.40757326046533199</v>
      </c>
      <c r="BF220">
        <v>-1.43951430356801E-2</v>
      </c>
      <c r="BG220">
        <v>0.112930940895177</v>
      </c>
      <c r="BH220">
        <v>1000</v>
      </c>
      <c r="BI220">
        <v>0.32364811239811198</v>
      </c>
      <c r="BJ220">
        <v>0.42023462623406399</v>
      </c>
      <c r="BK220">
        <v>1</v>
      </c>
    </row>
    <row r="221" spans="1:63" x14ac:dyDescent="0.3">
      <c r="A221" t="s">
        <v>784</v>
      </c>
      <c r="B221" t="s">
        <v>109</v>
      </c>
      <c r="C221" t="s">
        <v>37</v>
      </c>
      <c r="D221" t="s">
        <v>67</v>
      </c>
      <c r="E221" t="s">
        <v>688</v>
      </c>
      <c r="F221">
        <v>0</v>
      </c>
      <c r="G221" t="s">
        <v>24</v>
      </c>
      <c r="H221" t="s">
        <v>26</v>
      </c>
      <c r="I221" t="s">
        <v>27</v>
      </c>
      <c r="J221" t="s">
        <v>689</v>
      </c>
      <c r="K221" t="s">
        <v>111</v>
      </c>
      <c r="L221">
        <v>10</v>
      </c>
      <c r="M221">
        <v>332</v>
      </c>
      <c r="N221">
        <v>42</v>
      </c>
      <c r="O221">
        <v>42</v>
      </c>
      <c r="P221" t="b">
        <v>1</v>
      </c>
      <c r="Q221" t="s">
        <v>112</v>
      </c>
      <c r="R221">
        <v>0.31195265462506799</v>
      </c>
      <c r="S221">
        <v>42</v>
      </c>
      <c r="T221">
        <v>0</v>
      </c>
      <c r="U221" t="s">
        <v>785</v>
      </c>
      <c r="V221" t="s">
        <v>786</v>
      </c>
      <c r="W221">
        <v>0.16666666666666599</v>
      </c>
      <c r="X221" t="b">
        <v>0</v>
      </c>
      <c r="Y221">
        <v>851.51797149996401</v>
      </c>
      <c r="Z221">
        <v>43.734475399996803</v>
      </c>
      <c r="AA221">
        <v>7090.4228419999999</v>
      </c>
      <c r="AB221">
        <v>332</v>
      </c>
      <c r="AC221">
        <v>3</v>
      </c>
      <c r="AD221">
        <v>0.31927710843373402</v>
      </c>
      <c r="AE221">
        <v>0.316800889346736</v>
      </c>
      <c r="AF221">
        <v>0.31506405628289003</v>
      </c>
      <c r="AG221">
        <v>0.316800889346736</v>
      </c>
      <c r="AH221">
        <v>0.31362003437050201</v>
      </c>
      <c r="AI221">
        <v>-3.3745408386099802E-2</v>
      </c>
      <c r="AJ221" t="s">
        <v>787</v>
      </c>
      <c r="AK221">
        <v>0.47900547801338</v>
      </c>
      <c r="AM221">
        <v>103</v>
      </c>
      <c r="AN221">
        <v>0.32653061224489699</v>
      </c>
      <c r="AO221">
        <v>0.31067961165048502</v>
      </c>
      <c r="AP221">
        <v>0.31840796019900403</v>
      </c>
      <c r="AQ221">
        <v>148</v>
      </c>
      <c r="AR221">
        <v>0.3828125</v>
      </c>
      <c r="AS221">
        <v>0.33108108108108097</v>
      </c>
      <c r="AT221">
        <v>0.35507246376811502</v>
      </c>
      <c r="AU221">
        <v>81</v>
      </c>
      <c r="AV221">
        <v>0.23584905660377301</v>
      </c>
      <c r="AW221">
        <v>0.30864197530864101</v>
      </c>
      <c r="AX221">
        <v>0.26737967914438499</v>
      </c>
      <c r="AY221">
        <v>1000</v>
      </c>
      <c r="AZ221">
        <v>0.25226006952660002</v>
      </c>
      <c r="BA221">
        <v>0.385559303080585</v>
      </c>
      <c r="BB221">
        <v>0.25177611938397298</v>
      </c>
      <c r="BC221">
        <v>0.38255367514454702</v>
      </c>
      <c r="BD221">
        <v>0.24882519886232601</v>
      </c>
      <c r="BE221">
        <v>0.37818237515351899</v>
      </c>
      <c r="BF221">
        <v>-0.12491648250799001</v>
      </c>
      <c r="BG221">
        <v>6.3904086051638706E-2</v>
      </c>
      <c r="BH221">
        <v>1000</v>
      </c>
      <c r="BI221">
        <v>0.24876142692412201</v>
      </c>
      <c r="BJ221">
        <v>0.37248011743593701</v>
      </c>
      <c r="BK221">
        <v>4</v>
      </c>
    </row>
    <row r="222" spans="1:63" x14ac:dyDescent="0.3">
      <c r="A222" t="s">
        <v>788</v>
      </c>
      <c r="B222" t="s">
        <v>109</v>
      </c>
      <c r="C222" t="s">
        <v>37</v>
      </c>
      <c r="D222" t="s">
        <v>67</v>
      </c>
      <c r="E222" t="s">
        <v>693</v>
      </c>
      <c r="F222">
        <v>1</v>
      </c>
      <c r="G222" t="s">
        <v>24</v>
      </c>
      <c r="H222" t="s">
        <v>26</v>
      </c>
      <c r="I222" t="s">
        <v>32</v>
      </c>
      <c r="J222" t="s">
        <v>689</v>
      </c>
      <c r="K222" t="s">
        <v>111</v>
      </c>
      <c r="L222">
        <v>10</v>
      </c>
      <c r="M222">
        <v>332</v>
      </c>
      <c r="N222">
        <v>42</v>
      </c>
      <c r="O222">
        <v>42</v>
      </c>
      <c r="P222" t="b">
        <v>1</v>
      </c>
      <c r="Q222" t="s">
        <v>112</v>
      </c>
      <c r="R222">
        <v>0.363127981077488</v>
      </c>
      <c r="S222">
        <v>42</v>
      </c>
      <c r="T222">
        <v>0</v>
      </c>
      <c r="U222" t="s">
        <v>789</v>
      </c>
      <c r="V222" t="s">
        <v>757</v>
      </c>
      <c r="W222">
        <v>0.19047619047618999</v>
      </c>
      <c r="X222" t="b">
        <v>0</v>
      </c>
      <c r="Y222">
        <v>720.90087250004899</v>
      </c>
      <c r="Z222">
        <v>23.618827699985498</v>
      </c>
      <c r="AA222">
        <v>7127.2912987999898</v>
      </c>
      <c r="AB222">
        <v>332</v>
      </c>
      <c r="AC222">
        <v>3</v>
      </c>
      <c r="AD222">
        <v>0.358433734939759</v>
      </c>
      <c r="AE222">
        <v>0.36337200199120301</v>
      </c>
      <c r="AF222">
        <v>0.35628076873748199</v>
      </c>
      <c r="AG222">
        <v>0.36337200199120301</v>
      </c>
      <c r="AH222">
        <v>0.35555023546165498</v>
      </c>
      <c r="AI222">
        <v>3.4798545631266699E-2</v>
      </c>
      <c r="AJ222" t="s">
        <v>790</v>
      </c>
      <c r="AK222">
        <v>0.54727347692345996</v>
      </c>
      <c r="AM222">
        <v>103</v>
      </c>
      <c r="AN222">
        <v>0.36521739130434699</v>
      </c>
      <c r="AO222">
        <v>0.40776699029126201</v>
      </c>
      <c r="AP222">
        <v>0.38532110091743099</v>
      </c>
      <c r="AQ222">
        <v>148</v>
      </c>
      <c r="AR222">
        <v>0.42477876106194601</v>
      </c>
      <c r="AS222">
        <v>0.32432432432432401</v>
      </c>
      <c r="AT222">
        <v>0.36781609195402298</v>
      </c>
      <c r="AU222">
        <v>81</v>
      </c>
      <c r="AV222">
        <v>0.27884615384615302</v>
      </c>
      <c r="AW222">
        <v>0.35802469135802401</v>
      </c>
      <c r="AX222">
        <v>0.31351351351351298</v>
      </c>
      <c r="AY222">
        <v>1000</v>
      </c>
      <c r="AZ222">
        <v>0.29909365558912299</v>
      </c>
      <c r="BA222">
        <v>0.42814371257485001</v>
      </c>
      <c r="BB222">
        <v>0.297819103671431</v>
      </c>
      <c r="BC222">
        <v>0.43431104964322698</v>
      </c>
      <c r="BD222">
        <v>0.28771113402061499</v>
      </c>
      <c r="BE222">
        <v>0.42155817691840303</v>
      </c>
      <c r="BF222">
        <v>-6.1523501282781903E-2</v>
      </c>
      <c r="BG222">
        <v>0.14052228186313201</v>
      </c>
      <c r="BH222">
        <v>1000</v>
      </c>
      <c r="BI222">
        <v>0.30581128939323099</v>
      </c>
      <c r="BJ222">
        <v>0.42939029006104001</v>
      </c>
      <c r="BK222">
        <v>2</v>
      </c>
    </row>
    <row r="223" spans="1:63" x14ac:dyDescent="0.3">
      <c r="A223" t="s">
        <v>791</v>
      </c>
      <c r="B223" t="s">
        <v>109</v>
      </c>
      <c r="C223" t="s">
        <v>37</v>
      </c>
      <c r="D223" t="s">
        <v>67</v>
      </c>
      <c r="E223" t="s">
        <v>697</v>
      </c>
      <c r="F223">
        <v>2</v>
      </c>
      <c r="G223" t="s">
        <v>24</v>
      </c>
      <c r="H223" t="s">
        <v>26</v>
      </c>
      <c r="I223" t="s">
        <v>33</v>
      </c>
      <c r="J223" t="s">
        <v>689</v>
      </c>
      <c r="K223" t="s">
        <v>111</v>
      </c>
      <c r="L223">
        <v>10</v>
      </c>
      <c r="M223">
        <v>332</v>
      </c>
      <c r="N223">
        <v>42</v>
      </c>
      <c r="O223">
        <v>42</v>
      </c>
      <c r="P223" t="b">
        <v>1</v>
      </c>
      <c r="Q223" t="s">
        <v>112</v>
      </c>
      <c r="R223">
        <v>0.32984605911330001</v>
      </c>
      <c r="S223">
        <v>42</v>
      </c>
      <c r="T223">
        <v>0</v>
      </c>
      <c r="U223" t="s">
        <v>792</v>
      </c>
      <c r="V223" t="s">
        <v>771</v>
      </c>
      <c r="W223">
        <v>0.19047619047618999</v>
      </c>
      <c r="X223" t="b">
        <v>0</v>
      </c>
      <c r="Y223">
        <v>656.73437739983603</v>
      </c>
      <c r="Z223">
        <v>28.422233800025399</v>
      </c>
      <c r="AA223">
        <v>7164.0358738999903</v>
      </c>
      <c r="AB223">
        <v>332</v>
      </c>
      <c r="AC223">
        <v>3</v>
      </c>
      <c r="AD223">
        <v>0.34939759036144502</v>
      </c>
      <c r="AE223">
        <v>0.36381824111058197</v>
      </c>
      <c r="AF223">
        <v>0.34313687610598897</v>
      </c>
      <c r="AG223">
        <v>0.36381824111058197</v>
      </c>
      <c r="AH223">
        <v>0.34437136382098099</v>
      </c>
      <c r="AI223">
        <v>3.0637375470474602E-2</v>
      </c>
      <c r="AJ223" t="s">
        <v>793</v>
      </c>
      <c r="AK223">
        <v>0.52438959147223096</v>
      </c>
      <c r="AM223">
        <v>103</v>
      </c>
      <c r="AN223">
        <v>0.39568345323741</v>
      </c>
      <c r="AO223">
        <v>0.53398058252427105</v>
      </c>
      <c r="AP223">
        <v>0.45454545454545398</v>
      </c>
      <c r="AQ223">
        <v>148</v>
      </c>
      <c r="AR223">
        <v>0.36842105263157798</v>
      </c>
      <c r="AS223">
        <v>0.23648648648648599</v>
      </c>
      <c r="AT223">
        <v>0.28806584362139898</v>
      </c>
      <c r="AU223">
        <v>81</v>
      </c>
      <c r="AV223">
        <v>0.265306122448979</v>
      </c>
      <c r="AW223">
        <v>0.32098765432098703</v>
      </c>
      <c r="AX223">
        <v>0.29050279329608902</v>
      </c>
      <c r="AY223">
        <v>1000</v>
      </c>
      <c r="AZ223">
        <v>0.28656716417910399</v>
      </c>
      <c r="BA223">
        <v>0.41369564630988298</v>
      </c>
      <c r="BB223">
        <v>0.297448567841055</v>
      </c>
      <c r="BC223">
        <v>0.42561878286440102</v>
      </c>
      <c r="BD223">
        <v>0.277302919006299</v>
      </c>
      <c r="BE223">
        <v>0.40622160878779601</v>
      </c>
      <c r="BF223">
        <v>-6.0307703411143998E-2</v>
      </c>
      <c r="BG223">
        <v>0.120490006998764</v>
      </c>
      <c r="BH223">
        <v>1000</v>
      </c>
      <c r="BI223">
        <v>0.26671390405489298</v>
      </c>
      <c r="BJ223">
        <v>0.38911379612840202</v>
      </c>
      <c r="BK223">
        <v>3</v>
      </c>
    </row>
    <row r="224" spans="1:63" x14ac:dyDescent="0.3">
      <c r="A224" t="s">
        <v>794</v>
      </c>
      <c r="B224" t="s">
        <v>109</v>
      </c>
      <c r="C224" t="s">
        <v>37</v>
      </c>
      <c r="D224" t="s">
        <v>67</v>
      </c>
      <c r="E224" t="s">
        <v>700</v>
      </c>
      <c r="F224">
        <v>3</v>
      </c>
      <c r="G224" t="s">
        <v>24</v>
      </c>
      <c r="H224" t="s">
        <v>26</v>
      </c>
      <c r="I224" t="s">
        <v>34</v>
      </c>
      <c r="J224" t="s">
        <v>689</v>
      </c>
      <c r="K224" t="s">
        <v>111</v>
      </c>
      <c r="L224">
        <v>10</v>
      </c>
      <c r="M224">
        <v>332</v>
      </c>
      <c r="N224">
        <v>42</v>
      </c>
      <c r="O224">
        <v>42</v>
      </c>
      <c r="P224" t="b">
        <v>1</v>
      </c>
      <c r="Q224" t="s">
        <v>112</v>
      </c>
      <c r="R224">
        <v>0.26875127062319099</v>
      </c>
      <c r="S224">
        <v>42</v>
      </c>
      <c r="T224">
        <v>0</v>
      </c>
      <c r="U224" t="s">
        <v>795</v>
      </c>
      <c r="V224" t="s">
        <v>764</v>
      </c>
      <c r="W224">
        <v>0.16666666666666599</v>
      </c>
      <c r="X224" t="b">
        <v>0</v>
      </c>
      <c r="Y224">
        <v>884.09910920006496</v>
      </c>
      <c r="Z224">
        <v>27.400392900010001</v>
      </c>
      <c r="AA224">
        <v>7200.6216383999999</v>
      </c>
      <c r="AB224">
        <v>332</v>
      </c>
      <c r="AC224">
        <v>3</v>
      </c>
      <c r="AD224">
        <v>0.31927710843373402</v>
      </c>
      <c r="AE224">
        <v>0.306922078497051</v>
      </c>
      <c r="AF224">
        <v>0.30764580048613799</v>
      </c>
      <c r="AG224">
        <v>0.306922078497051</v>
      </c>
      <c r="AH224">
        <v>0.304245916915314</v>
      </c>
      <c r="AI224">
        <v>-3.3717688093359198E-2</v>
      </c>
      <c r="AJ224" t="s">
        <v>796</v>
      </c>
      <c r="AK224">
        <v>0.48959591552950399</v>
      </c>
      <c r="AM224">
        <v>103</v>
      </c>
      <c r="AN224">
        <v>0.3046875</v>
      </c>
      <c r="AO224">
        <v>0.37864077669902901</v>
      </c>
      <c r="AP224">
        <v>0.337662337662337</v>
      </c>
      <c r="AQ224">
        <v>148</v>
      </c>
      <c r="AR224">
        <v>0.43220338983050799</v>
      </c>
      <c r="AS224">
        <v>0.34459459459459402</v>
      </c>
      <c r="AT224">
        <v>0.383458646616541</v>
      </c>
      <c r="AU224">
        <v>81</v>
      </c>
      <c r="AV224">
        <v>0.186046511627906</v>
      </c>
      <c r="AW224">
        <v>0.19753086419752999</v>
      </c>
      <c r="AX224">
        <v>0.19161676646706499</v>
      </c>
      <c r="AY224">
        <v>1000</v>
      </c>
      <c r="AZ224">
        <v>0.26042603243361301</v>
      </c>
      <c r="BA224">
        <v>0.380250149248331</v>
      </c>
      <c r="BB224">
        <v>0.25262379083064801</v>
      </c>
      <c r="BC224">
        <v>0.36048497098634502</v>
      </c>
      <c r="BD224">
        <v>0.24975644777977299</v>
      </c>
      <c r="BE224">
        <v>0.35496524677198898</v>
      </c>
      <c r="BF224">
        <v>-0.108251244552322</v>
      </c>
      <c r="BG224">
        <v>4.46331861043259E-2</v>
      </c>
      <c r="BH224">
        <v>1000</v>
      </c>
      <c r="BI224">
        <v>0.21791611228482999</v>
      </c>
      <c r="BJ224">
        <v>0.31919244349253501</v>
      </c>
      <c r="BK224">
        <v>10</v>
      </c>
    </row>
    <row r="225" spans="1:63" x14ac:dyDescent="0.3">
      <c r="A225" t="s">
        <v>797</v>
      </c>
      <c r="B225" t="s">
        <v>109</v>
      </c>
      <c r="C225" t="s">
        <v>37</v>
      </c>
      <c r="D225" t="s">
        <v>67</v>
      </c>
      <c r="E225" t="s">
        <v>704</v>
      </c>
      <c r="F225">
        <v>4</v>
      </c>
      <c r="G225" t="s">
        <v>24</v>
      </c>
      <c r="H225" t="s">
        <v>26</v>
      </c>
      <c r="I225" t="s">
        <v>35</v>
      </c>
      <c r="J225" t="s">
        <v>689</v>
      </c>
      <c r="K225" t="s">
        <v>111</v>
      </c>
      <c r="L225">
        <v>10</v>
      </c>
      <c r="M225">
        <v>332</v>
      </c>
      <c r="N225">
        <v>42</v>
      </c>
      <c r="O225">
        <v>42</v>
      </c>
      <c r="P225" t="b">
        <v>1</v>
      </c>
      <c r="Q225" t="s">
        <v>112</v>
      </c>
      <c r="R225">
        <v>0.29943476816013698</v>
      </c>
      <c r="S225">
        <v>42</v>
      </c>
      <c r="T225">
        <v>0</v>
      </c>
      <c r="U225" t="s">
        <v>798</v>
      </c>
      <c r="V225" t="s">
        <v>786</v>
      </c>
      <c r="W225">
        <v>0.14285714285714199</v>
      </c>
      <c r="X225" t="b">
        <v>0</v>
      </c>
      <c r="Y225">
        <v>847.04585129979296</v>
      </c>
      <c r="Z225">
        <v>28.064626400009701</v>
      </c>
      <c r="AA225">
        <v>7237.2000180000005</v>
      </c>
      <c r="AB225">
        <v>332</v>
      </c>
      <c r="AC225">
        <v>3</v>
      </c>
      <c r="AD225">
        <v>0.30722891566264998</v>
      </c>
      <c r="AE225">
        <v>0.30676901281000502</v>
      </c>
      <c r="AF225">
        <v>0.30016800305460001</v>
      </c>
      <c r="AG225">
        <v>0.30676901281000502</v>
      </c>
      <c r="AH225">
        <v>0.29652941277997202</v>
      </c>
      <c r="AI225">
        <v>-3.7541886721207098E-2</v>
      </c>
      <c r="AJ225" t="s">
        <v>799</v>
      </c>
      <c r="AK225">
        <v>0.45447186178549798</v>
      </c>
      <c r="AM225">
        <v>103</v>
      </c>
      <c r="AN225">
        <v>0.35555555555555501</v>
      </c>
      <c r="AO225">
        <v>0.466019417475728</v>
      </c>
      <c r="AP225">
        <v>0.40336134453781503</v>
      </c>
      <c r="AQ225">
        <v>148</v>
      </c>
      <c r="AR225">
        <v>0.38</v>
      </c>
      <c r="AS225">
        <v>0.25675675675675602</v>
      </c>
      <c r="AT225">
        <v>0.30645161290322498</v>
      </c>
      <c r="AU225">
        <v>81</v>
      </c>
      <c r="AV225">
        <v>0.164948453608247</v>
      </c>
      <c r="AW225">
        <v>0.19753086419752999</v>
      </c>
      <c r="AX225">
        <v>0.17977528089887601</v>
      </c>
      <c r="AY225">
        <v>1000</v>
      </c>
      <c r="AZ225">
        <v>0.24698795180722799</v>
      </c>
      <c r="BA225">
        <v>0.37049039623539698</v>
      </c>
      <c r="BB225">
        <v>0.24524256326069099</v>
      </c>
      <c r="BC225">
        <v>0.36722308055765501</v>
      </c>
      <c r="BD225">
        <v>0.23568328022030499</v>
      </c>
      <c r="BE225">
        <v>0.35275172756518502</v>
      </c>
      <c r="BF225">
        <v>-0.12918733019985301</v>
      </c>
      <c r="BG225">
        <v>5.2688280638349801E-2</v>
      </c>
      <c r="BH225">
        <v>1000</v>
      </c>
      <c r="BI225">
        <v>0.23893258109683599</v>
      </c>
      <c r="BJ225">
        <v>0.36435768917671801</v>
      </c>
      <c r="BK225">
        <v>7</v>
      </c>
    </row>
    <row r="226" spans="1:63" x14ac:dyDescent="0.3">
      <c r="A226" t="s">
        <v>800</v>
      </c>
      <c r="B226" t="s">
        <v>109</v>
      </c>
      <c r="C226" t="s">
        <v>37</v>
      </c>
      <c r="D226" t="s">
        <v>67</v>
      </c>
      <c r="E226" t="s">
        <v>708</v>
      </c>
      <c r="F226">
        <v>5</v>
      </c>
      <c r="G226" t="s">
        <v>24</v>
      </c>
      <c r="H226" t="s">
        <v>36</v>
      </c>
      <c r="I226" t="s">
        <v>27</v>
      </c>
      <c r="J226" t="s">
        <v>689</v>
      </c>
      <c r="K226" t="s">
        <v>111</v>
      </c>
      <c r="L226">
        <v>10</v>
      </c>
      <c r="M226">
        <v>332</v>
      </c>
      <c r="N226">
        <v>42</v>
      </c>
      <c r="O226">
        <v>42</v>
      </c>
      <c r="P226" t="b">
        <v>1</v>
      </c>
      <c r="Q226" t="s">
        <v>112</v>
      </c>
      <c r="R226">
        <v>0.31193418171866399</v>
      </c>
      <c r="S226">
        <v>42</v>
      </c>
      <c r="T226">
        <v>0</v>
      </c>
      <c r="U226" t="s">
        <v>801</v>
      </c>
      <c r="V226" t="s">
        <v>764</v>
      </c>
      <c r="W226">
        <v>0.19047619047618999</v>
      </c>
      <c r="X226" t="b">
        <v>0</v>
      </c>
      <c r="Y226">
        <v>309.28981029993099</v>
      </c>
      <c r="Z226">
        <v>10.881163499983799</v>
      </c>
      <c r="AA226">
        <v>7273.4405691000002</v>
      </c>
      <c r="AB226">
        <v>332</v>
      </c>
      <c r="AC226">
        <v>3</v>
      </c>
      <c r="AD226">
        <v>0.36144578313253001</v>
      </c>
      <c r="AE226">
        <v>0.344921512666928</v>
      </c>
      <c r="AF226">
        <v>0.34495139244818301</v>
      </c>
      <c r="AG226">
        <v>0.344921512666928</v>
      </c>
      <c r="AH226">
        <v>0.34404481908357198</v>
      </c>
      <c r="AI226">
        <v>2.04231625118209E-2</v>
      </c>
      <c r="AJ226" t="s">
        <v>802</v>
      </c>
      <c r="AK226">
        <v>0.50161291348210602</v>
      </c>
      <c r="AM226">
        <v>103</v>
      </c>
      <c r="AN226">
        <v>0.32478632478632402</v>
      </c>
      <c r="AO226">
        <v>0.36893203883495101</v>
      </c>
      <c r="AP226">
        <v>0.34545454545454501</v>
      </c>
      <c r="AQ226">
        <v>148</v>
      </c>
      <c r="AR226">
        <v>0.46616541353383401</v>
      </c>
      <c r="AS226">
        <v>0.41891891891891803</v>
      </c>
      <c r="AT226">
        <v>0.441281138790035</v>
      </c>
      <c r="AU226">
        <v>81</v>
      </c>
      <c r="AV226">
        <v>0.24390243902438999</v>
      </c>
      <c r="AW226">
        <v>0.24691358024691301</v>
      </c>
      <c r="AX226">
        <v>0.245398773006134</v>
      </c>
      <c r="AY226">
        <v>1000</v>
      </c>
      <c r="AZ226">
        <v>0.303664714630972</v>
      </c>
      <c r="BA226">
        <v>0.42424242424242398</v>
      </c>
      <c r="BB226">
        <v>0.28545360861503299</v>
      </c>
      <c r="BC226">
        <v>0.40686148055496402</v>
      </c>
      <c r="BD226">
        <v>0.28430646347181798</v>
      </c>
      <c r="BE226">
        <v>0.40287572117674297</v>
      </c>
      <c r="BF226">
        <v>-6.4049666593176194E-2</v>
      </c>
      <c r="BG226">
        <v>0.11026330019482999</v>
      </c>
      <c r="BH226">
        <v>1000</v>
      </c>
      <c r="BI226">
        <v>0.25674579834077998</v>
      </c>
      <c r="BJ226">
        <v>0.37022706926952498</v>
      </c>
      <c r="BK226">
        <v>5</v>
      </c>
    </row>
    <row r="227" spans="1:63" x14ac:dyDescent="0.3">
      <c r="A227" t="s">
        <v>803</v>
      </c>
      <c r="B227" t="s">
        <v>109</v>
      </c>
      <c r="C227" t="s">
        <v>37</v>
      </c>
      <c r="D227" t="s">
        <v>67</v>
      </c>
      <c r="E227" t="s">
        <v>711</v>
      </c>
      <c r="F227">
        <v>6</v>
      </c>
      <c r="G227" t="s">
        <v>24</v>
      </c>
      <c r="H227" t="s">
        <v>36</v>
      </c>
      <c r="I227" t="s">
        <v>32</v>
      </c>
      <c r="J227" t="s">
        <v>689</v>
      </c>
      <c r="K227" t="s">
        <v>111</v>
      </c>
      <c r="L227">
        <v>10</v>
      </c>
      <c r="M227">
        <v>332</v>
      </c>
      <c r="N227">
        <v>42</v>
      </c>
      <c r="O227">
        <v>42</v>
      </c>
      <c r="P227" t="b">
        <v>1</v>
      </c>
      <c r="Q227" t="s">
        <v>112</v>
      </c>
      <c r="R227">
        <v>0.38422990460551998</v>
      </c>
      <c r="S227">
        <v>42</v>
      </c>
      <c r="T227">
        <v>0</v>
      </c>
      <c r="U227" t="s">
        <v>804</v>
      </c>
      <c r="V227" t="s">
        <v>805</v>
      </c>
      <c r="W227">
        <v>0.19047619047618999</v>
      </c>
      <c r="X227" t="b">
        <v>0</v>
      </c>
      <c r="Y227">
        <v>399.08763210022499</v>
      </c>
      <c r="Z227">
        <v>15.172356500006501</v>
      </c>
      <c r="AA227">
        <v>7309.8703799000004</v>
      </c>
      <c r="AB227">
        <v>332</v>
      </c>
      <c r="AC227">
        <v>3</v>
      </c>
      <c r="AD227">
        <v>0.41566265060240898</v>
      </c>
      <c r="AE227">
        <v>0.403212813676675</v>
      </c>
      <c r="AF227">
        <v>0.40264700257613001</v>
      </c>
      <c r="AG227">
        <v>0.403212813676675</v>
      </c>
      <c r="AH227">
        <v>0.40290753754995101</v>
      </c>
      <c r="AI227">
        <v>9.5892596130803406E-2</v>
      </c>
      <c r="AJ227" t="s">
        <v>806</v>
      </c>
      <c r="AK227">
        <v>0.55407005769363904</v>
      </c>
      <c r="AM227">
        <v>103</v>
      </c>
      <c r="AN227">
        <v>0.38235294117647001</v>
      </c>
      <c r="AO227">
        <v>0.37864077669902901</v>
      </c>
      <c r="AP227">
        <v>0.38048780487804801</v>
      </c>
      <c r="AQ227">
        <v>148</v>
      </c>
      <c r="AR227">
        <v>0.476190476190476</v>
      </c>
      <c r="AS227">
        <v>0.47297297297297197</v>
      </c>
      <c r="AT227">
        <v>0.47457627118644002</v>
      </c>
      <c r="AU227">
        <v>81</v>
      </c>
      <c r="AV227">
        <v>0.34939759036144502</v>
      </c>
      <c r="AW227">
        <v>0.35802469135802401</v>
      </c>
      <c r="AX227">
        <v>0.353658536585365</v>
      </c>
      <c r="AY227">
        <v>1000</v>
      </c>
      <c r="AZ227">
        <v>0.35757575757575699</v>
      </c>
      <c r="BA227">
        <v>0.47462686567164097</v>
      </c>
      <c r="BB227">
        <v>0.34329640498358899</v>
      </c>
      <c r="BC227">
        <v>0.46086329148442801</v>
      </c>
      <c r="BD227">
        <v>0.34402254098706903</v>
      </c>
      <c r="BE227">
        <v>0.455471356316763</v>
      </c>
      <c r="BF227">
        <v>5.1989756523975498E-3</v>
      </c>
      <c r="BG227">
        <v>0.180820160415191</v>
      </c>
      <c r="BH227">
        <v>1000</v>
      </c>
      <c r="BI227">
        <v>0.318690112359994</v>
      </c>
      <c r="BJ227">
        <v>0.453416785443915</v>
      </c>
      <c r="BK227">
        <v>1</v>
      </c>
    </row>
    <row r="228" spans="1:63" x14ac:dyDescent="0.3">
      <c r="A228" t="s">
        <v>807</v>
      </c>
      <c r="B228" t="s">
        <v>109</v>
      </c>
      <c r="C228" t="s">
        <v>37</v>
      </c>
      <c r="D228" t="s">
        <v>67</v>
      </c>
      <c r="E228" t="s">
        <v>715</v>
      </c>
      <c r="F228">
        <v>7</v>
      </c>
      <c r="G228" t="s">
        <v>24</v>
      </c>
      <c r="H228" t="s">
        <v>36</v>
      </c>
      <c r="I228" t="s">
        <v>33</v>
      </c>
      <c r="J228" t="s">
        <v>689</v>
      </c>
      <c r="K228" t="s">
        <v>111</v>
      </c>
      <c r="L228">
        <v>10</v>
      </c>
      <c r="M228">
        <v>332</v>
      </c>
      <c r="N228">
        <v>42</v>
      </c>
      <c r="O228">
        <v>42</v>
      </c>
      <c r="P228" t="b">
        <v>1</v>
      </c>
      <c r="Q228" t="s">
        <v>112</v>
      </c>
      <c r="R228">
        <v>0.31164741183829803</v>
      </c>
      <c r="S228">
        <v>42</v>
      </c>
      <c r="T228">
        <v>0</v>
      </c>
      <c r="U228" t="s">
        <v>808</v>
      </c>
      <c r="V228" t="s">
        <v>753</v>
      </c>
      <c r="W228">
        <v>0.16666666666666599</v>
      </c>
      <c r="X228" t="b">
        <v>0</v>
      </c>
      <c r="Y228">
        <v>364.16642079998502</v>
      </c>
      <c r="Z228">
        <v>15.7257906000013</v>
      </c>
      <c r="AA228">
        <v>7345.9623789999996</v>
      </c>
      <c r="AB228">
        <v>332</v>
      </c>
      <c r="AC228">
        <v>3</v>
      </c>
      <c r="AD228">
        <v>0.32530120481927699</v>
      </c>
      <c r="AE228">
        <v>0.31592649823502</v>
      </c>
      <c r="AF228">
        <v>0.31418272756041599</v>
      </c>
      <c r="AG228">
        <v>0.31592649823502</v>
      </c>
      <c r="AH228">
        <v>0.31418534802415099</v>
      </c>
      <c r="AI228">
        <v>-3.2635451126766503E-2</v>
      </c>
      <c r="AJ228" t="s">
        <v>809</v>
      </c>
      <c r="AK228">
        <v>0.48798724079728201</v>
      </c>
      <c r="AM228">
        <v>103</v>
      </c>
      <c r="AN228">
        <v>0.31304347826086898</v>
      </c>
      <c r="AO228">
        <v>0.34951456310679602</v>
      </c>
      <c r="AP228">
        <v>0.33027522935779802</v>
      </c>
      <c r="AQ228">
        <v>148</v>
      </c>
      <c r="AR228">
        <v>0.39694656488549601</v>
      </c>
      <c r="AS228">
        <v>0.35135135135135098</v>
      </c>
      <c r="AT228">
        <v>0.372759856630824</v>
      </c>
      <c r="AU228">
        <v>81</v>
      </c>
      <c r="AV228">
        <v>0.232558139534883</v>
      </c>
      <c r="AW228">
        <v>0.24691358024691301</v>
      </c>
      <c r="AX228">
        <v>0.239520958083832</v>
      </c>
      <c r="AY228">
        <v>1000</v>
      </c>
      <c r="AZ228">
        <v>0.27627627627627599</v>
      </c>
      <c r="BA228">
        <v>0.37351291393117297</v>
      </c>
      <c r="BB228">
        <v>0.26900488966907199</v>
      </c>
      <c r="BC228">
        <v>0.36235784683153099</v>
      </c>
      <c r="BD228">
        <v>0.26643727241293302</v>
      </c>
      <c r="BE228">
        <v>0.35648248112626901</v>
      </c>
      <c r="BF228">
        <v>-0.10418773411712801</v>
      </c>
      <c r="BG228">
        <v>3.6938508808781099E-2</v>
      </c>
      <c r="BH228">
        <v>1000</v>
      </c>
      <c r="BI228">
        <v>0.25358736277560201</v>
      </c>
      <c r="BJ228">
        <v>0.36996946679312698</v>
      </c>
      <c r="BK228">
        <v>6</v>
      </c>
    </row>
    <row r="229" spans="1:63" x14ac:dyDescent="0.3">
      <c r="A229" t="s">
        <v>810</v>
      </c>
      <c r="B229" t="s">
        <v>109</v>
      </c>
      <c r="C229" t="s">
        <v>37</v>
      </c>
      <c r="D229" t="s">
        <v>67</v>
      </c>
      <c r="E229" t="s">
        <v>719</v>
      </c>
      <c r="F229">
        <v>8</v>
      </c>
      <c r="G229" t="s">
        <v>24</v>
      </c>
      <c r="H229" t="s">
        <v>36</v>
      </c>
      <c r="I229" t="s">
        <v>34</v>
      </c>
      <c r="J229" t="s">
        <v>689</v>
      </c>
      <c r="K229" t="s">
        <v>111</v>
      </c>
      <c r="L229">
        <v>10</v>
      </c>
      <c r="M229">
        <v>332</v>
      </c>
      <c r="N229">
        <v>42</v>
      </c>
      <c r="O229">
        <v>42</v>
      </c>
      <c r="P229" t="b">
        <v>1</v>
      </c>
      <c r="Q229" t="s">
        <v>112</v>
      </c>
      <c r="R229">
        <v>0.28009793572601399</v>
      </c>
      <c r="S229">
        <v>42</v>
      </c>
      <c r="T229">
        <v>0</v>
      </c>
      <c r="U229" t="s">
        <v>811</v>
      </c>
      <c r="V229" t="s">
        <v>764</v>
      </c>
      <c r="W229">
        <v>0.14285714285714199</v>
      </c>
      <c r="X229" t="b">
        <v>0</v>
      </c>
      <c r="Y229">
        <v>338.84588730005203</v>
      </c>
      <c r="Z229">
        <v>15.730023100008101</v>
      </c>
      <c r="AA229">
        <v>7382.5273721000003</v>
      </c>
      <c r="AB229">
        <v>332</v>
      </c>
      <c r="AC229">
        <v>3</v>
      </c>
      <c r="AD229">
        <v>0.32530120481927699</v>
      </c>
      <c r="AE229">
        <v>0.29578769708219499</v>
      </c>
      <c r="AF229">
        <v>0.29493146714149598</v>
      </c>
      <c r="AG229">
        <v>0.29578769708219499</v>
      </c>
      <c r="AH229">
        <v>0.29513973892276701</v>
      </c>
      <c r="AI229">
        <v>-4.9591001441834197E-2</v>
      </c>
      <c r="AJ229" t="s">
        <v>812</v>
      </c>
      <c r="AK229">
        <v>0.48487525185610098</v>
      </c>
      <c r="AM229">
        <v>103</v>
      </c>
      <c r="AN229">
        <v>0.26315789473684198</v>
      </c>
      <c r="AO229">
        <v>0.242718446601941</v>
      </c>
      <c r="AP229">
        <v>0.25252525252525199</v>
      </c>
      <c r="AQ229">
        <v>148</v>
      </c>
      <c r="AR229">
        <v>0.43870967741935402</v>
      </c>
      <c r="AS229">
        <v>0.45945945945945899</v>
      </c>
      <c r="AT229">
        <v>0.448844884488448</v>
      </c>
      <c r="AU229">
        <v>81</v>
      </c>
      <c r="AV229">
        <v>0.18292682926829201</v>
      </c>
      <c r="AW229">
        <v>0.18518518518518501</v>
      </c>
      <c r="AX229">
        <v>0.184049079754601</v>
      </c>
      <c r="AY229">
        <v>1000</v>
      </c>
      <c r="AZ229">
        <v>0.26785714285714202</v>
      </c>
      <c r="BA229">
        <v>0.38439598689598597</v>
      </c>
      <c r="BB229">
        <v>0.24566463110421799</v>
      </c>
      <c r="BC229">
        <v>0.34760413712023303</v>
      </c>
      <c r="BD229">
        <v>0.24464041554278501</v>
      </c>
      <c r="BE229">
        <v>0.34445485112954299</v>
      </c>
      <c r="BF229">
        <v>-0.12536769444439</v>
      </c>
      <c r="BG229">
        <v>2.5217118864874901E-2</v>
      </c>
      <c r="BH229">
        <v>1000</v>
      </c>
      <c r="BI229">
        <v>0.23860720738159699</v>
      </c>
      <c r="BJ229">
        <v>0.32195373885336898</v>
      </c>
      <c r="BK229">
        <v>9</v>
      </c>
    </row>
    <row r="230" spans="1:63" x14ac:dyDescent="0.3">
      <c r="A230" t="s">
        <v>813</v>
      </c>
      <c r="B230" t="s">
        <v>109</v>
      </c>
      <c r="C230" t="s">
        <v>37</v>
      </c>
      <c r="D230" t="s">
        <v>67</v>
      </c>
      <c r="E230" t="s">
        <v>722</v>
      </c>
      <c r="F230">
        <v>9</v>
      </c>
      <c r="G230" t="s">
        <v>24</v>
      </c>
      <c r="H230" t="s">
        <v>36</v>
      </c>
      <c r="I230" t="s">
        <v>35</v>
      </c>
      <c r="J230" t="s">
        <v>689</v>
      </c>
      <c r="K230" t="s">
        <v>111</v>
      </c>
      <c r="L230">
        <v>10</v>
      </c>
      <c r="M230">
        <v>332</v>
      </c>
      <c r="N230">
        <v>42</v>
      </c>
      <c r="O230">
        <v>42</v>
      </c>
      <c r="P230" t="b">
        <v>1</v>
      </c>
      <c r="Q230" t="s">
        <v>112</v>
      </c>
      <c r="R230">
        <v>0.29346020017202201</v>
      </c>
      <c r="S230">
        <v>42</v>
      </c>
      <c r="T230">
        <v>0</v>
      </c>
      <c r="U230" t="s">
        <v>814</v>
      </c>
      <c r="V230" t="s">
        <v>753</v>
      </c>
      <c r="W230">
        <v>0.16666666666666599</v>
      </c>
      <c r="X230" t="b">
        <v>0</v>
      </c>
      <c r="Y230">
        <v>324.39638760009598</v>
      </c>
      <c r="Z230">
        <v>13.792272199978401</v>
      </c>
      <c r="AA230">
        <v>7418.7264249</v>
      </c>
      <c r="AB230">
        <v>332</v>
      </c>
      <c r="AC230">
        <v>3</v>
      </c>
      <c r="AD230">
        <v>0.29518072289156599</v>
      </c>
      <c r="AE230">
        <v>0.287289986858487</v>
      </c>
      <c r="AF230">
        <v>0.28951064296686402</v>
      </c>
      <c r="AG230">
        <v>0.287289986858487</v>
      </c>
      <c r="AH230">
        <v>0.28557333954393899</v>
      </c>
      <c r="AI230">
        <v>-6.6814424599222905E-2</v>
      </c>
      <c r="AJ230" t="s">
        <v>815</v>
      </c>
      <c r="AK230">
        <v>0.44779921372232701</v>
      </c>
      <c r="AM230">
        <v>103</v>
      </c>
      <c r="AN230">
        <v>0.265306122448979</v>
      </c>
      <c r="AO230">
        <v>0.25242718446601897</v>
      </c>
      <c r="AP230">
        <v>0.25870646766169098</v>
      </c>
      <c r="AQ230">
        <v>148</v>
      </c>
      <c r="AR230">
        <v>0.40322580645161199</v>
      </c>
      <c r="AS230">
        <v>0.337837837837837</v>
      </c>
      <c r="AT230">
        <v>0.36764705882352899</v>
      </c>
      <c r="AU230">
        <v>81</v>
      </c>
      <c r="AV230">
        <v>0.2</v>
      </c>
      <c r="AW230">
        <v>0.27160493827160398</v>
      </c>
      <c r="AX230">
        <v>0.23036649214659599</v>
      </c>
      <c r="AY230">
        <v>1000</v>
      </c>
      <c r="AZ230">
        <v>0.243974066999706</v>
      </c>
      <c r="BA230">
        <v>0.34834834834834799</v>
      </c>
      <c r="BB230">
        <v>0.23695064413133801</v>
      </c>
      <c r="BC230">
        <v>0.34125157415849999</v>
      </c>
      <c r="BD230">
        <v>0.23349510208476301</v>
      </c>
      <c r="BE230">
        <v>0.33425053495011697</v>
      </c>
      <c r="BF230">
        <v>-0.14151568862663799</v>
      </c>
      <c r="BG230">
        <v>1.2102100266857501E-2</v>
      </c>
      <c r="BH230">
        <v>1000</v>
      </c>
      <c r="BI230">
        <v>0.23756442433549599</v>
      </c>
      <c r="BJ230">
        <v>0.36014437309824199</v>
      </c>
      <c r="BK230">
        <v>8</v>
      </c>
    </row>
    <row r="231" spans="1:63" x14ac:dyDescent="0.3">
      <c r="A231" t="s">
        <v>0</v>
      </c>
      <c r="B231" t="s">
        <v>69</v>
      </c>
      <c r="C231" t="s">
        <v>2</v>
      </c>
      <c r="D231" t="s">
        <v>70</v>
      </c>
      <c r="E231" t="s">
        <v>71</v>
      </c>
      <c r="F231" t="s">
        <v>72</v>
      </c>
      <c r="G231" t="s">
        <v>1</v>
      </c>
      <c r="H231" t="s">
        <v>3</v>
      </c>
      <c r="I231" t="s">
        <v>4</v>
      </c>
      <c r="J231" t="s">
        <v>5</v>
      </c>
      <c r="K231" t="s">
        <v>73</v>
      </c>
      <c r="L231" t="s">
        <v>74</v>
      </c>
      <c r="M231" t="s">
        <v>75</v>
      </c>
      <c r="N231" t="s">
        <v>6</v>
      </c>
      <c r="O231" t="s">
        <v>7</v>
      </c>
      <c r="P231" t="s">
        <v>8</v>
      </c>
      <c r="Q231" t="s">
        <v>76</v>
      </c>
      <c r="R231" t="s">
        <v>77</v>
      </c>
      <c r="S231" t="s">
        <v>78</v>
      </c>
      <c r="T231" t="s">
        <v>79</v>
      </c>
      <c r="U231" t="s">
        <v>80</v>
      </c>
      <c r="V231" t="s">
        <v>81</v>
      </c>
      <c r="W231" t="s">
        <v>82</v>
      </c>
      <c r="X231" t="s">
        <v>9</v>
      </c>
      <c r="Y231" t="s">
        <v>83</v>
      </c>
      <c r="Z231" t="s">
        <v>84</v>
      </c>
      <c r="AA231" t="s">
        <v>85</v>
      </c>
      <c r="AB231" t="s">
        <v>10</v>
      </c>
      <c r="AC231" t="s">
        <v>86</v>
      </c>
      <c r="AD231" t="s">
        <v>11</v>
      </c>
      <c r="AE231" t="s">
        <v>87</v>
      </c>
      <c r="AF231" t="s">
        <v>88</v>
      </c>
      <c r="AG231" t="s">
        <v>89</v>
      </c>
      <c r="AH231" t="s">
        <v>90</v>
      </c>
      <c r="AI231" t="s">
        <v>12</v>
      </c>
      <c r="AJ231" t="s">
        <v>91</v>
      </c>
      <c r="AK231" t="s">
        <v>17</v>
      </c>
      <c r="AL231" t="s">
        <v>18</v>
      </c>
      <c r="AM231" t="s">
        <v>92</v>
      </c>
      <c r="AN231" t="s">
        <v>93</v>
      </c>
      <c r="AO231" t="s">
        <v>94</v>
      </c>
      <c r="AP231" t="s">
        <v>95</v>
      </c>
      <c r="AQ231" t="s">
        <v>96</v>
      </c>
      <c r="AR231" t="s">
        <v>97</v>
      </c>
      <c r="AS231" t="s">
        <v>98</v>
      </c>
      <c r="AT231" t="s">
        <v>99</v>
      </c>
      <c r="AU231" t="s">
        <v>13</v>
      </c>
      <c r="AV231" t="s">
        <v>14</v>
      </c>
      <c r="AW231" t="s">
        <v>15</v>
      </c>
      <c r="AX231" t="s">
        <v>16</v>
      </c>
      <c r="AY231" t="s">
        <v>19</v>
      </c>
      <c r="AZ231" t="s">
        <v>20</v>
      </c>
      <c r="BA231" t="s">
        <v>21</v>
      </c>
      <c r="BB231" t="s">
        <v>100</v>
      </c>
      <c r="BC231" t="s">
        <v>101</v>
      </c>
      <c r="BD231" t="s">
        <v>102</v>
      </c>
      <c r="BE231" t="s">
        <v>103</v>
      </c>
      <c r="BF231" t="s">
        <v>22</v>
      </c>
      <c r="BG231" t="s">
        <v>23</v>
      </c>
      <c r="BH231" t="s">
        <v>104</v>
      </c>
      <c r="BI231" t="s">
        <v>105</v>
      </c>
      <c r="BJ231" t="s">
        <v>106</v>
      </c>
      <c r="BK231" t="s">
        <v>107</v>
      </c>
    </row>
    <row r="232" spans="1:63" x14ac:dyDescent="0.3">
      <c r="A232" t="s">
        <v>816</v>
      </c>
      <c r="B232" t="s">
        <v>109</v>
      </c>
      <c r="C232" t="s">
        <v>25</v>
      </c>
      <c r="D232" t="s">
        <v>66</v>
      </c>
      <c r="E232" t="s">
        <v>688</v>
      </c>
      <c r="F232">
        <v>0</v>
      </c>
      <c r="G232" t="s">
        <v>24</v>
      </c>
      <c r="H232" t="s">
        <v>26</v>
      </c>
      <c r="I232" t="s">
        <v>27</v>
      </c>
      <c r="J232" t="s">
        <v>689</v>
      </c>
      <c r="K232" t="s">
        <v>111</v>
      </c>
      <c r="L232">
        <v>10</v>
      </c>
      <c r="M232">
        <v>304</v>
      </c>
      <c r="N232">
        <v>42</v>
      </c>
      <c r="O232">
        <v>42</v>
      </c>
      <c r="P232" t="b">
        <v>1</v>
      </c>
      <c r="Q232" t="s">
        <v>112</v>
      </c>
      <c r="R232">
        <v>0.46749557546595799</v>
      </c>
      <c r="S232">
        <v>42</v>
      </c>
      <c r="T232">
        <v>0</v>
      </c>
      <c r="U232" t="s">
        <v>817</v>
      </c>
      <c r="V232" t="s">
        <v>753</v>
      </c>
      <c r="W232">
        <v>0.19047619047618999</v>
      </c>
      <c r="X232" t="b">
        <v>0</v>
      </c>
      <c r="Y232">
        <v>523.64428349998104</v>
      </c>
      <c r="Z232">
        <v>21.649989999997999</v>
      </c>
      <c r="AA232">
        <v>5211.3608485999903</v>
      </c>
      <c r="AB232">
        <v>304</v>
      </c>
      <c r="AC232">
        <v>2</v>
      </c>
      <c r="AD232">
        <v>0.47039473684210498</v>
      </c>
      <c r="AE232">
        <v>0.46785714285714203</v>
      </c>
      <c r="AF232">
        <v>0.46794509837988002</v>
      </c>
      <c r="AG232">
        <v>0.46785714285714203</v>
      </c>
      <c r="AH232">
        <v>0.467855395487904</v>
      </c>
      <c r="AI232">
        <v>-6.41976985102682E-2</v>
      </c>
      <c r="AJ232" t="s">
        <v>818</v>
      </c>
      <c r="AK232">
        <v>0.43885017421602701</v>
      </c>
      <c r="AL232">
        <v>0.48467395923810302</v>
      </c>
      <c r="AM232">
        <v>140</v>
      </c>
      <c r="AN232">
        <v>0.42657342657342601</v>
      </c>
      <c r="AO232">
        <v>0.435714285714285</v>
      </c>
      <c r="AP232">
        <v>0.43109540636042398</v>
      </c>
      <c r="AQ232">
        <v>164</v>
      </c>
      <c r="AR232">
        <v>0.50931677018633503</v>
      </c>
      <c r="AS232">
        <v>0.5</v>
      </c>
      <c r="AT232">
        <v>0.50461538461538402</v>
      </c>
      <c r="AU232">
        <v>61</v>
      </c>
      <c r="AV232">
        <v>79</v>
      </c>
      <c r="AW232">
        <v>82</v>
      </c>
      <c r="AX232">
        <v>82</v>
      </c>
      <c r="AY232">
        <v>1000</v>
      </c>
      <c r="AZ232">
        <v>0.409514774564397</v>
      </c>
      <c r="BA232">
        <v>0.525089433131535</v>
      </c>
      <c r="BB232">
        <v>0.40656878016119602</v>
      </c>
      <c r="BC232">
        <v>0.52080874794826804</v>
      </c>
      <c r="BD232">
        <v>0.405818146649085</v>
      </c>
      <c r="BE232">
        <v>0.52022881382314201</v>
      </c>
      <c r="BF232">
        <v>-0.18630355846605801</v>
      </c>
      <c r="BG232">
        <v>4.1577920675676998E-2</v>
      </c>
      <c r="BH232">
        <v>1000</v>
      </c>
      <c r="BI232">
        <v>0.403462466897617</v>
      </c>
      <c r="BJ232">
        <v>0.52592699432415202</v>
      </c>
      <c r="BK232">
        <v>9</v>
      </c>
    </row>
    <row r="233" spans="1:63" x14ac:dyDescent="0.3">
      <c r="A233" t="s">
        <v>819</v>
      </c>
      <c r="B233" t="s">
        <v>109</v>
      </c>
      <c r="C233" t="s">
        <v>25</v>
      </c>
      <c r="D233" t="s">
        <v>66</v>
      </c>
      <c r="E233" t="s">
        <v>693</v>
      </c>
      <c r="F233">
        <v>1</v>
      </c>
      <c r="G233" t="s">
        <v>24</v>
      </c>
      <c r="H233" t="s">
        <v>26</v>
      </c>
      <c r="I233" t="s">
        <v>32</v>
      </c>
      <c r="J233" t="s">
        <v>689</v>
      </c>
      <c r="K233" t="s">
        <v>111</v>
      </c>
      <c r="L233">
        <v>10</v>
      </c>
      <c r="M233">
        <v>304</v>
      </c>
      <c r="N233">
        <v>42</v>
      </c>
      <c r="O233">
        <v>42</v>
      </c>
      <c r="P233" t="b">
        <v>1</v>
      </c>
      <c r="Q233" t="s">
        <v>112</v>
      </c>
      <c r="R233">
        <v>0.50339721254355396</v>
      </c>
      <c r="S233">
        <v>42</v>
      </c>
      <c r="T233">
        <v>0</v>
      </c>
      <c r="U233" t="s">
        <v>820</v>
      </c>
      <c r="V233" t="s">
        <v>805</v>
      </c>
      <c r="W233">
        <v>0.14285714285714199</v>
      </c>
      <c r="X233" t="b">
        <v>0</v>
      </c>
      <c r="Y233">
        <v>488.22183009994399</v>
      </c>
      <c r="Z233">
        <v>20.4471658999955</v>
      </c>
      <c r="AA233">
        <v>5252.5137830000003</v>
      </c>
      <c r="AB233">
        <v>304</v>
      </c>
      <c r="AC233">
        <v>2</v>
      </c>
      <c r="AD233">
        <v>0.49671052631578899</v>
      </c>
      <c r="AE233">
        <v>0.49590592334494699</v>
      </c>
      <c r="AF233">
        <v>0.49592985494695802</v>
      </c>
      <c r="AG233">
        <v>0.49590592334494699</v>
      </c>
      <c r="AH233">
        <v>0.49548220542135302</v>
      </c>
      <c r="AI233">
        <v>-8.1641866329316103E-3</v>
      </c>
      <c r="AJ233" t="s">
        <v>821</v>
      </c>
      <c r="AK233">
        <v>0.49660278745644598</v>
      </c>
      <c r="AL233">
        <v>0.54011513023426005</v>
      </c>
      <c r="AM233">
        <v>140</v>
      </c>
      <c r="AN233">
        <v>0.456375838926174</v>
      </c>
      <c r="AO233">
        <v>0.48571428571428499</v>
      </c>
      <c r="AP233">
        <v>0.47058823529411697</v>
      </c>
      <c r="AQ233">
        <v>164</v>
      </c>
      <c r="AR233">
        <v>0.53548387096774197</v>
      </c>
      <c r="AS233">
        <v>0.50609756097560898</v>
      </c>
      <c r="AT233">
        <v>0.52037617554858895</v>
      </c>
      <c r="AU233">
        <v>68</v>
      </c>
      <c r="AV233">
        <v>72</v>
      </c>
      <c r="AW233">
        <v>81</v>
      </c>
      <c r="AX233">
        <v>83</v>
      </c>
      <c r="AY233">
        <v>1000</v>
      </c>
      <c r="AZ233">
        <v>0.43947678207311103</v>
      </c>
      <c r="BA233">
        <v>0.55410728777795804</v>
      </c>
      <c r="BB233">
        <v>0.437907293944445</v>
      </c>
      <c r="BC233">
        <v>0.55330202405437501</v>
      </c>
      <c r="BD233">
        <v>0.435903956069708</v>
      </c>
      <c r="BE233">
        <v>0.54973914765603404</v>
      </c>
      <c r="BF233">
        <v>-0.123857523314037</v>
      </c>
      <c r="BG233">
        <v>0.106606630806905</v>
      </c>
      <c r="BH233">
        <v>1000</v>
      </c>
      <c r="BI233">
        <v>0.44432019454123101</v>
      </c>
      <c r="BJ233">
        <v>0.56568125725900098</v>
      </c>
      <c r="BK233">
        <v>5</v>
      </c>
    </row>
    <row r="234" spans="1:63" x14ac:dyDescent="0.3">
      <c r="A234" t="s">
        <v>822</v>
      </c>
      <c r="B234" t="s">
        <v>109</v>
      </c>
      <c r="C234" t="s">
        <v>25</v>
      </c>
      <c r="D234" t="s">
        <v>66</v>
      </c>
      <c r="E234" t="s">
        <v>697</v>
      </c>
      <c r="F234">
        <v>2</v>
      </c>
      <c r="G234" t="s">
        <v>24</v>
      </c>
      <c r="H234" t="s">
        <v>26</v>
      </c>
      <c r="I234" t="s">
        <v>33</v>
      </c>
      <c r="J234" t="s">
        <v>689</v>
      </c>
      <c r="K234" t="s">
        <v>111</v>
      </c>
      <c r="L234">
        <v>10</v>
      </c>
      <c r="M234">
        <v>304</v>
      </c>
      <c r="N234">
        <v>42</v>
      </c>
      <c r="O234">
        <v>42</v>
      </c>
      <c r="P234" t="b">
        <v>1</v>
      </c>
      <c r="Q234" t="s">
        <v>112</v>
      </c>
      <c r="R234">
        <v>0.43641184115922699</v>
      </c>
      <c r="S234">
        <v>42</v>
      </c>
      <c r="T234">
        <v>0</v>
      </c>
      <c r="U234" t="s">
        <v>823</v>
      </c>
      <c r="V234" t="s">
        <v>749</v>
      </c>
      <c r="W234">
        <v>0.16666666666666599</v>
      </c>
      <c r="X234" t="b">
        <v>0</v>
      </c>
      <c r="Y234">
        <v>489.30133660000502</v>
      </c>
      <c r="Z234">
        <v>16.208960500001901</v>
      </c>
      <c r="AA234">
        <v>5293.5389942000002</v>
      </c>
      <c r="AB234">
        <v>304</v>
      </c>
      <c r="AC234">
        <v>2</v>
      </c>
      <c r="AD234">
        <v>0.457236842105263</v>
      </c>
      <c r="AE234">
        <v>0.455662020905923</v>
      </c>
      <c r="AF234">
        <v>0.45589063650938</v>
      </c>
      <c r="AG234">
        <v>0.455662020905923</v>
      </c>
      <c r="AH234">
        <v>0.45553420821257601</v>
      </c>
      <c r="AI234">
        <v>-8.8447047125386799E-2</v>
      </c>
      <c r="AJ234" t="s">
        <v>824</v>
      </c>
      <c r="AK234">
        <v>0.45143728222996499</v>
      </c>
      <c r="AL234">
        <v>0.495554835762126</v>
      </c>
      <c r="AM234">
        <v>140</v>
      </c>
      <c r="AN234">
        <v>0.41496598639455701</v>
      </c>
      <c r="AO234">
        <v>0.435714285714285</v>
      </c>
      <c r="AP234">
        <v>0.42508710801393701</v>
      </c>
      <c r="AQ234">
        <v>164</v>
      </c>
      <c r="AR234">
        <v>0.49681528662420299</v>
      </c>
      <c r="AS234">
        <v>0.47560975609756001</v>
      </c>
      <c r="AT234">
        <v>0.48598130841121401</v>
      </c>
      <c r="AU234">
        <v>61</v>
      </c>
      <c r="AV234">
        <v>79</v>
      </c>
      <c r="AW234">
        <v>86</v>
      </c>
      <c r="AX234">
        <v>78</v>
      </c>
      <c r="AY234">
        <v>1000</v>
      </c>
      <c r="AZ234">
        <v>0.40066198200918901</v>
      </c>
      <c r="BA234">
        <v>0.51429264909847405</v>
      </c>
      <c r="BB234">
        <v>0.40128143646977599</v>
      </c>
      <c r="BC234">
        <v>0.51195176983584201</v>
      </c>
      <c r="BD234">
        <v>0.39988794090205299</v>
      </c>
      <c r="BE234">
        <v>0.51111341606999605</v>
      </c>
      <c r="BF234">
        <v>-0.19730538082875199</v>
      </c>
      <c r="BG234">
        <v>2.3898593663086599E-2</v>
      </c>
      <c r="BH234">
        <v>1000</v>
      </c>
      <c r="BI234">
        <v>0.38963789682539601</v>
      </c>
      <c r="BJ234">
        <v>0.48680629960317401</v>
      </c>
      <c r="BK234">
        <v>10</v>
      </c>
    </row>
    <row r="235" spans="1:63" x14ac:dyDescent="0.3">
      <c r="A235" t="s">
        <v>825</v>
      </c>
      <c r="B235" t="s">
        <v>109</v>
      </c>
      <c r="C235" t="s">
        <v>25</v>
      </c>
      <c r="D235" t="s">
        <v>66</v>
      </c>
      <c r="E235" t="s">
        <v>700</v>
      </c>
      <c r="F235">
        <v>3</v>
      </c>
      <c r="G235" t="s">
        <v>24</v>
      </c>
      <c r="H235" t="s">
        <v>26</v>
      </c>
      <c r="I235" t="s">
        <v>34</v>
      </c>
      <c r="J235" t="s">
        <v>689</v>
      </c>
      <c r="K235" t="s">
        <v>111</v>
      </c>
      <c r="L235">
        <v>10</v>
      </c>
      <c r="M235">
        <v>304</v>
      </c>
      <c r="N235">
        <v>42</v>
      </c>
      <c r="O235">
        <v>42</v>
      </c>
      <c r="P235" t="b">
        <v>1</v>
      </c>
      <c r="Q235" t="s">
        <v>112</v>
      </c>
      <c r="R235">
        <v>0.53064888557048795</v>
      </c>
      <c r="S235">
        <v>42</v>
      </c>
      <c r="T235">
        <v>0</v>
      </c>
      <c r="U235" t="s">
        <v>826</v>
      </c>
      <c r="V235" t="s">
        <v>805</v>
      </c>
      <c r="W235">
        <v>0.14285714285714199</v>
      </c>
      <c r="X235" t="b">
        <v>0</v>
      </c>
      <c r="Y235">
        <v>572.02791260000595</v>
      </c>
      <c r="Z235">
        <v>23.0712586000008</v>
      </c>
      <c r="AA235">
        <v>5335.2135808999901</v>
      </c>
      <c r="AB235">
        <v>304</v>
      </c>
      <c r="AC235">
        <v>2</v>
      </c>
      <c r="AD235">
        <v>0.52960526315789402</v>
      </c>
      <c r="AE235">
        <v>0.52796167247386705</v>
      </c>
      <c r="AF235">
        <v>0.52784645413142395</v>
      </c>
      <c r="AG235">
        <v>0.52796167247386705</v>
      </c>
      <c r="AH235">
        <v>0.52776057791537601</v>
      </c>
      <c r="AI235">
        <v>5.5808007668487099E-2</v>
      </c>
      <c r="AJ235" t="s">
        <v>827</v>
      </c>
      <c r="AK235">
        <v>0.54337979094076605</v>
      </c>
      <c r="AL235">
        <v>0.58757322944061396</v>
      </c>
      <c r="AM235">
        <v>140</v>
      </c>
      <c r="AN235">
        <v>0.48965517241379303</v>
      </c>
      <c r="AO235">
        <v>0.50714285714285701</v>
      </c>
      <c r="AP235">
        <v>0.49824561403508699</v>
      </c>
      <c r="AQ235">
        <v>164</v>
      </c>
      <c r="AR235">
        <v>0.56603773584905603</v>
      </c>
      <c r="AS235">
        <v>0.54878048780487798</v>
      </c>
      <c r="AT235">
        <v>0.55727554179566496</v>
      </c>
      <c r="AU235">
        <v>71</v>
      </c>
      <c r="AV235">
        <v>69</v>
      </c>
      <c r="AW235">
        <v>74</v>
      </c>
      <c r="AX235">
        <v>90</v>
      </c>
      <c r="AY235">
        <v>1000</v>
      </c>
      <c r="AZ235">
        <v>0.47280121037109801</v>
      </c>
      <c r="BA235">
        <v>0.58142275467856797</v>
      </c>
      <c r="BB235">
        <v>0.47086370392158</v>
      </c>
      <c r="BC235">
        <v>0.57985969398807902</v>
      </c>
      <c r="BD235">
        <v>0.46939990844983498</v>
      </c>
      <c r="BE235">
        <v>0.579290346780853</v>
      </c>
      <c r="BF235">
        <v>-5.8259516734403001E-2</v>
      </c>
      <c r="BG235">
        <v>0.15957696440747901</v>
      </c>
      <c r="BH235">
        <v>1000</v>
      </c>
      <c r="BI235">
        <v>0.47339781746031701</v>
      </c>
      <c r="BJ235">
        <v>0.58345521541950096</v>
      </c>
      <c r="BK235">
        <v>2</v>
      </c>
    </row>
    <row r="236" spans="1:63" x14ac:dyDescent="0.3">
      <c r="A236" t="s">
        <v>828</v>
      </c>
      <c r="B236" t="s">
        <v>109</v>
      </c>
      <c r="C236" t="s">
        <v>25</v>
      </c>
      <c r="D236" t="s">
        <v>66</v>
      </c>
      <c r="E236" t="s">
        <v>704</v>
      </c>
      <c r="F236">
        <v>4</v>
      </c>
      <c r="G236" t="s">
        <v>24</v>
      </c>
      <c r="H236" t="s">
        <v>26</v>
      </c>
      <c r="I236" t="s">
        <v>35</v>
      </c>
      <c r="J236" t="s">
        <v>689</v>
      </c>
      <c r="K236" t="s">
        <v>111</v>
      </c>
      <c r="L236">
        <v>10</v>
      </c>
      <c r="M236">
        <v>304</v>
      </c>
      <c r="N236">
        <v>42</v>
      </c>
      <c r="O236">
        <v>42</v>
      </c>
      <c r="P236" t="b">
        <v>1</v>
      </c>
      <c r="Q236" t="s">
        <v>112</v>
      </c>
      <c r="R236">
        <v>0.50150918090813501</v>
      </c>
      <c r="S236">
        <v>42</v>
      </c>
      <c r="T236">
        <v>0</v>
      </c>
      <c r="U236" t="s">
        <v>829</v>
      </c>
      <c r="V236" t="s">
        <v>786</v>
      </c>
      <c r="W236">
        <v>0.14285714285714199</v>
      </c>
      <c r="X236" t="b">
        <v>0</v>
      </c>
      <c r="Y236">
        <v>562.65692939993801</v>
      </c>
      <c r="Z236">
        <v>20.4697546000043</v>
      </c>
      <c r="AA236">
        <v>5376.8067379999902</v>
      </c>
      <c r="AB236">
        <v>304</v>
      </c>
      <c r="AC236">
        <v>2</v>
      </c>
      <c r="AD236">
        <v>0.51973684210526305</v>
      </c>
      <c r="AE236">
        <v>0.51724738675958104</v>
      </c>
      <c r="AF236">
        <v>0.517214397496087</v>
      </c>
      <c r="AG236">
        <v>0.51724738675958104</v>
      </c>
      <c r="AH236">
        <v>0.51720837140495102</v>
      </c>
      <c r="AI236">
        <v>3.4461768465834798E-2</v>
      </c>
      <c r="AJ236" t="s">
        <v>830</v>
      </c>
      <c r="AK236">
        <v>0.49843205574912802</v>
      </c>
      <c r="AL236">
        <v>0.52639660272798094</v>
      </c>
      <c r="AM236">
        <v>140</v>
      </c>
      <c r="AN236">
        <v>0.47887323943661902</v>
      </c>
      <c r="AO236">
        <v>0.48571428571428499</v>
      </c>
      <c r="AP236">
        <v>0.48226950354609899</v>
      </c>
      <c r="AQ236">
        <v>164</v>
      </c>
      <c r="AR236">
        <v>0.55555555555555503</v>
      </c>
      <c r="AS236">
        <v>0.54878048780487798</v>
      </c>
      <c r="AT236">
        <v>0.55214723926380305</v>
      </c>
      <c r="AU236">
        <v>68</v>
      </c>
      <c r="AV236">
        <v>72</v>
      </c>
      <c r="AW236">
        <v>74</v>
      </c>
      <c r="AX236">
        <v>90</v>
      </c>
      <c r="AY236">
        <v>1000</v>
      </c>
      <c r="AZ236">
        <v>0.474017429938482</v>
      </c>
      <c r="BA236">
        <v>0.56677524429967396</v>
      </c>
      <c r="BB236">
        <v>0.47124434568340601</v>
      </c>
      <c r="BC236">
        <v>0.56428584257231795</v>
      </c>
      <c r="BD236">
        <v>0.47046535625554903</v>
      </c>
      <c r="BE236">
        <v>0.56341756379585295</v>
      </c>
      <c r="BF236">
        <v>-5.7726799333895698E-2</v>
      </c>
      <c r="BG236">
        <v>0.12839917770568299</v>
      </c>
      <c r="BH236">
        <v>1000</v>
      </c>
      <c r="BI236">
        <v>0.45432559558376101</v>
      </c>
      <c r="BJ236">
        <v>0.55318644225983005</v>
      </c>
      <c r="BK236">
        <v>6</v>
      </c>
    </row>
    <row r="237" spans="1:63" x14ac:dyDescent="0.3">
      <c r="A237" t="s">
        <v>831</v>
      </c>
      <c r="B237" t="s">
        <v>109</v>
      </c>
      <c r="C237" t="s">
        <v>25</v>
      </c>
      <c r="D237" t="s">
        <v>66</v>
      </c>
      <c r="E237" t="s">
        <v>708</v>
      </c>
      <c r="F237">
        <v>5</v>
      </c>
      <c r="G237" t="s">
        <v>24</v>
      </c>
      <c r="H237" t="s">
        <v>36</v>
      </c>
      <c r="I237" t="s">
        <v>27</v>
      </c>
      <c r="J237" t="s">
        <v>689</v>
      </c>
      <c r="K237" t="s">
        <v>111</v>
      </c>
      <c r="L237">
        <v>10</v>
      </c>
      <c r="M237">
        <v>304</v>
      </c>
      <c r="N237">
        <v>42</v>
      </c>
      <c r="O237">
        <v>42</v>
      </c>
      <c r="P237" t="b">
        <v>1</v>
      </c>
      <c r="Q237" t="s">
        <v>112</v>
      </c>
      <c r="R237">
        <v>0.52237362424644596</v>
      </c>
      <c r="S237">
        <v>42</v>
      </c>
      <c r="T237">
        <v>0</v>
      </c>
      <c r="U237" t="s">
        <v>832</v>
      </c>
      <c r="V237" t="s">
        <v>771</v>
      </c>
      <c r="W237">
        <v>0.16666666666666599</v>
      </c>
      <c r="X237" t="b">
        <v>0</v>
      </c>
      <c r="Y237">
        <v>244.82717699996101</v>
      </c>
      <c r="Z237">
        <v>10.155233999998</v>
      </c>
      <c r="AA237">
        <v>5416.1905210000004</v>
      </c>
      <c r="AB237">
        <v>304</v>
      </c>
      <c r="AC237">
        <v>2</v>
      </c>
      <c r="AD237">
        <v>0.50986842105263097</v>
      </c>
      <c r="AE237">
        <v>0.50757839721254305</v>
      </c>
      <c r="AF237">
        <v>0.50755765973157196</v>
      </c>
      <c r="AG237">
        <v>0.50757839721254305</v>
      </c>
      <c r="AH237">
        <v>0.50751834737700396</v>
      </c>
      <c r="AI237">
        <v>1.51360427381933E-2</v>
      </c>
      <c r="AJ237" t="s">
        <v>833</v>
      </c>
      <c r="AK237">
        <v>0.50979965156794405</v>
      </c>
      <c r="AL237">
        <v>0.54960170472328096</v>
      </c>
      <c r="AM237">
        <v>140</v>
      </c>
      <c r="AN237">
        <v>0.46853146853146799</v>
      </c>
      <c r="AO237">
        <v>0.47857142857142798</v>
      </c>
      <c r="AP237">
        <v>0.47349823321554702</v>
      </c>
      <c r="AQ237">
        <v>164</v>
      </c>
      <c r="AR237">
        <v>0.54658385093167705</v>
      </c>
      <c r="AS237">
        <v>0.53658536585365801</v>
      </c>
      <c r="AT237">
        <v>0.54153846153846097</v>
      </c>
      <c r="AU237">
        <v>67</v>
      </c>
      <c r="AV237">
        <v>73</v>
      </c>
      <c r="AW237">
        <v>76</v>
      </c>
      <c r="AX237">
        <v>88</v>
      </c>
      <c r="AY237">
        <v>1000</v>
      </c>
      <c r="AZ237">
        <v>0.46416548819478598</v>
      </c>
      <c r="BA237">
        <v>0.55743892931392902</v>
      </c>
      <c r="BB237">
        <v>0.46155658395258298</v>
      </c>
      <c r="BC237">
        <v>0.55426569614978005</v>
      </c>
      <c r="BD237">
        <v>0.460631615164388</v>
      </c>
      <c r="BE237">
        <v>0.55357512281962196</v>
      </c>
      <c r="BF237">
        <v>-7.6697518027326703E-2</v>
      </c>
      <c r="BG237">
        <v>0.10853826999077799</v>
      </c>
      <c r="BH237">
        <v>1000</v>
      </c>
      <c r="BI237">
        <v>0.474203514739229</v>
      </c>
      <c r="BJ237">
        <v>0.56960153268624503</v>
      </c>
      <c r="BK237">
        <v>3</v>
      </c>
    </row>
    <row r="238" spans="1:63" x14ac:dyDescent="0.3">
      <c r="A238" t="s">
        <v>834</v>
      </c>
      <c r="B238" t="s">
        <v>109</v>
      </c>
      <c r="C238" t="s">
        <v>25</v>
      </c>
      <c r="D238" t="s">
        <v>66</v>
      </c>
      <c r="E238" t="s">
        <v>711</v>
      </c>
      <c r="F238">
        <v>6</v>
      </c>
      <c r="G238" t="s">
        <v>24</v>
      </c>
      <c r="H238" t="s">
        <v>36</v>
      </c>
      <c r="I238" t="s">
        <v>32</v>
      </c>
      <c r="J238" t="s">
        <v>689</v>
      </c>
      <c r="K238" t="s">
        <v>111</v>
      </c>
      <c r="L238">
        <v>10</v>
      </c>
      <c r="M238">
        <v>304</v>
      </c>
      <c r="N238">
        <v>42</v>
      </c>
      <c r="O238">
        <v>42</v>
      </c>
      <c r="P238" t="b">
        <v>1</v>
      </c>
      <c r="Q238" t="s">
        <v>112</v>
      </c>
      <c r="R238">
        <v>0.49606147336983503</v>
      </c>
      <c r="S238">
        <v>42</v>
      </c>
      <c r="T238">
        <v>0</v>
      </c>
      <c r="U238" t="s">
        <v>835</v>
      </c>
      <c r="V238" t="s">
        <v>753</v>
      </c>
      <c r="W238">
        <v>0.16666666666666599</v>
      </c>
      <c r="X238" t="b">
        <v>0</v>
      </c>
      <c r="Y238">
        <v>297.81583659997301</v>
      </c>
      <c r="Z238">
        <v>15.7036018000108</v>
      </c>
      <c r="AA238">
        <v>5451.00535639999</v>
      </c>
      <c r="AB238">
        <v>304</v>
      </c>
      <c r="AC238">
        <v>2</v>
      </c>
      <c r="AD238">
        <v>0.49671052631578899</v>
      </c>
      <c r="AE238">
        <v>0.49486062717770002</v>
      </c>
      <c r="AF238">
        <v>0.49488180438082802</v>
      </c>
      <c r="AG238">
        <v>0.49486062717770002</v>
      </c>
      <c r="AH238">
        <v>0.49473684210526298</v>
      </c>
      <c r="AI238">
        <v>-1.02575465808122E-2</v>
      </c>
      <c r="AJ238" t="s">
        <v>836</v>
      </c>
      <c r="AK238">
        <v>0.51702961672473802</v>
      </c>
      <c r="AL238">
        <v>0.55216134745613898</v>
      </c>
      <c r="AM238">
        <v>140</v>
      </c>
      <c r="AN238">
        <v>0.45517241379310303</v>
      </c>
      <c r="AO238">
        <v>0.47142857142857097</v>
      </c>
      <c r="AP238">
        <v>0.46315789473684199</v>
      </c>
      <c r="AQ238">
        <v>164</v>
      </c>
      <c r="AR238">
        <v>0.53459119496855301</v>
      </c>
      <c r="AS238">
        <v>0.51829268292682895</v>
      </c>
      <c r="AT238">
        <v>0.52631578947368396</v>
      </c>
      <c r="AU238">
        <v>66</v>
      </c>
      <c r="AV238">
        <v>74</v>
      </c>
      <c r="AW238">
        <v>79</v>
      </c>
      <c r="AX238">
        <v>85</v>
      </c>
      <c r="AY238">
        <v>1000</v>
      </c>
      <c r="AZ238">
        <v>0.44803485987696501</v>
      </c>
      <c r="BA238">
        <v>0.54197816985645897</v>
      </c>
      <c r="BB238">
        <v>0.44544399738215001</v>
      </c>
      <c r="BC238">
        <v>0.53957058596997098</v>
      </c>
      <c r="BD238">
        <v>0.44470196450155502</v>
      </c>
      <c r="BE238">
        <v>0.53844085126045405</v>
      </c>
      <c r="BF238">
        <v>-0.10909385906873199</v>
      </c>
      <c r="BG238">
        <v>7.9407630347717903E-2</v>
      </c>
      <c r="BH238">
        <v>1000</v>
      </c>
      <c r="BI238">
        <v>0.45192247732426299</v>
      </c>
      <c r="BJ238">
        <v>0.54100606964174003</v>
      </c>
      <c r="BK238">
        <v>8</v>
      </c>
    </row>
    <row r="239" spans="1:63" x14ac:dyDescent="0.3">
      <c r="A239" t="s">
        <v>837</v>
      </c>
      <c r="B239" t="s">
        <v>109</v>
      </c>
      <c r="C239" t="s">
        <v>25</v>
      </c>
      <c r="D239" t="s">
        <v>66</v>
      </c>
      <c r="E239" t="s">
        <v>715</v>
      </c>
      <c r="F239">
        <v>7</v>
      </c>
      <c r="G239" t="s">
        <v>24</v>
      </c>
      <c r="H239" t="s">
        <v>36</v>
      </c>
      <c r="I239" t="s">
        <v>33</v>
      </c>
      <c r="J239" t="s">
        <v>689</v>
      </c>
      <c r="K239" t="s">
        <v>111</v>
      </c>
      <c r="L239">
        <v>10</v>
      </c>
      <c r="M239">
        <v>304</v>
      </c>
      <c r="N239">
        <v>42</v>
      </c>
      <c r="O239">
        <v>42</v>
      </c>
      <c r="P239" t="b">
        <v>1</v>
      </c>
      <c r="Q239" t="s">
        <v>112</v>
      </c>
      <c r="R239">
        <v>0.52083195066644505</v>
      </c>
      <c r="S239">
        <v>42</v>
      </c>
      <c r="T239">
        <v>0</v>
      </c>
      <c r="U239" t="s">
        <v>838</v>
      </c>
      <c r="V239" t="s">
        <v>786</v>
      </c>
      <c r="W239">
        <v>0.214285714285714</v>
      </c>
      <c r="X239" t="b">
        <v>0</v>
      </c>
      <c r="Y239">
        <v>290.22756759996599</v>
      </c>
      <c r="Z239">
        <v>11.549971800001</v>
      </c>
      <c r="AA239">
        <v>5486.5226770999998</v>
      </c>
      <c r="AB239">
        <v>304</v>
      </c>
      <c r="AC239">
        <v>2</v>
      </c>
      <c r="AD239">
        <v>0.51315789473684204</v>
      </c>
      <c r="AE239">
        <v>0.51428571428571401</v>
      </c>
      <c r="AF239">
        <v>0.51420651420651398</v>
      </c>
      <c r="AG239">
        <v>0.51428571428571401</v>
      </c>
      <c r="AH239">
        <v>0.512820512820512</v>
      </c>
      <c r="AI239">
        <v>2.8492118415463799E-2</v>
      </c>
      <c r="AJ239" t="s">
        <v>839</v>
      </c>
      <c r="AK239">
        <v>0.50413763066202</v>
      </c>
      <c r="AL239">
        <v>0.553257542596167</v>
      </c>
      <c r="AM239">
        <v>140</v>
      </c>
      <c r="AN239">
        <v>0.47435897435897401</v>
      </c>
      <c r="AO239">
        <v>0.52857142857142803</v>
      </c>
      <c r="AP239">
        <v>0.5</v>
      </c>
      <c r="AQ239">
        <v>164</v>
      </c>
      <c r="AR239">
        <v>0.55405405405405395</v>
      </c>
      <c r="AS239">
        <v>0.5</v>
      </c>
      <c r="AT239">
        <v>0.52564102564102499</v>
      </c>
      <c r="AU239">
        <v>74</v>
      </c>
      <c r="AV239">
        <v>66</v>
      </c>
      <c r="AW239">
        <v>82</v>
      </c>
      <c r="AX239">
        <v>82</v>
      </c>
      <c r="AY239">
        <v>1000</v>
      </c>
      <c r="AZ239">
        <v>0.462276166456494</v>
      </c>
      <c r="BA239">
        <v>0.56170334295334201</v>
      </c>
      <c r="BB239">
        <v>0.46281337535014</v>
      </c>
      <c r="BC239">
        <v>0.56229798427100197</v>
      </c>
      <c r="BD239">
        <v>0.46061153199647797</v>
      </c>
      <c r="BE239">
        <v>0.56009029585814396</v>
      </c>
      <c r="BF239">
        <v>-7.4028751467769105E-2</v>
      </c>
      <c r="BG239">
        <v>0.12425775760956199</v>
      </c>
      <c r="BH239">
        <v>1000</v>
      </c>
      <c r="BI239">
        <v>0.46744685374149603</v>
      </c>
      <c r="BJ239">
        <v>0.57339050660914703</v>
      </c>
      <c r="BK239">
        <v>4</v>
      </c>
    </row>
    <row r="240" spans="1:63" x14ac:dyDescent="0.3">
      <c r="A240" t="s">
        <v>840</v>
      </c>
      <c r="B240" t="s">
        <v>109</v>
      </c>
      <c r="C240" t="s">
        <v>25</v>
      </c>
      <c r="D240" t="s">
        <v>66</v>
      </c>
      <c r="E240" t="s">
        <v>719</v>
      </c>
      <c r="F240">
        <v>8</v>
      </c>
      <c r="G240" t="s">
        <v>24</v>
      </c>
      <c r="H240" t="s">
        <v>36</v>
      </c>
      <c r="I240" t="s">
        <v>34</v>
      </c>
      <c r="J240" t="s">
        <v>689</v>
      </c>
      <c r="K240" t="s">
        <v>111</v>
      </c>
      <c r="L240">
        <v>10</v>
      </c>
      <c r="M240">
        <v>304</v>
      </c>
      <c r="N240">
        <v>42</v>
      </c>
      <c r="O240">
        <v>42</v>
      </c>
      <c r="P240" t="b">
        <v>1</v>
      </c>
      <c r="Q240" t="s">
        <v>112</v>
      </c>
      <c r="R240">
        <v>0.53373914606493</v>
      </c>
      <c r="S240">
        <v>42</v>
      </c>
      <c r="T240">
        <v>0</v>
      </c>
      <c r="U240" t="s">
        <v>841</v>
      </c>
      <c r="V240" t="s">
        <v>842</v>
      </c>
      <c r="W240">
        <v>0.19047619047618999</v>
      </c>
      <c r="X240" t="b">
        <v>0</v>
      </c>
      <c r="Y240">
        <v>284.57649279999299</v>
      </c>
      <c r="Z240">
        <v>14.698208399999199</v>
      </c>
      <c r="AA240">
        <v>5522.0696577999997</v>
      </c>
      <c r="AB240">
        <v>304</v>
      </c>
      <c r="AC240">
        <v>2</v>
      </c>
      <c r="AD240">
        <v>0.53618421052631504</v>
      </c>
      <c r="AE240">
        <v>0.53562717770034796</v>
      </c>
      <c r="AF240">
        <v>0.53541892184455497</v>
      </c>
      <c r="AG240">
        <v>0.53562717770034796</v>
      </c>
      <c r="AH240">
        <v>0.535052228525561</v>
      </c>
      <c r="AI240">
        <v>7.1045794316362307E-2</v>
      </c>
      <c r="AJ240" t="s">
        <v>843</v>
      </c>
      <c r="AK240">
        <v>0.53584494773519098</v>
      </c>
      <c r="AL240">
        <v>0.56637814029784195</v>
      </c>
      <c r="AM240">
        <v>140</v>
      </c>
      <c r="AN240">
        <v>0.49664429530201298</v>
      </c>
      <c r="AO240">
        <v>0.52857142857142803</v>
      </c>
      <c r="AP240">
        <v>0.51211072664359802</v>
      </c>
      <c r="AQ240">
        <v>164</v>
      </c>
      <c r="AR240">
        <v>0.57419354838709602</v>
      </c>
      <c r="AS240">
        <v>0.542682926829268</v>
      </c>
      <c r="AT240">
        <v>0.55799373040752298</v>
      </c>
      <c r="AU240">
        <v>74</v>
      </c>
      <c r="AV240">
        <v>66</v>
      </c>
      <c r="AW240">
        <v>75</v>
      </c>
      <c r="AX240">
        <v>89</v>
      </c>
      <c r="AY240">
        <v>1000</v>
      </c>
      <c r="AZ240">
        <v>0.48331070287539901</v>
      </c>
      <c r="BA240">
        <v>0.58940828785296695</v>
      </c>
      <c r="BB240">
        <v>0.48284689401319397</v>
      </c>
      <c r="BC240">
        <v>0.588532602370897</v>
      </c>
      <c r="BD240">
        <v>0.48102732119014702</v>
      </c>
      <c r="BE240">
        <v>0.58798716331387801</v>
      </c>
      <c r="BF240">
        <v>-3.4132732073932401E-2</v>
      </c>
      <c r="BG240">
        <v>0.17780051816019901</v>
      </c>
      <c r="BH240">
        <v>1000</v>
      </c>
      <c r="BI240">
        <v>0.48031891125352499</v>
      </c>
      <c r="BJ240">
        <v>0.59029265873015802</v>
      </c>
      <c r="BK240">
        <v>1</v>
      </c>
    </row>
    <row r="241" spans="1:63" x14ac:dyDescent="0.3">
      <c r="A241" t="s">
        <v>844</v>
      </c>
      <c r="B241" t="s">
        <v>109</v>
      </c>
      <c r="C241" t="s">
        <v>25</v>
      </c>
      <c r="D241" t="s">
        <v>66</v>
      </c>
      <c r="E241" t="s">
        <v>722</v>
      </c>
      <c r="F241">
        <v>9</v>
      </c>
      <c r="G241" t="s">
        <v>24</v>
      </c>
      <c r="H241" t="s">
        <v>36</v>
      </c>
      <c r="I241" t="s">
        <v>35</v>
      </c>
      <c r="J241" t="s">
        <v>689</v>
      </c>
      <c r="K241" t="s">
        <v>111</v>
      </c>
      <c r="L241">
        <v>10</v>
      </c>
      <c r="M241">
        <v>304</v>
      </c>
      <c r="N241">
        <v>42</v>
      </c>
      <c r="O241">
        <v>42</v>
      </c>
      <c r="P241" t="b">
        <v>1</v>
      </c>
      <c r="Q241" t="s">
        <v>112</v>
      </c>
      <c r="R241">
        <v>0.49691596150655298</v>
      </c>
      <c r="S241">
        <v>42</v>
      </c>
      <c r="T241">
        <v>0</v>
      </c>
      <c r="U241" t="s">
        <v>845</v>
      </c>
      <c r="V241" t="s">
        <v>842</v>
      </c>
      <c r="W241">
        <v>0.19047619047618999</v>
      </c>
      <c r="X241" t="b">
        <v>0</v>
      </c>
      <c r="Y241">
        <v>275.657263600021</v>
      </c>
      <c r="Z241">
        <v>13.908819999996901</v>
      </c>
      <c r="AA241">
        <v>5557.97589349999</v>
      </c>
      <c r="AB241">
        <v>304</v>
      </c>
      <c r="AC241">
        <v>2</v>
      </c>
      <c r="AD241">
        <v>0.51315789473684204</v>
      </c>
      <c r="AE241">
        <v>0.51219512195121897</v>
      </c>
      <c r="AF241">
        <v>0.51212751212751195</v>
      </c>
      <c r="AG241">
        <v>0.51219512195121897</v>
      </c>
      <c r="AH241">
        <v>0.51180555555555496</v>
      </c>
      <c r="AI241">
        <v>2.4322540110761699E-2</v>
      </c>
      <c r="AJ241" t="s">
        <v>846</v>
      </c>
      <c r="AK241">
        <v>0.51119337979094004</v>
      </c>
      <c r="AL241">
        <v>0.55724795979257102</v>
      </c>
      <c r="AM241">
        <v>140</v>
      </c>
      <c r="AN241">
        <v>0.47297297297297197</v>
      </c>
      <c r="AO241">
        <v>0.5</v>
      </c>
      <c r="AP241">
        <v>0.48611111111111099</v>
      </c>
      <c r="AQ241">
        <v>164</v>
      </c>
      <c r="AR241">
        <v>0.55128205128205099</v>
      </c>
      <c r="AS241">
        <v>0.52439024390243905</v>
      </c>
      <c r="AT241">
        <v>0.53749999999999998</v>
      </c>
      <c r="AU241">
        <v>70</v>
      </c>
      <c r="AV241">
        <v>70</v>
      </c>
      <c r="AW241">
        <v>78</v>
      </c>
      <c r="AX241">
        <v>86</v>
      </c>
      <c r="AY241">
        <v>1000</v>
      </c>
      <c r="AZ241">
        <v>0.46944342616546397</v>
      </c>
      <c r="BA241">
        <v>0.55485663082437198</v>
      </c>
      <c r="BB241">
        <v>0.46821850046255697</v>
      </c>
      <c r="BC241">
        <v>0.554108707034074</v>
      </c>
      <c r="BD241">
        <v>0.46652477657729702</v>
      </c>
      <c r="BE241">
        <v>0.551873259742926</v>
      </c>
      <c r="BF241">
        <v>-6.3539352501370203E-2</v>
      </c>
      <c r="BG241">
        <v>0.10762739340050401</v>
      </c>
      <c r="BH241">
        <v>1000</v>
      </c>
      <c r="BI241">
        <v>0.45180094349731698</v>
      </c>
      <c r="BJ241">
        <v>0.54120788050992696</v>
      </c>
      <c r="BK241">
        <v>7</v>
      </c>
    </row>
    <row r="242" spans="1:63" x14ac:dyDescent="0.3">
      <c r="A242" t="s">
        <v>847</v>
      </c>
      <c r="B242" t="s">
        <v>109</v>
      </c>
      <c r="C242" t="s">
        <v>37</v>
      </c>
      <c r="D242" t="s">
        <v>66</v>
      </c>
      <c r="E242" t="s">
        <v>688</v>
      </c>
      <c r="F242">
        <v>0</v>
      </c>
      <c r="G242" t="s">
        <v>24</v>
      </c>
      <c r="H242" t="s">
        <v>26</v>
      </c>
      <c r="I242" t="s">
        <v>27</v>
      </c>
      <c r="J242" t="s">
        <v>689</v>
      </c>
      <c r="K242" t="s">
        <v>111</v>
      </c>
      <c r="L242">
        <v>10</v>
      </c>
      <c r="M242">
        <v>278</v>
      </c>
      <c r="N242">
        <v>42</v>
      </c>
      <c r="O242">
        <v>42</v>
      </c>
      <c r="P242" t="b">
        <v>1</v>
      </c>
      <c r="Q242" t="s">
        <v>112</v>
      </c>
      <c r="R242">
        <v>0.50437781173075202</v>
      </c>
      <c r="S242">
        <v>42</v>
      </c>
      <c r="T242">
        <v>0</v>
      </c>
      <c r="U242" t="s">
        <v>848</v>
      </c>
      <c r="V242" t="s">
        <v>749</v>
      </c>
      <c r="W242">
        <v>0.16666666666666599</v>
      </c>
      <c r="X242" t="b">
        <v>0</v>
      </c>
      <c r="Y242">
        <v>889.20691469989401</v>
      </c>
      <c r="Z242">
        <v>29.888020599988501</v>
      </c>
      <c r="AA242">
        <v>8020.3274226999902</v>
      </c>
      <c r="AB242">
        <v>278</v>
      </c>
      <c r="AC242">
        <v>2</v>
      </c>
      <c r="AD242">
        <v>0.48201438848920802</v>
      </c>
      <c r="AE242">
        <v>0.47374458987328499</v>
      </c>
      <c r="AF242">
        <v>0.47299544113703401</v>
      </c>
      <c r="AG242">
        <v>0.47374458987328499</v>
      </c>
      <c r="AH242">
        <v>0.47215189873417701</v>
      </c>
      <c r="AI242">
        <v>-5.3254700008099502E-2</v>
      </c>
      <c r="AJ242" t="s">
        <v>849</v>
      </c>
      <c r="AK242">
        <v>0.463315429942118</v>
      </c>
      <c r="AL242">
        <v>0.45644280296878798</v>
      </c>
      <c r="AM242">
        <v>151</v>
      </c>
      <c r="AN242">
        <v>0.52121212121212102</v>
      </c>
      <c r="AO242">
        <v>0.56953642384105896</v>
      </c>
      <c r="AP242">
        <v>0.544303797468354</v>
      </c>
      <c r="AQ242">
        <v>127</v>
      </c>
      <c r="AR242">
        <v>0.42477876106194601</v>
      </c>
      <c r="AS242">
        <v>0.37795275590551097</v>
      </c>
      <c r="AT242">
        <v>0.4</v>
      </c>
      <c r="AU242">
        <v>86</v>
      </c>
      <c r="AV242">
        <v>65</v>
      </c>
      <c r="AW242">
        <v>79</v>
      </c>
      <c r="AX242">
        <v>48</v>
      </c>
      <c r="AY242">
        <v>1000</v>
      </c>
      <c r="AZ242">
        <v>0.39927990443466099</v>
      </c>
      <c r="BA242">
        <v>0.55883143580012595</v>
      </c>
      <c r="BB242">
        <v>0.39903340139042698</v>
      </c>
      <c r="BC242">
        <v>0.54765598800223503</v>
      </c>
      <c r="BD242">
        <v>0.38996911965419001</v>
      </c>
      <c r="BE242">
        <v>0.54329629620416697</v>
      </c>
      <c r="BF242">
        <v>-0.20722497527973599</v>
      </c>
      <c r="BG242">
        <v>9.6066820352909796E-2</v>
      </c>
      <c r="BH242">
        <v>1000</v>
      </c>
      <c r="BI242">
        <v>0.44001255800125599</v>
      </c>
      <c r="BJ242">
        <v>0.57595216104986902</v>
      </c>
      <c r="BK242">
        <v>4</v>
      </c>
    </row>
    <row r="243" spans="1:63" x14ac:dyDescent="0.3">
      <c r="A243" t="s">
        <v>850</v>
      </c>
      <c r="B243" t="s">
        <v>109</v>
      </c>
      <c r="C243" t="s">
        <v>37</v>
      </c>
      <c r="D243" t="s">
        <v>66</v>
      </c>
      <c r="E243" t="s">
        <v>693</v>
      </c>
      <c r="F243">
        <v>1</v>
      </c>
      <c r="G243" t="s">
        <v>24</v>
      </c>
      <c r="H243" t="s">
        <v>26</v>
      </c>
      <c r="I243" t="s">
        <v>32</v>
      </c>
      <c r="J243" t="s">
        <v>689</v>
      </c>
      <c r="K243" t="s">
        <v>111</v>
      </c>
      <c r="L243">
        <v>10</v>
      </c>
      <c r="M243">
        <v>278</v>
      </c>
      <c r="N243">
        <v>42</v>
      </c>
      <c r="O243">
        <v>42</v>
      </c>
      <c r="P243" t="b">
        <v>1</v>
      </c>
      <c r="Q243" t="s">
        <v>112</v>
      </c>
      <c r="R243">
        <v>0.50109869705457899</v>
      </c>
      <c r="S243">
        <v>42</v>
      </c>
      <c r="T243">
        <v>0</v>
      </c>
      <c r="U243" t="s">
        <v>851</v>
      </c>
      <c r="V243" t="s">
        <v>753</v>
      </c>
      <c r="W243">
        <v>0.16666666666666599</v>
      </c>
      <c r="X243" t="b">
        <v>0</v>
      </c>
      <c r="Y243">
        <v>783.10666710002602</v>
      </c>
      <c r="Z243">
        <v>33.566979000000998</v>
      </c>
      <c r="AA243">
        <v>8053.4463430999904</v>
      </c>
      <c r="AB243">
        <v>278</v>
      </c>
      <c r="AC243">
        <v>2</v>
      </c>
      <c r="AD243">
        <v>0.52877697841726601</v>
      </c>
      <c r="AE243">
        <v>0.534311936173541</v>
      </c>
      <c r="AF243">
        <v>0.53457335014712004</v>
      </c>
      <c r="AG243">
        <v>0.534311936173541</v>
      </c>
      <c r="AH243">
        <v>0.528624496822376</v>
      </c>
      <c r="AI243">
        <v>6.88847902966538E-2</v>
      </c>
      <c r="AJ243" t="s">
        <v>852</v>
      </c>
      <c r="AK243">
        <v>0.54247275381967897</v>
      </c>
      <c r="AL243">
        <v>0.480212622513707</v>
      </c>
      <c r="AM243">
        <v>151</v>
      </c>
      <c r="AN243">
        <v>0.58196721311475397</v>
      </c>
      <c r="AO243">
        <v>0.47019867549668798</v>
      </c>
      <c r="AP243">
        <v>0.52014652014651996</v>
      </c>
      <c r="AQ243">
        <v>127</v>
      </c>
      <c r="AR243">
        <v>0.487179487179487</v>
      </c>
      <c r="AS243">
        <v>0.59842519685039297</v>
      </c>
      <c r="AT243">
        <v>0.53710247349823304</v>
      </c>
      <c r="AU243">
        <v>71</v>
      </c>
      <c r="AV243">
        <v>80</v>
      </c>
      <c r="AW243">
        <v>51</v>
      </c>
      <c r="AX243">
        <v>76</v>
      </c>
      <c r="AY243">
        <v>1000</v>
      </c>
      <c r="AZ243">
        <v>0.45229681978798503</v>
      </c>
      <c r="BA243">
        <v>0.61112637362637301</v>
      </c>
      <c r="BB243">
        <v>0.46247354493128001</v>
      </c>
      <c r="BC243">
        <v>0.61393218194243704</v>
      </c>
      <c r="BD243">
        <v>0.44909202644212498</v>
      </c>
      <c r="BE243">
        <v>0.607933289490312</v>
      </c>
      <c r="BF243">
        <v>-7.4514034029174503E-2</v>
      </c>
      <c r="BG243">
        <v>0.22938582952832801</v>
      </c>
      <c r="BH243">
        <v>1000</v>
      </c>
      <c r="BI243">
        <v>0.43136261342347498</v>
      </c>
      <c r="BJ243">
        <v>0.57637637138188602</v>
      </c>
      <c r="BK243">
        <v>7</v>
      </c>
    </row>
    <row r="244" spans="1:63" x14ac:dyDescent="0.3">
      <c r="A244" t="s">
        <v>853</v>
      </c>
      <c r="B244" t="s">
        <v>109</v>
      </c>
      <c r="C244" t="s">
        <v>37</v>
      </c>
      <c r="D244" t="s">
        <v>66</v>
      </c>
      <c r="E244" t="s">
        <v>697</v>
      </c>
      <c r="F244">
        <v>2</v>
      </c>
      <c r="G244" t="s">
        <v>24</v>
      </c>
      <c r="H244" t="s">
        <v>26</v>
      </c>
      <c r="I244" t="s">
        <v>33</v>
      </c>
      <c r="J244" t="s">
        <v>689</v>
      </c>
      <c r="K244" t="s">
        <v>111</v>
      </c>
      <c r="L244">
        <v>10</v>
      </c>
      <c r="M244">
        <v>278</v>
      </c>
      <c r="N244">
        <v>42</v>
      </c>
      <c r="O244">
        <v>42</v>
      </c>
      <c r="P244" t="b">
        <v>1</v>
      </c>
      <c r="Q244" t="s">
        <v>112</v>
      </c>
      <c r="R244">
        <v>0.47456550802139003</v>
      </c>
      <c r="S244">
        <v>42</v>
      </c>
      <c r="T244">
        <v>0</v>
      </c>
      <c r="U244" t="s">
        <v>854</v>
      </c>
      <c r="V244" t="s">
        <v>764</v>
      </c>
      <c r="W244">
        <v>0.16666666666666599</v>
      </c>
      <c r="X244" t="b">
        <v>0</v>
      </c>
      <c r="Y244">
        <v>721.875423200113</v>
      </c>
      <c r="Z244">
        <v>26.047245900001101</v>
      </c>
      <c r="AA244">
        <v>8088.7429157999904</v>
      </c>
      <c r="AB244">
        <v>278</v>
      </c>
      <c r="AC244">
        <v>2</v>
      </c>
      <c r="AD244">
        <v>0.49640287769784103</v>
      </c>
      <c r="AE244">
        <v>0.50013036449913895</v>
      </c>
      <c r="AF244">
        <v>0.50013036449913895</v>
      </c>
      <c r="AG244">
        <v>0.50013036449913895</v>
      </c>
      <c r="AH244">
        <v>0.49640287769784103</v>
      </c>
      <c r="AI244">
        <v>2.6072899827918799E-4</v>
      </c>
      <c r="AJ244" t="s">
        <v>855</v>
      </c>
      <c r="AK244">
        <v>0.52333524534598697</v>
      </c>
      <c r="AL244">
        <v>0.50448963263957103</v>
      </c>
      <c r="AM244">
        <v>151</v>
      </c>
      <c r="AN244">
        <v>0.54330708661417304</v>
      </c>
      <c r="AO244">
        <v>0.45695364238410502</v>
      </c>
      <c r="AP244">
        <v>0.49640287769784103</v>
      </c>
      <c r="AQ244">
        <v>127</v>
      </c>
      <c r="AR244">
        <v>0.45695364238410502</v>
      </c>
      <c r="AS244">
        <v>0.54330708661417304</v>
      </c>
      <c r="AT244">
        <v>0.49640287769784103</v>
      </c>
      <c r="AU244">
        <v>69</v>
      </c>
      <c r="AV244">
        <v>82</v>
      </c>
      <c r="AW244">
        <v>58</v>
      </c>
      <c r="AX244">
        <v>69</v>
      </c>
      <c r="AY244">
        <v>1000</v>
      </c>
      <c r="AZ244">
        <v>0.42605474907204899</v>
      </c>
      <c r="BA244">
        <v>0.57520756396290995</v>
      </c>
      <c r="BB244">
        <v>0.42802456364448699</v>
      </c>
      <c r="BC244">
        <v>0.57788629902684796</v>
      </c>
      <c r="BD244">
        <v>0.421644281599731</v>
      </c>
      <c r="BE244">
        <v>0.57446781657756896</v>
      </c>
      <c r="BF244">
        <v>-0.14417234263397199</v>
      </c>
      <c r="BG244">
        <v>0.15723203665039101</v>
      </c>
      <c r="BH244">
        <v>1000</v>
      </c>
      <c r="BI244">
        <v>0.415746034632547</v>
      </c>
      <c r="BJ244">
        <v>0.535344258513064</v>
      </c>
      <c r="BK244">
        <v>8</v>
      </c>
    </row>
    <row r="245" spans="1:63" x14ac:dyDescent="0.3">
      <c r="A245" t="s">
        <v>856</v>
      </c>
      <c r="B245" t="s">
        <v>109</v>
      </c>
      <c r="C245" t="s">
        <v>37</v>
      </c>
      <c r="D245" t="s">
        <v>66</v>
      </c>
      <c r="E245" t="s">
        <v>700</v>
      </c>
      <c r="F245">
        <v>3</v>
      </c>
      <c r="G245" t="s">
        <v>24</v>
      </c>
      <c r="H245" t="s">
        <v>26</v>
      </c>
      <c r="I245" t="s">
        <v>34</v>
      </c>
      <c r="J245" t="s">
        <v>689</v>
      </c>
      <c r="K245" t="s">
        <v>111</v>
      </c>
      <c r="L245">
        <v>10</v>
      </c>
      <c r="M245">
        <v>278</v>
      </c>
      <c r="N245">
        <v>42</v>
      </c>
      <c r="O245">
        <v>42</v>
      </c>
      <c r="P245" t="b">
        <v>1</v>
      </c>
      <c r="Q245" t="s">
        <v>112</v>
      </c>
      <c r="R245">
        <v>0.472311879297173</v>
      </c>
      <c r="S245">
        <v>42</v>
      </c>
      <c r="T245">
        <v>0</v>
      </c>
      <c r="U245" t="s">
        <v>857</v>
      </c>
      <c r="V245" t="s">
        <v>858</v>
      </c>
      <c r="W245">
        <v>0.14285714285714199</v>
      </c>
      <c r="X245" t="b">
        <v>0</v>
      </c>
      <c r="Y245">
        <v>933.03162959999099</v>
      </c>
      <c r="Z245">
        <v>35.990205000001801</v>
      </c>
      <c r="AA245">
        <v>8123.8186088999901</v>
      </c>
      <c r="AB245">
        <v>278</v>
      </c>
      <c r="AC245">
        <v>2</v>
      </c>
      <c r="AD245">
        <v>0.44964028776978399</v>
      </c>
      <c r="AE245">
        <v>0.44269176617823403</v>
      </c>
      <c r="AF245">
        <v>0.44179025423728802</v>
      </c>
      <c r="AG245">
        <v>0.44269176617823403</v>
      </c>
      <c r="AH245">
        <v>0.44177439464531798</v>
      </c>
      <c r="AI245">
        <v>-0.11551446179375099</v>
      </c>
      <c r="AJ245" t="s">
        <v>859</v>
      </c>
      <c r="AK245">
        <v>0.45048756322678202</v>
      </c>
      <c r="AL245">
        <v>0.45699451249338402</v>
      </c>
      <c r="AM245">
        <v>151</v>
      </c>
      <c r="AN245">
        <v>0.49375000000000002</v>
      </c>
      <c r="AO245">
        <v>0.52317880794701899</v>
      </c>
      <c r="AP245">
        <v>0.50803858520900302</v>
      </c>
      <c r="AQ245">
        <v>127</v>
      </c>
      <c r="AR245">
        <v>0.38983050847457601</v>
      </c>
      <c r="AS245">
        <v>0.36220472440944801</v>
      </c>
      <c r="AT245">
        <v>0.37551020408163199</v>
      </c>
      <c r="AU245">
        <v>79</v>
      </c>
      <c r="AV245">
        <v>72</v>
      </c>
      <c r="AW245">
        <v>81</v>
      </c>
      <c r="AX245">
        <v>46</v>
      </c>
      <c r="AY245">
        <v>1000</v>
      </c>
      <c r="AZ245">
        <v>0.38042575806192802</v>
      </c>
      <c r="BA245">
        <v>0.518021836947403</v>
      </c>
      <c r="BB245">
        <v>0.37665949080245198</v>
      </c>
      <c r="BC245">
        <v>0.51110981096345098</v>
      </c>
      <c r="BD245">
        <v>0.37288191556561501</v>
      </c>
      <c r="BE245">
        <v>0.50582190864313603</v>
      </c>
      <c r="BF245">
        <v>-0.247595440403477</v>
      </c>
      <c r="BG245">
        <v>2.2605688769118299E-2</v>
      </c>
      <c r="BH245">
        <v>1000</v>
      </c>
      <c r="BI245">
        <v>0.421424093778619</v>
      </c>
      <c r="BJ245">
        <v>0.52127994155253798</v>
      </c>
      <c r="BK245">
        <v>9</v>
      </c>
    </row>
    <row r="246" spans="1:63" x14ac:dyDescent="0.3">
      <c r="A246" t="s">
        <v>860</v>
      </c>
      <c r="B246" t="s">
        <v>109</v>
      </c>
      <c r="C246" t="s">
        <v>37</v>
      </c>
      <c r="D246" t="s">
        <v>66</v>
      </c>
      <c r="E246" t="s">
        <v>704</v>
      </c>
      <c r="F246">
        <v>4</v>
      </c>
      <c r="G246" t="s">
        <v>24</v>
      </c>
      <c r="H246" t="s">
        <v>26</v>
      </c>
      <c r="I246" t="s">
        <v>35</v>
      </c>
      <c r="J246" t="s">
        <v>689</v>
      </c>
      <c r="K246" t="s">
        <v>111</v>
      </c>
      <c r="L246">
        <v>10</v>
      </c>
      <c r="M246">
        <v>278</v>
      </c>
      <c r="N246">
        <v>42</v>
      </c>
      <c r="O246">
        <v>42</v>
      </c>
      <c r="P246" t="b">
        <v>1</v>
      </c>
      <c r="Q246" t="s">
        <v>112</v>
      </c>
      <c r="R246">
        <v>0.51303741193446994</v>
      </c>
      <c r="S246">
        <v>42</v>
      </c>
      <c r="T246">
        <v>0</v>
      </c>
      <c r="U246" t="s">
        <v>861</v>
      </c>
      <c r="V246" t="s">
        <v>749</v>
      </c>
      <c r="W246">
        <v>0.16666666666666599</v>
      </c>
      <c r="X246" t="b">
        <v>0</v>
      </c>
      <c r="Y246">
        <v>867.74246349996201</v>
      </c>
      <c r="Z246">
        <v>30.180571799997701</v>
      </c>
      <c r="AA246">
        <v>8158.9486385999999</v>
      </c>
      <c r="AB246">
        <v>278</v>
      </c>
      <c r="AC246">
        <v>2</v>
      </c>
      <c r="AD246">
        <v>0.52877697841726601</v>
      </c>
      <c r="AE246">
        <v>0.52805444021484005</v>
      </c>
      <c r="AF246">
        <v>0.52785832642916297</v>
      </c>
      <c r="AG246">
        <v>0.52805444021484005</v>
      </c>
      <c r="AH246">
        <v>0.52740108228759697</v>
      </c>
      <c r="AI246">
        <v>5.5912422708821102E-2</v>
      </c>
      <c r="AJ246" t="s">
        <v>862</v>
      </c>
      <c r="AK246">
        <v>0.54627939719455598</v>
      </c>
      <c r="AL246">
        <v>0.49338641224726898</v>
      </c>
      <c r="AM246">
        <v>151</v>
      </c>
      <c r="AN246">
        <v>0.57042253521126696</v>
      </c>
      <c r="AO246">
        <v>0.53642384105960195</v>
      </c>
      <c r="AP246">
        <v>0.55290102389078499</v>
      </c>
      <c r="AQ246">
        <v>127</v>
      </c>
      <c r="AR246">
        <v>0.48529411764705799</v>
      </c>
      <c r="AS246">
        <v>0.51968503937007804</v>
      </c>
      <c r="AT246">
        <v>0.50190114068441005</v>
      </c>
      <c r="AU246">
        <v>81</v>
      </c>
      <c r="AV246">
        <v>70</v>
      </c>
      <c r="AW246">
        <v>61</v>
      </c>
      <c r="AX246">
        <v>66</v>
      </c>
      <c r="AY246">
        <v>1000</v>
      </c>
      <c r="AZ246">
        <v>0.45658443896259698</v>
      </c>
      <c r="BA246">
        <v>0.59780344962540499</v>
      </c>
      <c r="BB246">
        <v>0.45777948458004297</v>
      </c>
      <c r="BC246">
        <v>0.59499790443805001</v>
      </c>
      <c r="BD246">
        <v>0.45552319572407202</v>
      </c>
      <c r="BE246">
        <v>0.59227498826163405</v>
      </c>
      <c r="BF246">
        <v>-8.3853075286780404E-2</v>
      </c>
      <c r="BG246">
        <v>0.189556552268665</v>
      </c>
      <c r="BH246">
        <v>1000</v>
      </c>
      <c r="BI246">
        <v>0.45255165375560102</v>
      </c>
      <c r="BJ246">
        <v>0.57106431220689002</v>
      </c>
      <c r="BK246">
        <v>2</v>
      </c>
    </row>
    <row r="247" spans="1:63" x14ac:dyDescent="0.3">
      <c r="A247" t="s">
        <v>863</v>
      </c>
      <c r="B247" t="s">
        <v>109</v>
      </c>
      <c r="C247" t="s">
        <v>37</v>
      </c>
      <c r="D247" t="s">
        <v>66</v>
      </c>
      <c r="E247" t="s">
        <v>708</v>
      </c>
      <c r="F247">
        <v>5</v>
      </c>
      <c r="G247" t="s">
        <v>24</v>
      </c>
      <c r="H247" t="s">
        <v>36</v>
      </c>
      <c r="I247" t="s">
        <v>27</v>
      </c>
      <c r="J247" t="s">
        <v>689</v>
      </c>
      <c r="K247" t="s">
        <v>111</v>
      </c>
      <c r="L247">
        <v>10</v>
      </c>
      <c r="M247">
        <v>278</v>
      </c>
      <c r="N247">
        <v>42</v>
      </c>
      <c r="O247">
        <v>42</v>
      </c>
      <c r="P247" t="b">
        <v>1</v>
      </c>
      <c r="Q247" t="s">
        <v>112</v>
      </c>
      <c r="R247">
        <v>0.51224906629318401</v>
      </c>
      <c r="S247">
        <v>42</v>
      </c>
      <c r="T247">
        <v>0</v>
      </c>
      <c r="U247" t="s">
        <v>864</v>
      </c>
      <c r="V247" t="s">
        <v>753</v>
      </c>
      <c r="W247">
        <v>0.19047619047618999</v>
      </c>
      <c r="X247" t="b">
        <v>0</v>
      </c>
      <c r="Y247">
        <v>402.90033660002098</v>
      </c>
      <c r="Z247">
        <v>17.4522195000099</v>
      </c>
      <c r="AA247">
        <v>8194.1179945999993</v>
      </c>
      <c r="AB247">
        <v>278</v>
      </c>
      <c r="AC247">
        <v>2</v>
      </c>
      <c r="AD247">
        <v>0.48920863309352502</v>
      </c>
      <c r="AE247">
        <v>0.48537310319653698</v>
      </c>
      <c r="AF247">
        <v>0.48537310319653698</v>
      </c>
      <c r="AG247">
        <v>0.48537310319653698</v>
      </c>
      <c r="AH247">
        <v>0.48537310319653698</v>
      </c>
      <c r="AI247">
        <v>-2.9253793606924899E-2</v>
      </c>
      <c r="AJ247" t="s">
        <v>865</v>
      </c>
      <c r="AK247">
        <v>0.46670490691974698</v>
      </c>
      <c r="AL247">
        <v>0.45589646738425899</v>
      </c>
      <c r="AM247">
        <v>151</v>
      </c>
      <c r="AN247">
        <v>0.52980132450331097</v>
      </c>
      <c r="AO247">
        <v>0.52980132450331097</v>
      </c>
      <c r="AP247">
        <v>0.52980132450331097</v>
      </c>
      <c r="AQ247">
        <v>127</v>
      </c>
      <c r="AR247">
        <v>0.440944881889763</v>
      </c>
      <c r="AS247">
        <v>0.440944881889763</v>
      </c>
      <c r="AT247">
        <v>0.440944881889763</v>
      </c>
      <c r="AU247">
        <v>80</v>
      </c>
      <c r="AV247">
        <v>71</v>
      </c>
      <c r="AW247">
        <v>71</v>
      </c>
      <c r="AX247">
        <v>56</v>
      </c>
      <c r="AY247">
        <v>1000</v>
      </c>
      <c r="AZ247">
        <v>0.41809715990273899</v>
      </c>
      <c r="BA247">
        <v>0.55872938430337105</v>
      </c>
      <c r="BB247">
        <v>0.41577036145819501</v>
      </c>
      <c r="BC247">
        <v>0.55361596532992197</v>
      </c>
      <c r="BD247">
        <v>0.41210766557563699</v>
      </c>
      <c r="BE247">
        <v>0.55136035243308001</v>
      </c>
      <c r="BF247">
        <v>-0.16899036145191099</v>
      </c>
      <c r="BG247">
        <v>0.10575062849146</v>
      </c>
      <c r="BH247">
        <v>1000</v>
      </c>
      <c r="BI247">
        <v>0.43795707949372897</v>
      </c>
      <c r="BJ247">
        <v>0.58014531998879104</v>
      </c>
      <c r="BK247">
        <v>3</v>
      </c>
    </row>
    <row r="248" spans="1:63" x14ac:dyDescent="0.3">
      <c r="A248" t="s">
        <v>866</v>
      </c>
      <c r="B248" t="s">
        <v>109</v>
      </c>
      <c r="C248" t="s">
        <v>37</v>
      </c>
      <c r="D248" t="s">
        <v>66</v>
      </c>
      <c r="E248" t="s">
        <v>711</v>
      </c>
      <c r="F248">
        <v>6</v>
      </c>
      <c r="G248" t="s">
        <v>24</v>
      </c>
      <c r="H248" t="s">
        <v>36</v>
      </c>
      <c r="I248" t="s">
        <v>32</v>
      </c>
      <c r="J248" t="s">
        <v>689</v>
      </c>
      <c r="K248" t="s">
        <v>111</v>
      </c>
      <c r="L248">
        <v>10</v>
      </c>
      <c r="M248">
        <v>278</v>
      </c>
      <c r="N248">
        <v>42</v>
      </c>
      <c r="O248">
        <v>42</v>
      </c>
      <c r="P248" t="b">
        <v>1</v>
      </c>
      <c r="Q248" t="s">
        <v>112</v>
      </c>
      <c r="R248">
        <v>0.52921069943128696</v>
      </c>
      <c r="S248">
        <v>42</v>
      </c>
      <c r="T248">
        <v>0</v>
      </c>
      <c r="U248" t="s">
        <v>867</v>
      </c>
      <c r="V248" t="s">
        <v>764</v>
      </c>
      <c r="W248">
        <v>0.16666666666666599</v>
      </c>
      <c r="X248" t="b">
        <v>0</v>
      </c>
      <c r="Y248">
        <v>446.45137369992699</v>
      </c>
      <c r="Z248">
        <v>19.0056432999972</v>
      </c>
      <c r="AA248">
        <v>8229.1730391000001</v>
      </c>
      <c r="AB248">
        <v>278</v>
      </c>
      <c r="AC248">
        <v>2</v>
      </c>
      <c r="AD248">
        <v>0.53956834532374098</v>
      </c>
      <c r="AE248">
        <v>0.53173071909057701</v>
      </c>
      <c r="AF248">
        <v>0.53263609546795299</v>
      </c>
      <c r="AG248">
        <v>0.53173071909057701</v>
      </c>
      <c r="AH248">
        <v>0.53080168776371295</v>
      </c>
      <c r="AI248">
        <v>6.4360446782380398E-2</v>
      </c>
      <c r="AJ248" t="s">
        <v>868</v>
      </c>
      <c r="AK248">
        <v>0.55248474735359998</v>
      </c>
      <c r="AL248">
        <v>0.54516215130837198</v>
      </c>
      <c r="AM248">
        <v>151</v>
      </c>
      <c r="AN248">
        <v>0.56969696969696904</v>
      </c>
      <c r="AO248">
        <v>0.62251655629139002</v>
      </c>
      <c r="AP248">
        <v>0.594936708860759</v>
      </c>
      <c r="AQ248">
        <v>127</v>
      </c>
      <c r="AR248">
        <v>0.49557522123893799</v>
      </c>
      <c r="AS248">
        <v>0.440944881889763</v>
      </c>
      <c r="AT248">
        <v>0.46666666666666601</v>
      </c>
      <c r="AU248">
        <v>94</v>
      </c>
      <c r="AV248">
        <v>57</v>
      </c>
      <c r="AW248">
        <v>71</v>
      </c>
      <c r="AX248">
        <v>56</v>
      </c>
      <c r="AY248">
        <v>1000</v>
      </c>
      <c r="AZ248">
        <v>0.46594982078852998</v>
      </c>
      <c r="BA248">
        <v>0.60970156959933897</v>
      </c>
      <c r="BB248">
        <v>0.46454771407436801</v>
      </c>
      <c r="BC248">
        <v>0.59910143600576204</v>
      </c>
      <c r="BD248">
        <v>0.45874699082200698</v>
      </c>
      <c r="BE248">
        <v>0.59715440909255402</v>
      </c>
      <c r="BF248">
        <v>-7.1146293170659902E-2</v>
      </c>
      <c r="BG248">
        <v>0.19899868141913901</v>
      </c>
      <c r="BH248">
        <v>1000</v>
      </c>
      <c r="BI248">
        <v>0.45920718093684498</v>
      </c>
      <c r="BJ248">
        <v>0.59764563041125496</v>
      </c>
      <c r="BK248">
        <v>1</v>
      </c>
    </row>
    <row r="249" spans="1:63" x14ac:dyDescent="0.3">
      <c r="A249" t="s">
        <v>869</v>
      </c>
      <c r="B249" t="s">
        <v>109</v>
      </c>
      <c r="C249" t="s">
        <v>37</v>
      </c>
      <c r="D249" t="s">
        <v>66</v>
      </c>
      <c r="E249" t="s">
        <v>715</v>
      </c>
      <c r="F249">
        <v>7</v>
      </c>
      <c r="G249" t="s">
        <v>24</v>
      </c>
      <c r="H249" t="s">
        <v>36</v>
      </c>
      <c r="I249" t="s">
        <v>33</v>
      </c>
      <c r="J249" t="s">
        <v>689</v>
      </c>
      <c r="K249" t="s">
        <v>111</v>
      </c>
      <c r="L249">
        <v>10</v>
      </c>
      <c r="M249">
        <v>278</v>
      </c>
      <c r="N249">
        <v>42</v>
      </c>
      <c r="O249">
        <v>42</v>
      </c>
      <c r="P249" t="b">
        <v>1</v>
      </c>
      <c r="Q249" t="s">
        <v>112</v>
      </c>
      <c r="R249">
        <v>0.50274488583312105</v>
      </c>
      <c r="S249">
        <v>42</v>
      </c>
      <c r="T249">
        <v>0</v>
      </c>
      <c r="U249" t="s">
        <v>870</v>
      </c>
      <c r="V249" t="s">
        <v>842</v>
      </c>
      <c r="W249">
        <v>0.19047619047618999</v>
      </c>
      <c r="X249" t="b">
        <v>0</v>
      </c>
      <c r="Y249">
        <v>435.23058120010501</v>
      </c>
      <c r="Z249">
        <v>17.9830480999989</v>
      </c>
      <c r="AA249">
        <v>8264.4679441999997</v>
      </c>
      <c r="AB249">
        <v>278</v>
      </c>
      <c r="AC249">
        <v>2</v>
      </c>
      <c r="AD249">
        <v>0.48920863309352502</v>
      </c>
      <c r="AE249">
        <v>0.48537310319653698</v>
      </c>
      <c r="AF249">
        <v>0.48537310319653698</v>
      </c>
      <c r="AG249">
        <v>0.48537310319653698</v>
      </c>
      <c r="AH249">
        <v>0.48537310319653698</v>
      </c>
      <c r="AI249">
        <v>-2.9253793606924899E-2</v>
      </c>
      <c r="AJ249" t="s">
        <v>865</v>
      </c>
      <c r="AK249">
        <v>0.50357198727642405</v>
      </c>
      <c r="AL249">
        <v>0.47402192042689301</v>
      </c>
      <c r="AM249">
        <v>151</v>
      </c>
      <c r="AN249">
        <v>0.52980132450331097</v>
      </c>
      <c r="AO249">
        <v>0.52980132450331097</v>
      </c>
      <c r="AP249">
        <v>0.52980132450331097</v>
      </c>
      <c r="AQ249">
        <v>127</v>
      </c>
      <c r="AR249">
        <v>0.440944881889763</v>
      </c>
      <c r="AS249">
        <v>0.440944881889763</v>
      </c>
      <c r="AT249">
        <v>0.440944881889763</v>
      </c>
      <c r="AU249">
        <v>80</v>
      </c>
      <c r="AV249">
        <v>71</v>
      </c>
      <c r="AW249">
        <v>71</v>
      </c>
      <c r="AX249">
        <v>56</v>
      </c>
      <c r="AY249">
        <v>1000</v>
      </c>
      <c r="AZ249">
        <v>0.41542551742919298</v>
      </c>
      <c r="BA249">
        <v>0.55791288566243102</v>
      </c>
      <c r="BB249">
        <v>0.41622240914549802</v>
      </c>
      <c r="BC249">
        <v>0.54699405155825698</v>
      </c>
      <c r="BD249">
        <v>0.41343801446653</v>
      </c>
      <c r="BE249">
        <v>0.54607745577920297</v>
      </c>
      <c r="BF249">
        <v>-0.16581091218237201</v>
      </c>
      <c r="BG249">
        <v>9.4700763471305904E-2</v>
      </c>
      <c r="BH249">
        <v>1000</v>
      </c>
      <c r="BI249">
        <v>0.43533696709220898</v>
      </c>
      <c r="BJ249">
        <v>0.56685730047227201</v>
      </c>
      <c r="BK249">
        <v>5</v>
      </c>
    </row>
    <row r="250" spans="1:63" x14ac:dyDescent="0.3">
      <c r="A250" t="s">
        <v>871</v>
      </c>
      <c r="B250" t="s">
        <v>109</v>
      </c>
      <c r="C250" t="s">
        <v>37</v>
      </c>
      <c r="D250" t="s">
        <v>66</v>
      </c>
      <c r="E250" t="s">
        <v>719</v>
      </c>
      <c r="F250">
        <v>8</v>
      </c>
      <c r="G250" t="s">
        <v>24</v>
      </c>
      <c r="H250" t="s">
        <v>36</v>
      </c>
      <c r="I250" t="s">
        <v>34</v>
      </c>
      <c r="J250" t="s">
        <v>689</v>
      </c>
      <c r="K250" t="s">
        <v>111</v>
      </c>
      <c r="L250">
        <v>10</v>
      </c>
      <c r="M250">
        <v>278</v>
      </c>
      <c r="N250">
        <v>42</v>
      </c>
      <c r="O250">
        <v>42</v>
      </c>
      <c r="P250" t="b">
        <v>1</v>
      </c>
      <c r="Q250" t="s">
        <v>112</v>
      </c>
      <c r="R250">
        <v>0.46307083439436297</v>
      </c>
      <c r="S250">
        <v>42</v>
      </c>
      <c r="T250">
        <v>0</v>
      </c>
      <c r="U250" t="s">
        <v>872</v>
      </c>
      <c r="V250" t="s">
        <v>749</v>
      </c>
      <c r="W250">
        <v>0.16666666666666599</v>
      </c>
      <c r="X250" t="b">
        <v>0</v>
      </c>
      <c r="Y250">
        <v>462.06401599995598</v>
      </c>
      <c r="Z250">
        <v>21.048064999986298</v>
      </c>
      <c r="AA250">
        <v>8299.6134275999993</v>
      </c>
      <c r="AB250">
        <v>278</v>
      </c>
      <c r="AC250">
        <v>2</v>
      </c>
      <c r="AD250">
        <v>0.47482014388489202</v>
      </c>
      <c r="AE250">
        <v>0.47025082129634399</v>
      </c>
      <c r="AF250">
        <v>0.47016993464052198</v>
      </c>
      <c r="AG250">
        <v>0.47025082129634399</v>
      </c>
      <c r="AH250">
        <v>0.47018588137009099</v>
      </c>
      <c r="AI250">
        <v>-5.95791891559731E-2</v>
      </c>
      <c r="AJ250" t="s">
        <v>873</v>
      </c>
      <c r="AK250">
        <v>0.46576628252594199</v>
      </c>
      <c r="AL250">
        <v>0.45818705579465302</v>
      </c>
      <c r="AM250">
        <v>151</v>
      </c>
      <c r="AN250">
        <v>0.51633986928104503</v>
      </c>
      <c r="AO250">
        <v>0.52317880794701899</v>
      </c>
      <c r="AP250">
        <v>0.51973684210526305</v>
      </c>
      <c r="AQ250">
        <v>127</v>
      </c>
      <c r="AR250">
        <v>0.42399999999999999</v>
      </c>
      <c r="AS250">
        <v>0.41732283464566899</v>
      </c>
      <c r="AT250">
        <v>0.42063492063491997</v>
      </c>
      <c r="AU250">
        <v>79</v>
      </c>
      <c r="AV250">
        <v>72</v>
      </c>
      <c r="AW250">
        <v>74</v>
      </c>
      <c r="AX250">
        <v>53</v>
      </c>
      <c r="AY250">
        <v>1000</v>
      </c>
      <c r="AZ250">
        <v>0.404474615064502</v>
      </c>
      <c r="BA250">
        <v>0.53986043781245197</v>
      </c>
      <c r="BB250">
        <v>0.40338873202647202</v>
      </c>
      <c r="BC250">
        <v>0.537603455669315</v>
      </c>
      <c r="BD250">
        <v>0.40044695807851899</v>
      </c>
      <c r="BE250">
        <v>0.53492748170117899</v>
      </c>
      <c r="BF250">
        <v>-0.19407749420845399</v>
      </c>
      <c r="BG250">
        <v>7.4557303473914704E-2</v>
      </c>
      <c r="BH250">
        <v>1000</v>
      </c>
      <c r="BI250">
        <v>0.39144948913094002</v>
      </c>
      <c r="BJ250">
        <v>0.52941879480286702</v>
      </c>
      <c r="BK250">
        <v>10</v>
      </c>
    </row>
    <row r="251" spans="1:63" x14ac:dyDescent="0.3">
      <c r="A251" t="s">
        <v>874</v>
      </c>
      <c r="B251" t="s">
        <v>109</v>
      </c>
      <c r="C251" t="s">
        <v>37</v>
      </c>
      <c r="D251" t="s">
        <v>66</v>
      </c>
      <c r="E251" t="s">
        <v>722</v>
      </c>
      <c r="F251">
        <v>9</v>
      </c>
      <c r="G251" t="s">
        <v>24</v>
      </c>
      <c r="H251" t="s">
        <v>36</v>
      </c>
      <c r="I251" t="s">
        <v>35</v>
      </c>
      <c r="J251" t="s">
        <v>689</v>
      </c>
      <c r="K251" t="s">
        <v>111</v>
      </c>
      <c r="L251">
        <v>10</v>
      </c>
      <c r="M251">
        <v>278</v>
      </c>
      <c r="N251">
        <v>42</v>
      </c>
      <c r="O251">
        <v>42</v>
      </c>
      <c r="P251" t="b">
        <v>1</v>
      </c>
      <c r="Q251" t="s">
        <v>112</v>
      </c>
      <c r="R251">
        <v>0.50208121127238703</v>
      </c>
      <c r="S251">
        <v>42</v>
      </c>
      <c r="T251">
        <v>0</v>
      </c>
      <c r="U251" t="s">
        <v>875</v>
      </c>
      <c r="V251" t="s">
        <v>771</v>
      </c>
      <c r="W251">
        <v>0.14285714285714199</v>
      </c>
      <c r="X251" t="b">
        <v>0</v>
      </c>
      <c r="Y251">
        <v>449.644698200025</v>
      </c>
      <c r="Z251">
        <v>19.233198800007798</v>
      </c>
      <c r="AA251">
        <v>8338.8251660000005</v>
      </c>
      <c r="AB251">
        <v>278</v>
      </c>
      <c r="AC251">
        <v>2</v>
      </c>
      <c r="AD251">
        <v>0.47482014388489202</v>
      </c>
      <c r="AE251">
        <v>0.474005318871564</v>
      </c>
      <c r="AF251">
        <v>0.47419371538023503</v>
      </c>
      <c r="AG251">
        <v>0.474005318871564</v>
      </c>
      <c r="AH251">
        <v>0.47348484848484801</v>
      </c>
      <c r="AI251">
        <v>-5.1800623154569403E-2</v>
      </c>
      <c r="AJ251" t="s">
        <v>876</v>
      </c>
      <c r="AK251">
        <v>0.45893518277102702</v>
      </c>
      <c r="AL251">
        <v>0.41821618961032597</v>
      </c>
      <c r="AM251">
        <v>151</v>
      </c>
      <c r="AN251">
        <v>0.51773049645390001</v>
      </c>
      <c r="AO251">
        <v>0.48344370860927099</v>
      </c>
      <c r="AP251">
        <v>0.5</v>
      </c>
      <c r="AQ251">
        <v>127</v>
      </c>
      <c r="AR251">
        <v>0.43065693430656898</v>
      </c>
      <c r="AS251">
        <v>0.464566929133858</v>
      </c>
      <c r="AT251">
        <v>0.44696969696969602</v>
      </c>
      <c r="AU251">
        <v>73</v>
      </c>
      <c r="AV251">
        <v>78</v>
      </c>
      <c r="AW251">
        <v>68</v>
      </c>
      <c r="AX251">
        <v>59</v>
      </c>
      <c r="AY251">
        <v>1000</v>
      </c>
      <c r="AZ251">
        <v>0.40073033707865102</v>
      </c>
      <c r="BA251">
        <v>0.54199600011267202</v>
      </c>
      <c r="BB251">
        <v>0.40112476296213601</v>
      </c>
      <c r="BC251">
        <v>0.53866650621887502</v>
      </c>
      <c r="BD251">
        <v>0.40038616790706699</v>
      </c>
      <c r="BE251">
        <v>0.53564060188057805</v>
      </c>
      <c r="BF251">
        <v>-0.195557628212714</v>
      </c>
      <c r="BG251">
        <v>7.6204810719954205E-2</v>
      </c>
      <c r="BH251">
        <v>1000</v>
      </c>
      <c r="BI251">
        <v>0.44279218095066297</v>
      </c>
      <c r="BJ251">
        <v>0.55718296485260699</v>
      </c>
      <c r="BK251">
        <v>6</v>
      </c>
    </row>
    <row r="252" spans="1:63" x14ac:dyDescent="0.3">
      <c r="A252" t="s">
        <v>0</v>
      </c>
      <c r="B252" t="s">
        <v>69</v>
      </c>
      <c r="C252" t="s">
        <v>2</v>
      </c>
      <c r="D252" t="s">
        <v>70</v>
      </c>
      <c r="E252" t="s">
        <v>71</v>
      </c>
      <c r="F252" t="s">
        <v>72</v>
      </c>
      <c r="G252" t="s">
        <v>1</v>
      </c>
      <c r="H252" t="s">
        <v>3</v>
      </c>
      <c r="I252" t="s">
        <v>4</v>
      </c>
      <c r="J252" t="s">
        <v>5</v>
      </c>
      <c r="K252" t="s">
        <v>73</v>
      </c>
      <c r="L252" t="s">
        <v>74</v>
      </c>
      <c r="M252" t="s">
        <v>75</v>
      </c>
      <c r="N252" t="s">
        <v>6</v>
      </c>
      <c r="O252" t="s">
        <v>7</v>
      </c>
      <c r="P252" t="s">
        <v>8</v>
      </c>
      <c r="Q252" t="s">
        <v>76</v>
      </c>
      <c r="R252" t="s">
        <v>77</v>
      </c>
      <c r="S252" t="s">
        <v>78</v>
      </c>
      <c r="T252" t="s">
        <v>79</v>
      </c>
      <c r="U252" t="s">
        <v>80</v>
      </c>
      <c r="V252" t="s">
        <v>81</v>
      </c>
      <c r="W252" t="s">
        <v>82</v>
      </c>
      <c r="X252" t="s">
        <v>9</v>
      </c>
      <c r="Y252" t="s">
        <v>83</v>
      </c>
      <c r="Z252" t="s">
        <v>84</v>
      </c>
      <c r="AA252" t="s">
        <v>85</v>
      </c>
      <c r="AB252" t="s">
        <v>10</v>
      </c>
      <c r="AC252" t="s">
        <v>86</v>
      </c>
      <c r="AD252" t="s">
        <v>11</v>
      </c>
      <c r="AE252" t="s">
        <v>87</v>
      </c>
      <c r="AF252" t="s">
        <v>88</v>
      </c>
      <c r="AG252" t="s">
        <v>89</v>
      </c>
      <c r="AH252" t="s">
        <v>90</v>
      </c>
      <c r="AI252" t="s">
        <v>12</v>
      </c>
      <c r="AJ252" t="s">
        <v>91</v>
      </c>
      <c r="AK252" t="s">
        <v>17</v>
      </c>
      <c r="AL252" t="s">
        <v>18</v>
      </c>
      <c r="AM252" t="s">
        <v>92</v>
      </c>
      <c r="AN252" t="s">
        <v>93</v>
      </c>
      <c r="AO252" t="s">
        <v>94</v>
      </c>
      <c r="AP252" t="s">
        <v>95</v>
      </c>
      <c r="AQ252" t="s">
        <v>96</v>
      </c>
      <c r="AR252" t="s">
        <v>97</v>
      </c>
      <c r="AS252" t="s">
        <v>98</v>
      </c>
      <c r="AT252" t="s">
        <v>99</v>
      </c>
      <c r="AU252" t="s">
        <v>13</v>
      </c>
      <c r="AV252" t="s">
        <v>14</v>
      </c>
      <c r="AW252" t="s">
        <v>15</v>
      </c>
      <c r="AX252" t="s">
        <v>16</v>
      </c>
      <c r="AY252" t="s">
        <v>19</v>
      </c>
      <c r="AZ252" t="s">
        <v>107</v>
      </c>
    </row>
    <row r="253" spans="1:63" x14ac:dyDescent="0.3">
      <c r="A253" t="s">
        <v>877</v>
      </c>
      <c r="B253" t="s">
        <v>109</v>
      </c>
      <c r="C253" t="s">
        <v>25</v>
      </c>
      <c r="D253" t="s">
        <v>66</v>
      </c>
      <c r="E253" t="s">
        <v>878</v>
      </c>
      <c r="F253">
        <v>0</v>
      </c>
      <c r="G253" t="s">
        <v>24</v>
      </c>
      <c r="H253" t="s">
        <v>26</v>
      </c>
      <c r="I253" t="s">
        <v>27</v>
      </c>
      <c r="J253" t="s">
        <v>879</v>
      </c>
      <c r="K253" t="s">
        <v>111</v>
      </c>
      <c r="L253">
        <v>10</v>
      </c>
      <c r="M253">
        <v>304</v>
      </c>
      <c r="N253">
        <v>42</v>
      </c>
      <c r="O253">
        <v>42</v>
      </c>
      <c r="P253" t="b">
        <v>1</v>
      </c>
      <c r="Q253" t="s">
        <v>112</v>
      </c>
      <c r="R253">
        <v>0.49565496930479502</v>
      </c>
      <c r="S253">
        <v>42</v>
      </c>
      <c r="T253">
        <v>0</v>
      </c>
      <c r="U253" t="s">
        <v>880</v>
      </c>
      <c r="V253" t="s">
        <v>881</v>
      </c>
      <c r="W253">
        <v>1</v>
      </c>
      <c r="X253" t="b">
        <v>1</v>
      </c>
      <c r="Y253">
        <v>1249.3191420999501</v>
      </c>
      <c r="Z253">
        <v>541.20683170001905</v>
      </c>
      <c r="AA253">
        <v>14610.598342400001</v>
      </c>
      <c r="AB253">
        <v>304</v>
      </c>
      <c r="AC253">
        <v>2</v>
      </c>
      <c r="AD253">
        <v>0.49013157894736797</v>
      </c>
      <c r="AE253">
        <v>0.49137630662020898</v>
      </c>
      <c r="AF253">
        <v>0.491420772130508</v>
      </c>
      <c r="AG253">
        <v>0.49137630662020898</v>
      </c>
      <c r="AH253">
        <v>0.489861097578139</v>
      </c>
      <c r="AI253">
        <v>-1.7202863782737301E-2</v>
      </c>
      <c r="AJ253" t="s">
        <v>882</v>
      </c>
      <c r="AK253">
        <v>0.492987804878048</v>
      </c>
      <c r="AL253">
        <v>0.53987928694009601</v>
      </c>
      <c r="AM253">
        <v>140</v>
      </c>
      <c r="AN253">
        <v>0.452229299363057</v>
      </c>
      <c r="AO253">
        <v>0.50714285714285701</v>
      </c>
      <c r="AP253">
        <v>0.47811447811447799</v>
      </c>
      <c r="AQ253">
        <v>164</v>
      </c>
      <c r="AR253">
        <v>0.530612244897959</v>
      </c>
      <c r="AS253">
        <v>0.47560975609756001</v>
      </c>
      <c r="AT253">
        <v>0.50160771704179996</v>
      </c>
      <c r="AU253">
        <v>71</v>
      </c>
      <c r="AV253">
        <v>69</v>
      </c>
      <c r="AW253">
        <v>86</v>
      </c>
      <c r="AX253">
        <v>78</v>
      </c>
      <c r="AY253">
        <v>0</v>
      </c>
      <c r="AZ253">
        <v>9</v>
      </c>
    </row>
    <row r="254" spans="1:63" x14ac:dyDescent="0.3">
      <c r="A254" t="s">
        <v>883</v>
      </c>
      <c r="B254" t="s">
        <v>109</v>
      </c>
      <c r="C254" t="s">
        <v>25</v>
      </c>
      <c r="D254" t="s">
        <v>66</v>
      </c>
      <c r="E254" t="s">
        <v>884</v>
      </c>
      <c r="F254">
        <v>1</v>
      </c>
      <c r="G254" t="s">
        <v>24</v>
      </c>
      <c r="H254" t="s">
        <v>26</v>
      </c>
      <c r="I254" t="s">
        <v>32</v>
      </c>
      <c r="J254" t="s">
        <v>879</v>
      </c>
      <c r="K254" t="s">
        <v>111</v>
      </c>
      <c r="L254">
        <v>10</v>
      </c>
      <c r="M254">
        <v>304</v>
      </c>
      <c r="N254">
        <v>42</v>
      </c>
      <c r="O254">
        <v>42</v>
      </c>
      <c r="P254" t="b">
        <v>1</v>
      </c>
      <c r="Q254" t="s">
        <v>112</v>
      </c>
      <c r="R254">
        <v>0.51866876832033604</v>
      </c>
      <c r="S254">
        <v>42</v>
      </c>
      <c r="T254">
        <v>0</v>
      </c>
      <c r="U254" t="s">
        <v>880</v>
      </c>
      <c r="V254" t="s">
        <v>881</v>
      </c>
      <c r="W254">
        <v>1</v>
      </c>
      <c r="X254" t="b">
        <v>1</v>
      </c>
      <c r="Y254">
        <v>1468.7706903999699</v>
      </c>
      <c r="Z254">
        <v>614.01659260001497</v>
      </c>
      <c r="AA254">
        <v>14610.647187999901</v>
      </c>
      <c r="AB254">
        <v>304</v>
      </c>
      <c r="AC254">
        <v>2</v>
      </c>
      <c r="AD254">
        <v>0.51973684210526305</v>
      </c>
      <c r="AE254">
        <v>0.51515679442508699</v>
      </c>
      <c r="AF254">
        <v>0.515276558384547</v>
      </c>
      <c r="AG254">
        <v>0.51515679442508699</v>
      </c>
      <c r="AH254">
        <v>0.51501376808426902</v>
      </c>
      <c r="AI254">
        <v>3.0433117155982001E-2</v>
      </c>
      <c r="AJ254" t="s">
        <v>885</v>
      </c>
      <c r="AK254">
        <v>0.51576655052264797</v>
      </c>
      <c r="AL254">
        <v>0.52562393372975702</v>
      </c>
      <c r="AM254">
        <v>140</v>
      </c>
      <c r="AN254">
        <v>0.47761194029850701</v>
      </c>
      <c r="AO254">
        <v>0.45714285714285702</v>
      </c>
      <c r="AP254">
        <v>0.467153284671532</v>
      </c>
      <c r="AQ254">
        <v>164</v>
      </c>
      <c r="AR254">
        <v>0.55294117647058805</v>
      </c>
      <c r="AS254">
        <v>0.57317073170731703</v>
      </c>
      <c r="AT254">
        <v>0.56287425149700598</v>
      </c>
      <c r="AU254">
        <v>64</v>
      </c>
      <c r="AV254">
        <v>76</v>
      </c>
      <c r="AW254">
        <v>70</v>
      </c>
      <c r="AX254">
        <v>94</v>
      </c>
      <c r="AY254">
        <v>0</v>
      </c>
      <c r="AZ254">
        <v>8</v>
      </c>
    </row>
    <row r="255" spans="1:63" x14ac:dyDescent="0.3">
      <c r="A255" t="s">
        <v>886</v>
      </c>
      <c r="B255" t="s">
        <v>109</v>
      </c>
      <c r="C255" t="s">
        <v>25</v>
      </c>
      <c r="D255" t="s">
        <v>66</v>
      </c>
      <c r="E255" t="s">
        <v>887</v>
      </c>
      <c r="F255">
        <v>2</v>
      </c>
      <c r="G255" t="s">
        <v>24</v>
      </c>
      <c r="H255" t="s">
        <v>26</v>
      </c>
      <c r="I255" t="s">
        <v>33</v>
      </c>
      <c r="J255" t="s">
        <v>879</v>
      </c>
      <c r="K255" t="s">
        <v>111</v>
      </c>
      <c r="L255">
        <v>10</v>
      </c>
      <c r="M255">
        <v>304</v>
      </c>
      <c r="N255">
        <v>42</v>
      </c>
      <c r="O255">
        <v>42</v>
      </c>
      <c r="P255" t="b">
        <v>1</v>
      </c>
      <c r="Q255" t="s">
        <v>112</v>
      </c>
      <c r="R255">
        <v>0.45086485813837701</v>
      </c>
      <c r="S255">
        <v>42</v>
      </c>
      <c r="T255">
        <v>0</v>
      </c>
      <c r="U255" t="s">
        <v>880</v>
      </c>
      <c r="V255" t="s">
        <v>881</v>
      </c>
      <c r="W255">
        <v>1</v>
      </c>
      <c r="X255" t="b">
        <v>1</v>
      </c>
      <c r="Y255">
        <v>1230.2169968000201</v>
      </c>
      <c r="Z255">
        <v>552.36040429999002</v>
      </c>
      <c r="AA255">
        <v>14610.683065200001</v>
      </c>
      <c r="AB255">
        <v>304</v>
      </c>
      <c r="AC255">
        <v>2</v>
      </c>
      <c r="AD255">
        <v>0.45394736842105199</v>
      </c>
      <c r="AE255">
        <v>0.449477351916376</v>
      </c>
      <c r="AF255">
        <v>0.44922969187674999</v>
      </c>
      <c r="AG255">
        <v>0.449477351916376</v>
      </c>
      <c r="AH255">
        <v>0.44927536231884002</v>
      </c>
      <c r="AI255">
        <v>-0.101292653443535</v>
      </c>
      <c r="AJ255" t="s">
        <v>888</v>
      </c>
      <c r="AK255">
        <v>0.43719512195121901</v>
      </c>
      <c r="AL255">
        <v>0.49018513153221699</v>
      </c>
      <c r="AM255">
        <v>140</v>
      </c>
      <c r="AN255">
        <v>0.40441176470588203</v>
      </c>
      <c r="AO255">
        <v>0.39285714285714202</v>
      </c>
      <c r="AP255">
        <v>0.39855072463768099</v>
      </c>
      <c r="AQ255">
        <v>164</v>
      </c>
      <c r="AR255">
        <v>0.49404761904761901</v>
      </c>
      <c r="AS255">
        <v>0.50609756097560898</v>
      </c>
      <c r="AT255">
        <v>0.5</v>
      </c>
      <c r="AU255">
        <v>55</v>
      </c>
      <c r="AV255">
        <v>85</v>
      </c>
      <c r="AW255">
        <v>81</v>
      </c>
      <c r="AX255">
        <v>83</v>
      </c>
      <c r="AY255">
        <v>0</v>
      </c>
      <c r="AZ255">
        <v>10</v>
      </c>
    </row>
    <row r="256" spans="1:63" x14ac:dyDescent="0.3">
      <c r="A256" t="s">
        <v>889</v>
      </c>
      <c r="B256" t="s">
        <v>109</v>
      </c>
      <c r="C256" t="s">
        <v>25</v>
      </c>
      <c r="D256" t="s">
        <v>66</v>
      </c>
      <c r="E256" t="s">
        <v>890</v>
      </c>
      <c r="F256">
        <v>3</v>
      </c>
      <c r="G256" t="s">
        <v>24</v>
      </c>
      <c r="H256" t="s">
        <v>26</v>
      </c>
      <c r="I256" t="s">
        <v>34</v>
      </c>
      <c r="J256" t="s">
        <v>879</v>
      </c>
      <c r="K256" t="s">
        <v>111</v>
      </c>
      <c r="L256">
        <v>10</v>
      </c>
      <c r="M256">
        <v>304</v>
      </c>
      <c r="N256">
        <v>42</v>
      </c>
      <c r="O256">
        <v>42</v>
      </c>
      <c r="P256" t="b">
        <v>1</v>
      </c>
      <c r="Q256" t="s">
        <v>112</v>
      </c>
      <c r="R256">
        <v>0.52213373154139697</v>
      </c>
      <c r="S256">
        <v>42</v>
      </c>
      <c r="T256">
        <v>0</v>
      </c>
      <c r="U256" t="s">
        <v>880</v>
      </c>
      <c r="V256" t="s">
        <v>881</v>
      </c>
      <c r="W256">
        <v>1</v>
      </c>
      <c r="X256" t="b">
        <v>1</v>
      </c>
      <c r="Y256">
        <v>1211.65249840004</v>
      </c>
      <c r="Z256">
        <v>606.256814300006</v>
      </c>
      <c r="AA256">
        <v>14610.7269848</v>
      </c>
      <c r="AB256">
        <v>304</v>
      </c>
      <c r="AC256">
        <v>2</v>
      </c>
      <c r="AD256">
        <v>0.52302631578947301</v>
      </c>
      <c r="AE256">
        <v>0.52238675958188097</v>
      </c>
      <c r="AF256">
        <v>0.52225589954535601</v>
      </c>
      <c r="AG256">
        <v>0.52238675958188097</v>
      </c>
      <c r="AH256">
        <v>0.52186222082415801</v>
      </c>
      <c r="AI256">
        <v>4.4642467333264303E-2</v>
      </c>
      <c r="AJ256" t="s">
        <v>891</v>
      </c>
      <c r="AK256">
        <v>0.52765679442508695</v>
      </c>
      <c r="AL256">
        <v>0.55927929015383404</v>
      </c>
      <c r="AM256">
        <v>140</v>
      </c>
      <c r="AN256">
        <v>0.48322147651006703</v>
      </c>
      <c r="AO256">
        <v>0.51428571428571401</v>
      </c>
      <c r="AP256">
        <v>0.49826989619377099</v>
      </c>
      <c r="AQ256">
        <v>164</v>
      </c>
      <c r="AR256">
        <v>0.56129032258064504</v>
      </c>
      <c r="AS256">
        <v>0.53048780487804803</v>
      </c>
      <c r="AT256">
        <v>0.54545454545454497</v>
      </c>
      <c r="AU256">
        <v>72</v>
      </c>
      <c r="AV256">
        <v>68</v>
      </c>
      <c r="AW256">
        <v>77</v>
      </c>
      <c r="AX256">
        <v>87</v>
      </c>
      <c r="AY256">
        <v>0</v>
      </c>
      <c r="AZ256">
        <v>7</v>
      </c>
    </row>
    <row r="257" spans="1:52" x14ac:dyDescent="0.3">
      <c r="A257" t="s">
        <v>892</v>
      </c>
      <c r="B257" t="s">
        <v>109</v>
      </c>
      <c r="C257" t="s">
        <v>25</v>
      </c>
      <c r="D257" t="s">
        <v>66</v>
      </c>
      <c r="E257" t="s">
        <v>893</v>
      </c>
      <c r="F257">
        <v>4</v>
      </c>
      <c r="G257" t="s">
        <v>24</v>
      </c>
      <c r="H257" t="s">
        <v>26</v>
      </c>
      <c r="I257" t="s">
        <v>35</v>
      </c>
      <c r="J257" t="s">
        <v>879</v>
      </c>
      <c r="K257" t="s">
        <v>111</v>
      </c>
      <c r="L257">
        <v>10</v>
      </c>
      <c r="M257">
        <v>304</v>
      </c>
      <c r="N257">
        <v>42</v>
      </c>
      <c r="O257">
        <v>42</v>
      </c>
      <c r="P257" t="b">
        <v>1</v>
      </c>
      <c r="Q257" t="s">
        <v>112</v>
      </c>
      <c r="R257">
        <v>0.53242976052209401</v>
      </c>
      <c r="S257">
        <v>42</v>
      </c>
      <c r="T257">
        <v>0</v>
      </c>
      <c r="U257" t="s">
        <v>880</v>
      </c>
      <c r="V257" t="s">
        <v>881</v>
      </c>
      <c r="W257">
        <v>1</v>
      </c>
      <c r="X257" t="b">
        <v>1</v>
      </c>
      <c r="Y257">
        <v>1155.5311931999599</v>
      </c>
      <c r="Z257">
        <v>531.31572439999502</v>
      </c>
      <c r="AA257">
        <v>14610.7597288</v>
      </c>
      <c r="AB257">
        <v>304</v>
      </c>
      <c r="AC257">
        <v>2</v>
      </c>
      <c r="AD257">
        <v>0.51973684210526305</v>
      </c>
      <c r="AE257">
        <v>0.52770034843205504</v>
      </c>
      <c r="AF257">
        <v>0.52864348765988101</v>
      </c>
      <c r="AG257">
        <v>0.52770034843205504</v>
      </c>
      <c r="AH257">
        <v>0.51804717022108304</v>
      </c>
      <c r="AI257">
        <v>5.63359419372036E-2</v>
      </c>
      <c r="AJ257" t="s">
        <v>894</v>
      </c>
      <c r="AK257">
        <v>0.51040940766550502</v>
      </c>
      <c r="AL257">
        <v>0.55649537756466305</v>
      </c>
      <c r="AM257">
        <v>140</v>
      </c>
      <c r="AN257">
        <v>0.48351648351648302</v>
      </c>
      <c r="AO257">
        <v>0.628571428571428</v>
      </c>
      <c r="AP257">
        <v>0.54658385093167705</v>
      </c>
      <c r="AQ257">
        <v>164</v>
      </c>
      <c r="AR257">
        <v>0.57377049180327799</v>
      </c>
      <c r="AS257">
        <v>0.42682926829268197</v>
      </c>
      <c r="AT257">
        <v>0.48951048951048898</v>
      </c>
      <c r="AU257">
        <v>88</v>
      </c>
      <c r="AV257">
        <v>52</v>
      </c>
      <c r="AW257">
        <v>94</v>
      </c>
      <c r="AX257">
        <v>70</v>
      </c>
      <c r="AY257">
        <v>0</v>
      </c>
      <c r="AZ257">
        <v>5</v>
      </c>
    </row>
    <row r="258" spans="1:52" x14ac:dyDescent="0.3">
      <c r="A258" t="s">
        <v>895</v>
      </c>
      <c r="B258" t="s">
        <v>109</v>
      </c>
      <c r="C258" t="s">
        <v>25</v>
      </c>
      <c r="D258" t="s">
        <v>66</v>
      </c>
      <c r="E258" t="s">
        <v>896</v>
      </c>
      <c r="F258">
        <v>5</v>
      </c>
      <c r="G258" t="s">
        <v>24</v>
      </c>
      <c r="H258" t="s">
        <v>36</v>
      </c>
      <c r="I258" t="s">
        <v>27</v>
      </c>
      <c r="J258" t="s">
        <v>879</v>
      </c>
      <c r="K258" t="s">
        <v>111</v>
      </c>
      <c r="L258">
        <v>10</v>
      </c>
      <c r="M258">
        <v>304</v>
      </c>
      <c r="N258">
        <v>42</v>
      </c>
      <c r="O258">
        <v>42</v>
      </c>
      <c r="P258" t="b">
        <v>1</v>
      </c>
      <c r="Q258" t="s">
        <v>112</v>
      </c>
      <c r="R258">
        <v>0.56103299043194499</v>
      </c>
      <c r="S258">
        <v>42</v>
      </c>
      <c r="T258">
        <v>0</v>
      </c>
      <c r="U258" t="s">
        <v>880</v>
      </c>
      <c r="V258" t="s">
        <v>881</v>
      </c>
      <c r="W258">
        <v>1</v>
      </c>
      <c r="X258" t="b">
        <v>1</v>
      </c>
      <c r="Y258">
        <v>634.43334379998396</v>
      </c>
      <c r="Z258">
        <v>279.97283039998001</v>
      </c>
      <c r="AA258">
        <v>14610.7882073</v>
      </c>
      <c r="AB258">
        <v>304</v>
      </c>
      <c r="AC258">
        <v>2</v>
      </c>
      <c r="AD258">
        <v>0.54934210526315697</v>
      </c>
      <c r="AE258">
        <v>0.55043554006968598</v>
      </c>
      <c r="AF258">
        <v>0.55014072310023798</v>
      </c>
      <c r="AG258">
        <v>0.55043554006968598</v>
      </c>
      <c r="AH258">
        <v>0.54894676991390001</v>
      </c>
      <c r="AI258">
        <v>0.10057583107377401</v>
      </c>
      <c r="AJ258" t="s">
        <v>897</v>
      </c>
      <c r="AK258">
        <v>0.54568815331010401</v>
      </c>
      <c r="AL258">
        <v>0.58902748812691497</v>
      </c>
      <c r="AM258">
        <v>140</v>
      </c>
      <c r="AN258">
        <v>0.50967741935483801</v>
      </c>
      <c r="AO258">
        <v>0.56428571428571395</v>
      </c>
      <c r="AP258">
        <v>0.53559322033898304</v>
      </c>
      <c r="AQ258">
        <v>164</v>
      </c>
      <c r="AR258">
        <v>0.59060402684563695</v>
      </c>
      <c r="AS258">
        <v>0.53658536585365801</v>
      </c>
      <c r="AT258">
        <v>0.56230031948881698</v>
      </c>
      <c r="AU258">
        <v>79</v>
      </c>
      <c r="AV258">
        <v>61</v>
      </c>
      <c r="AW258">
        <v>76</v>
      </c>
      <c r="AX258">
        <v>88</v>
      </c>
      <c r="AY258">
        <v>0</v>
      </c>
      <c r="AZ258">
        <v>2</v>
      </c>
    </row>
    <row r="259" spans="1:52" x14ac:dyDescent="0.3">
      <c r="A259" t="s">
        <v>898</v>
      </c>
      <c r="B259" t="s">
        <v>109</v>
      </c>
      <c r="C259" t="s">
        <v>25</v>
      </c>
      <c r="D259" t="s">
        <v>66</v>
      </c>
      <c r="E259" t="s">
        <v>899</v>
      </c>
      <c r="F259">
        <v>6</v>
      </c>
      <c r="G259" t="s">
        <v>24</v>
      </c>
      <c r="H259" t="s">
        <v>36</v>
      </c>
      <c r="I259" t="s">
        <v>32</v>
      </c>
      <c r="J259" t="s">
        <v>879</v>
      </c>
      <c r="K259" t="s">
        <v>111</v>
      </c>
      <c r="L259">
        <v>10</v>
      </c>
      <c r="M259">
        <v>304</v>
      </c>
      <c r="N259">
        <v>42</v>
      </c>
      <c r="O259">
        <v>42</v>
      </c>
      <c r="P259" t="b">
        <v>1</v>
      </c>
      <c r="Q259" t="s">
        <v>112</v>
      </c>
      <c r="R259">
        <v>0.56078549305901204</v>
      </c>
      <c r="S259">
        <v>42</v>
      </c>
      <c r="T259">
        <v>0</v>
      </c>
      <c r="U259" t="s">
        <v>880</v>
      </c>
      <c r="V259" t="s">
        <v>881</v>
      </c>
      <c r="W259">
        <v>1</v>
      </c>
      <c r="X259" t="b">
        <v>1</v>
      </c>
      <c r="Y259">
        <v>745.045239700004</v>
      </c>
      <c r="Z259">
        <v>358.93032149997799</v>
      </c>
      <c r="AA259">
        <v>14610.817876700001</v>
      </c>
      <c r="AB259">
        <v>304</v>
      </c>
      <c r="AC259">
        <v>2</v>
      </c>
      <c r="AD259">
        <v>0.5625</v>
      </c>
      <c r="AE259">
        <v>0.56106271777003403</v>
      </c>
      <c r="AF259">
        <v>0.56081110388202104</v>
      </c>
      <c r="AG259">
        <v>0.56106271777003403</v>
      </c>
      <c r="AH259">
        <v>0.56078431372548998</v>
      </c>
      <c r="AI259">
        <v>0.12187356191778601</v>
      </c>
      <c r="AJ259" t="s">
        <v>900</v>
      </c>
      <c r="AK259">
        <v>0.56114982578397199</v>
      </c>
      <c r="AL259">
        <v>0.61292498662589401</v>
      </c>
      <c r="AM259">
        <v>140</v>
      </c>
      <c r="AN259">
        <v>0.52413793103448203</v>
      </c>
      <c r="AO259">
        <v>0.54285714285714204</v>
      </c>
      <c r="AP259">
        <v>0.53333333333333299</v>
      </c>
      <c r="AQ259">
        <v>164</v>
      </c>
      <c r="AR259">
        <v>0.59748427672955895</v>
      </c>
      <c r="AS259">
        <v>0.57926829268292601</v>
      </c>
      <c r="AT259">
        <v>0.58823529411764697</v>
      </c>
      <c r="AU259">
        <v>76</v>
      </c>
      <c r="AV259">
        <v>64</v>
      </c>
      <c r="AW259">
        <v>69</v>
      </c>
      <c r="AX259">
        <v>95</v>
      </c>
      <c r="AY259">
        <v>0</v>
      </c>
      <c r="AZ259">
        <v>3</v>
      </c>
    </row>
    <row r="260" spans="1:52" x14ac:dyDescent="0.3">
      <c r="A260" t="s">
        <v>901</v>
      </c>
      <c r="B260" t="s">
        <v>109</v>
      </c>
      <c r="C260" t="s">
        <v>25</v>
      </c>
      <c r="D260" t="s">
        <v>66</v>
      </c>
      <c r="E260" t="s">
        <v>902</v>
      </c>
      <c r="F260">
        <v>7</v>
      </c>
      <c r="G260" t="s">
        <v>24</v>
      </c>
      <c r="H260" t="s">
        <v>36</v>
      </c>
      <c r="I260" t="s">
        <v>33</v>
      </c>
      <c r="J260" t="s">
        <v>879</v>
      </c>
      <c r="K260" t="s">
        <v>111</v>
      </c>
      <c r="L260">
        <v>10</v>
      </c>
      <c r="M260">
        <v>304</v>
      </c>
      <c r="N260">
        <v>42</v>
      </c>
      <c r="O260">
        <v>42</v>
      </c>
      <c r="P260" t="b">
        <v>1</v>
      </c>
      <c r="Q260" t="s">
        <v>112</v>
      </c>
      <c r="R260">
        <v>0.54259720148221802</v>
      </c>
      <c r="S260">
        <v>42</v>
      </c>
      <c r="T260">
        <v>0</v>
      </c>
      <c r="U260" t="s">
        <v>880</v>
      </c>
      <c r="V260" t="s">
        <v>881</v>
      </c>
      <c r="W260">
        <v>1</v>
      </c>
      <c r="X260" t="b">
        <v>1</v>
      </c>
      <c r="Y260">
        <v>703.94875050002099</v>
      </c>
      <c r="Z260">
        <v>307.68901469998599</v>
      </c>
      <c r="AA260">
        <v>14610.8464663</v>
      </c>
      <c r="AB260">
        <v>304</v>
      </c>
      <c r="AC260">
        <v>2</v>
      </c>
      <c r="AD260">
        <v>0.54605263157894701</v>
      </c>
      <c r="AE260">
        <v>0.54006968641114905</v>
      </c>
      <c r="AF260">
        <v>0.54083806818181801</v>
      </c>
      <c r="AG260">
        <v>0.54006968641114905</v>
      </c>
      <c r="AH260">
        <v>0.53959613696224695</v>
      </c>
      <c r="AI260">
        <v>8.0904105845936103E-2</v>
      </c>
      <c r="AJ260" t="s">
        <v>903</v>
      </c>
      <c r="AK260">
        <v>0.55283101045296101</v>
      </c>
      <c r="AL260">
        <v>0.576668553810047</v>
      </c>
      <c r="AM260">
        <v>140</v>
      </c>
      <c r="AN260">
        <v>0.5078125</v>
      </c>
      <c r="AO260">
        <v>0.46428571428571402</v>
      </c>
      <c r="AP260">
        <v>0.48507462686567099</v>
      </c>
      <c r="AQ260">
        <v>164</v>
      </c>
      <c r="AR260">
        <v>0.57386363636363602</v>
      </c>
      <c r="AS260">
        <v>0.61585365853658502</v>
      </c>
      <c r="AT260">
        <v>0.59411764705882297</v>
      </c>
      <c r="AU260">
        <v>65</v>
      </c>
      <c r="AV260">
        <v>75</v>
      </c>
      <c r="AW260">
        <v>63</v>
      </c>
      <c r="AX260">
        <v>101</v>
      </c>
      <c r="AY260">
        <v>0</v>
      </c>
      <c r="AZ260">
        <v>4</v>
      </c>
    </row>
    <row r="261" spans="1:52" x14ac:dyDescent="0.3">
      <c r="A261" t="s">
        <v>904</v>
      </c>
      <c r="B261" t="s">
        <v>109</v>
      </c>
      <c r="C261" t="s">
        <v>25</v>
      </c>
      <c r="D261" t="s">
        <v>66</v>
      </c>
      <c r="E261" t="s">
        <v>905</v>
      </c>
      <c r="F261">
        <v>8</v>
      </c>
      <c r="G261" t="s">
        <v>24</v>
      </c>
      <c r="H261" t="s">
        <v>36</v>
      </c>
      <c r="I261" t="s">
        <v>34</v>
      </c>
      <c r="J261" t="s">
        <v>879</v>
      </c>
      <c r="K261" t="s">
        <v>111</v>
      </c>
      <c r="L261">
        <v>10</v>
      </c>
      <c r="M261">
        <v>304</v>
      </c>
      <c r="N261">
        <v>42</v>
      </c>
      <c r="O261">
        <v>42</v>
      </c>
      <c r="P261" t="b">
        <v>1</v>
      </c>
      <c r="Q261" t="s">
        <v>112</v>
      </c>
      <c r="R261">
        <v>0.52294397433770201</v>
      </c>
      <c r="S261">
        <v>42</v>
      </c>
      <c r="T261">
        <v>0</v>
      </c>
      <c r="U261" t="s">
        <v>880</v>
      </c>
      <c r="V261" t="s">
        <v>881</v>
      </c>
      <c r="W261">
        <v>1</v>
      </c>
      <c r="X261" t="b">
        <v>1</v>
      </c>
      <c r="Y261">
        <v>663.51231630005702</v>
      </c>
      <c r="Z261">
        <v>318.83299480003097</v>
      </c>
      <c r="AA261">
        <v>14610.876289600001</v>
      </c>
      <c r="AB261">
        <v>304</v>
      </c>
      <c r="AC261">
        <v>2</v>
      </c>
      <c r="AD261">
        <v>0.53618421052631504</v>
      </c>
      <c r="AE261">
        <v>0.53667247386759498</v>
      </c>
      <c r="AF261">
        <v>0.53644548327057096</v>
      </c>
      <c r="AG261">
        <v>0.53667247386759498</v>
      </c>
      <c r="AH261">
        <v>0.53557614171948598</v>
      </c>
      <c r="AI261">
        <v>7.3117604797529101E-2</v>
      </c>
      <c r="AJ261" t="s">
        <v>906</v>
      </c>
      <c r="AK261">
        <v>0.55862369337979001</v>
      </c>
      <c r="AL261">
        <v>0.59837143902726597</v>
      </c>
      <c r="AM261">
        <v>140</v>
      </c>
      <c r="AN261">
        <v>0.49673202614378997</v>
      </c>
      <c r="AO261">
        <v>0.54285714285714204</v>
      </c>
      <c r="AP261">
        <v>0.51877133105801998</v>
      </c>
      <c r="AQ261">
        <v>164</v>
      </c>
      <c r="AR261">
        <v>0.57615894039735005</v>
      </c>
      <c r="AS261">
        <v>0.53048780487804803</v>
      </c>
      <c r="AT261">
        <v>0.55238095238095197</v>
      </c>
      <c r="AU261">
        <v>76</v>
      </c>
      <c r="AV261">
        <v>64</v>
      </c>
      <c r="AW261">
        <v>77</v>
      </c>
      <c r="AX261">
        <v>87</v>
      </c>
      <c r="AY261">
        <v>0</v>
      </c>
      <c r="AZ261">
        <v>6</v>
      </c>
    </row>
    <row r="262" spans="1:52" x14ac:dyDescent="0.3">
      <c r="A262" t="s">
        <v>907</v>
      </c>
      <c r="B262" t="s">
        <v>109</v>
      </c>
      <c r="C262" t="s">
        <v>25</v>
      </c>
      <c r="D262" t="s">
        <v>66</v>
      </c>
      <c r="E262" t="s">
        <v>908</v>
      </c>
      <c r="F262">
        <v>9</v>
      </c>
      <c r="G262" t="s">
        <v>24</v>
      </c>
      <c r="H262" t="s">
        <v>36</v>
      </c>
      <c r="I262" t="s">
        <v>35</v>
      </c>
      <c r="J262" t="s">
        <v>879</v>
      </c>
      <c r="K262" t="s">
        <v>111</v>
      </c>
      <c r="L262">
        <v>10</v>
      </c>
      <c r="M262">
        <v>304</v>
      </c>
      <c r="N262">
        <v>42</v>
      </c>
      <c r="O262">
        <v>42</v>
      </c>
      <c r="P262" t="b">
        <v>1</v>
      </c>
      <c r="Q262" t="s">
        <v>112</v>
      </c>
      <c r="R262">
        <v>0.561625463193407</v>
      </c>
      <c r="S262">
        <v>42</v>
      </c>
      <c r="T262">
        <v>0</v>
      </c>
      <c r="U262" t="s">
        <v>880</v>
      </c>
      <c r="V262" t="s">
        <v>881</v>
      </c>
      <c r="W262">
        <v>1</v>
      </c>
      <c r="X262" t="b">
        <v>1</v>
      </c>
      <c r="Y262">
        <v>626.28986909997502</v>
      </c>
      <c r="Z262">
        <v>273.01486800001601</v>
      </c>
      <c r="AA262">
        <v>14610.9073916</v>
      </c>
      <c r="AB262">
        <v>304</v>
      </c>
      <c r="AC262">
        <v>2</v>
      </c>
      <c r="AD262">
        <v>0.54605263157894701</v>
      </c>
      <c r="AE262">
        <v>0.542682926829268</v>
      </c>
      <c r="AF262">
        <v>0.54277981491182103</v>
      </c>
      <c r="AG262">
        <v>0.542682926829268</v>
      </c>
      <c r="AH262">
        <v>0.54270765206017002</v>
      </c>
      <c r="AI262">
        <v>8.5462686820644798E-2</v>
      </c>
      <c r="AJ262" t="s">
        <v>909</v>
      </c>
      <c r="AK262">
        <v>0.54599303135888499</v>
      </c>
      <c r="AL262">
        <v>0.57095876442557603</v>
      </c>
      <c r="AM262">
        <v>140</v>
      </c>
      <c r="AN262">
        <v>0.50724637681159401</v>
      </c>
      <c r="AO262">
        <v>0.5</v>
      </c>
      <c r="AP262">
        <v>0.50359712230215803</v>
      </c>
      <c r="AQ262">
        <v>164</v>
      </c>
      <c r="AR262">
        <v>0.57831325301204795</v>
      </c>
      <c r="AS262">
        <v>0.585365853658536</v>
      </c>
      <c r="AT262">
        <v>0.58181818181818101</v>
      </c>
      <c r="AU262">
        <v>70</v>
      </c>
      <c r="AV262">
        <v>70</v>
      </c>
      <c r="AW262">
        <v>68</v>
      </c>
      <c r="AX262">
        <v>96</v>
      </c>
      <c r="AY262">
        <v>0</v>
      </c>
      <c r="AZ262">
        <v>1</v>
      </c>
    </row>
    <row r="263" spans="1:52" x14ac:dyDescent="0.3">
      <c r="A263" t="s">
        <v>910</v>
      </c>
      <c r="B263" t="s">
        <v>109</v>
      </c>
      <c r="C263" t="s">
        <v>37</v>
      </c>
      <c r="D263" t="s">
        <v>66</v>
      </c>
      <c r="E263" t="s">
        <v>878</v>
      </c>
      <c r="F263">
        <v>0</v>
      </c>
      <c r="G263" t="s">
        <v>24</v>
      </c>
      <c r="H263" t="s">
        <v>26</v>
      </c>
      <c r="I263" t="s">
        <v>27</v>
      </c>
      <c r="J263" t="s">
        <v>879</v>
      </c>
      <c r="K263" t="s">
        <v>111</v>
      </c>
      <c r="L263">
        <v>10</v>
      </c>
      <c r="M263">
        <v>278</v>
      </c>
      <c r="N263">
        <v>42</v>
      </c>
      <c r="O263">
        <v>42</v>
      </c>
      <c r="P263" t="b">
        <v>1</v>
      </c>
      <c r="Q263" t="s">
        <v>112</v>
      </c>
      <c r="R263">
        <v>0.48779868007809102</v>
      </c>
      <c r="S263">
        <v>42</v>
      </c>
      <c r="T263">
        <v>0</v>
      </c>
      <c r="U263" t="s">
        <v>880</v>
      </c>
      <c r="V263" t="s">
        <v>881</v>
      </c>
      <c r="W263">
        <v>1</v>
      </c>
      <c r="X263" t="b">
        <v>1</v>
      </c>
      <c r="Y263">
        <v>1028.1563318000201</v>
      </c>
      <c r="Z263">
        <v>469.80991670000299</v>
      </c>
      <c r="AA263">
        <v>12830.4973461999</v>
      </c>
      <c r="AB263">
        <v>278</v>
      </c>
      <c r="AC263">
        <v>2</v>
      </c>
      <c r="AD263">
        <v>0.46762589928057502</v>
      </c>
      <c r="AE263">
        <v>0.46613130312353301</v>
      </c>
      <c r="AF263">
        <v>0.46635586635586601</v>
      </c>
      <c r="AG263">
        <v>0.46613130312353301</v>
      </c>
      <c r="AH263">
        <v>0.46585657163628802</v>
      </c>
      <c r="AI263">
        <v>-6.7512457045037E-2</v>
      </c>
      <c r="AJ263" t="s">
        <v>911</v>
      </c>
      <c r="AK263">
        <v>0.43708609271523102</v>
      </c>
      <c r="AL263">
        <v>0.40700885228984901</v>
      </c>
      <c r="AM263">
        <v>151</v>
      </c>
      <c r="AN263">
        <v>0.51048951048950997</v>
      </c>
      <c r="AO263">
        <v>0.48344370860927099</v>
      </c>
      <c r="AP263">
        <v>0.49659863945578198</v>
      </c>
      <c r="AQ263">
        <v>127</v>
      </c>
      <c r="AR263">
        <v>0.422222222222222</v>
      </c>
      <c r="AS263">
        <v>0.44881889763779498</v>
      </c>
      <c r="AT263">
        <v>0.43511450381679301</v>
      </c>
      <c r="AU263">
        <v>73</v>
      </c>
      <c r="AV263">
        <v>78</v>
      </c>
      <c r="AW263">
        <v>70</v>
      </c>
      <c r="AX263">
        <v>57</v>
      </c>
      <c r="AY263">
        <v>0</v>
      </c>
      <c r="AZ263">
        <v>5</v>
      </c>
    </row>
    <row r="264" spans="1:52" x14ac:dyDescent="0.3">
      <c r="A264" t="s">
        <v>912</v>
      </c>
      <c r="B264" t="s">
        <v>109</v>
      </c>
      <c r="C264" t="s">
        <v>37</v>
      </c>
      <c r="D264" t="s">
        <v>66</v>
      </c>
      <c r="E264" t="s">
        <v>884</v>
      </c>
      <c r="F264">
        <v>1</v>
      </c>
      <c r="G264" t="s">
        <v>24</v>
      </c>
      <c r="H264" t="s">
        <v>26</v>
      </c>
      <c r="I264" t="s">
        <v>32</v>
      </c>
      <c r="J264" t="s">
        <v>879</v>
      </c>
      <c r="K264" t="s">
        <v>111</v>
      </c>
      <c r="L264">
        <v>10</v>
      </c>
      <c r="M264">
        <v>278</v>
      </c>
      <c r="N264">
        <v>42</v>
      </c>
      <c r="O264">
        <v>42</v>
      </c>
      <c r="P264" t="b">
        <v>1</v>
      </c>
      <c r="Q264" t="s">
        <v>112</v>
      </c>
      <c r="R264">
        <v>0.45278785756726903</v>
      </c>
      <c r="S264">
        <v>42</v>
      </c>
      <c r="T264">
        <v>0</v>
      </c>
      <c r="U264" t="s">
        <v>880</v>
      </c>
      <c r="V264" t="s">
        <v>881</v>
      </c>
      <c r="W264">
        <v>1</v>
      </c>
      <c r="X264" t="b">
        <v>1</v>
      </c>
      <c r="Y264">
        <v>1305.5463477000701</v>
      </c>
      <c r="Z264">
        <v>555.62014990000102</v>
      </c>
      <c r="AA264">
        <v>12830.522325399999</v>
      </c>
      <c r="AB264">
        <v>278</v>
      </c>
      <c r="AC264">
        <v>2</v>
      </c>
      <c r="AD264">
        <v>0.485611510791366</v>
      </c>
      <c r="AE264">
        <v>0.488319340877092</v>
      </c>
      <c r="AF264">
        <v>0.48835758835758802</v>
      </c>
      <c r="AG264">
        <v>0.488319340877092</v>
      </c>
      <c r="AH264">
        <v>0.48555160142348702</v>
      </c>
      <c r="AI264">
        <v>-2.3323039404295601E-2</v>
      </c>
      <c r="AJ264" t="s">
        <v>913</v>
      </c>
      <c r="AK264">
        <v>0.46472336653282498</v>
      </c>
      <c r="AL264">
        <v>0.46997028063159302</v>
      </c>
      <c r="AM264">
        <v>151</v>
      </c>
      <c r="AN264">
        <v>0.53076923076922999</v>
      </c>
      <c r="AO264">
        <v>0.45695364238410502</v>
      </c>
      <c r="AP264">
        <v>0.49110320284697501</v>
      </c>
      <c r="AQ264">
        <v>127</v>
      </c>
      <c r="AR264">
        <v>0.445945945945945</v>
      </c>
      <c r="AS264">
        <v>0.51968503937007804</v>
      </c>
      <c r="AT264">
        <v>0.48</v>
      </c>
      <c r="AU264">
        <v>69</v>
      </c>
      <c r="AV264">
        <v>82</v>
      </c>
      <c r="AW264">
        <v>61</v>
      </c>
      <c r="AX264">
        <v>66</v>
      </c>
      <c r="AY264">
        <v>0</v>
      </c>
      <c r="AZ264">
        <v>9</v>
      </c>
    </row>
    <row r="265" spans="1:52" x14ac:dyDescent="0.3">
      <c r="A265" t="s">
        <v>914</v>
      </c>
      <c r="B265" t="s">
        <v>109</v>
      </c>
      <c r="C265" t="s">
        <v>37</v>
      </c>
      <c r="D265" t="s">
        <v>66</v>
      </c>
      <c r="E265" t="s">
        <v>887</v>
      </c>
      <c r="F265">
        <v>2</v>
      </c>
      <c r="G265" t="s">
        <v>24</v>
      </c>
      <c r="H265" t="s">
        <v>26</v>
      </c>
      <c r="I265" t="s">
        <v>33</v>
      </c>
      <c r="J265" t="s">
        <v>879</v>
      </c>
      <c r="K265" t="s">
        <v>111</v>
      </c>
      <c r="L265">
        <v>10</v>
      </c>
      <c r="M265">
        <v>278</v>
      </c>
      <c r="N265">
        <v>42</v>
      </c>
      <c r="O265">
        <v>42</v>
      </c>
      <c r="P265" t="b">
        <v>1</v>
      </c>
      <c r="Q265" t="s">
        <v>112</v>
      </c>
      <c r="R265">
        <v>0.49886894151599998</v>
      </c>
      <c r="S265">
        <v>42</v>
      </c>
      <c r="T265">
        <v>0</v>
      </c>
      <c r="U265" t="s">
        <v>880</v>
      </c>
      <c r="V265" t="s">
        <v>881</v>
      </c>
      <c r="W265">
        <v>1</v>
      </c>
      <c r="X265" t="b">
        <v>1</v>
      </c>
      <c r="Y265">
        <v>1403.97372290005</v>
      </c>
      <c r="Z265">
        <v>693.51381789998402</v>
      </c>
      <c r="AA265">
        <v>12830.546735600001</v>
      </c>
      <c r="AB265">
        <v>278</v>
      </c>
      <c r="AC265">
        <v>2</v>
      </c>
      <c r="AD265">
        <v>0.56474820143884896</v>
      </c>
      <c r="AE265">
        <v>0.55616102622933705</v>
      </c>
      <c r="AF265">
        <v>0.55827922077921999</v>
      </c>
      <c r="AG265">
        <v>0.55616102622933705</v>
      </c>
      <c r="AH265">
        <v>0.555070565982831</v>
      </c>
      <c r="AI265">
        <v>0.114420642312602</v>
      </c>
      <c r="AJ265" t="s">
        <v>915</v>
      </c>
      <c r="AK265">
        <v>0.577410439589091</v>
      </c>
      <c r="AL265">
        <v>0.52983081702605495</v>
      </c>
      <c r="AM265">
        <v>151</v>
      </c>
      <c r="AN265">
        <v>0.58928571428571397</v>
      </c>
      <c r="AO265">
        <v>0.65562913907284703</v>
      </c>
      <c r="AP265">
        <v>0.62068965517241304</v>
      </c>
      <c r="AQ265">
        <v>127</v>
      </c>
      <c r="AR265">
        <v>0.527272727272727</v>
      </c>
      <c r="AS265">
        <v>0.45669291338582602</v>
      </c>
      <c r="AT265">
        <v>0.48945147679324802</v>
      </c>
      <c r="AU265">
        <v>99</v>
      </c>
      <c r="AV265">
        <v>52</v>
      </c>
      <c r="AW265">
        <v>69</v>
      </c>
      <c r="AX265">
        <v>58</v>
      </c>
      <c r="AY265">
        <v>0</v>
      </c>
      <c r="AZ265">
        <v>4</v>
      </c>
    </row>
    <row r="266" spans="1:52" x14ac:dyDescent="0.3">
      <c r="A266" t="s">
        <v>916</v>
      </c>
      <c r="B266" t="s">
        <v>109</v>
      </c>
      <c r="C266" t="s">
        <v>37</v>
      </c>
      <c r="D266" t="s">
        <v>66</v>
      </c>
      <c r="E266" t="s">
        <v>890</v>
      </c>
      <c r="F266">
        <v>3</v>
      </c>
      <c r="G266" t="s">
        <v>24</v>
      </c>
      <c r="H266" t="s">
        <v>26</v>
      </c>
      <c r="I266" t="s">
        <v>34</v>
      </c>
      <c r="J266" t="s">
        <v>879</v>
      </c>
      <c r="K266" t="s">
        <v>111</v>
      </c>
      <c r="L266">
        <v>10</v>
      </c>
      <c r="M266">
        <v>278</v>
      </c>
      <c r="N266">
        <v>42</v>
      </c>
      <c r="O266">
        <v>42</v>
      </c>
      <c r="P266" t="b">
        <v>1</v>
      </c>
      <c r="Q266" t="s">
        <v>112</v>
      </c>
      <c r="R266">
        <v>0.45875615397674202</v>
      </c>
      <c r="S266">
        <v>42</v>
      </c>
      <c r="T266">
        <v>0</v>
      </c>
      <c r="U266" t="s">
        <v>880</v>
      </c>
      <c r="V266" t="s">
        <v>881</v>
      </c>
      <c r="W266">
        <v>1</v>
      </c>
      <c r="X266" t="b">
        <v>1</v>
      </c>
      <c r="Y266">
        <v>1095.0753070999699</v>
      </c>
      <c r="Z266">
        <v>523.66336449999596</v>
      </c>
      <c r="AA266">
        <v>12830.572029999899</v>
      </c>
      <c r="AB266">
        <v>278</v>
      </c>
      <c r="AC266">
        <v>2</v>
      </c>
      <c r="AD266">
        <v>0.47122302158273299</v>
      </c>
      <c r="AE266">
        <v>0.465688063826458</v>
      </c>
      <c r="AF266">
        <v>0.46542664985287902</v>
      </c>
      <c r="AG266">
        <v>0.465688063826458</v>
      </c>
      <c r="AH266">
        <v>0.465405596326674</v>
      </c>
      <c r="AI266">
        <v>-6.88847902966538E-2</v>
      </c>
      <c r="AJ266" t="s">
        <v>917</v>
      </c>
      <c r="AK266">
        <v>0.44589873285706799</v>
      </c>
      <c r="AL266">
        <v>0.42177364434153097</v>
      </c>
      <c r="AM266">
        <v>151</v>
      </c>
      <c r="AN266">
        <v>0.512820512820512</v>
      </c>
      <c r="AO266">
        <v>0.52980132450331097</v>
      </c>
      <c r="AP266">
        <v>0.52117263843648198</v>
      </c>
      <c r="AQ266">
        <v>127</v>
      </c>
      <c r="AR266">
        <v>0.41803278688524498</v>
      </c>
      <c r="AS266">
        <v>0.40157480314960597</v>
      </c>
      <c r="AT266">
        <v>0.40963855421686701</v>
      </c>
      <c r="AU266">
        <v>80</v>
      </c>
      <c r="AV266">
        <v>71</v>
      </c>
      <c r="AW266">
        <v>76</v>
      </c>
      <c r="AX266">
        <v>51</v>
      </c>
      <c r="AY266">
        <v>0</v>
      </c>
      <c r="AZ266">
        <v>8</v>
      </c>
    </row>
    <row r="267" spans="1:52" x14ac:dyDescent="0.3">
      <c r="A267" t="s">
        <v>918</v>
      </c>
      <c r="B267" t="s">
        <v>109</v>
      </c>
      <c r="C267" t="s">
        <v>37</v>
      </c>
      <c r="D267" t="s">
        <v>66</v>
      </c>
      <c r="E267" t="s">
        <v>893</v>
      </c>
      <c r="F267">
        <v>4</v>
      </c>
      <c r="G267" t="s">
        <v>24</v>
      </c>
      <c r="H267" t="s">
        <v>26</v>
      </c>
      <c r="I267" t="s">
        <v>35</v>
      </c>
      <c r="J267" t="s">
        <v>879</v>
      </c>
      <c r="K267" t="s">
        <v>111</v>
      </c>
      <c r="L267">
        <v>10</v>
      </c>
      <c r="M267">
        <v>278</v>
      </c>
      <c r="N267">
        <v>42</v>
      </c>
      <c r="O267">
        <v>42</v>
      </c>
      <c r="P267" t="b">
        <v>1</v>
      </c>
      <c r="Q267" t="s">
        <v>112</v>
      </c>
      <c r="R267">
        <v>0.50011459129106095</v>
      </c>
      <c r="S267">
        <v>42</v>
      </c>
      <c r="T267">
        <v>0</v>
      </c>
      <c r="U267" t="s">
        <v>880</v>
      </c>
      <c r="V267" t="s">
        <v>881</v>
      </c>
      <c r="W267">
        <v>1</v>
      </c>
      <c r="X267" t="b">
        <v>1</v>
      </c>
      <c r="Y267">
        <v>1003.57600619998</v>
      </c>
      <c r="Z267">
        <v>535.84090889999004</v>
      </c>
      <c r="AA267">
        <v>12830.598542199999</v>
      </c>
      <c r="AB267">
        <v>278</v>
      </c>
      <c r="AC267">
        <v>2</v>
      </c>
      <c r="AD267">
        <v>0.46043165467625902</v>
      </c>
      <c r="AE267">
        <v>0.456380038587891</v>
      </c>
      <c r="AF267">
        <v>0.456380038587891</v>
      </c>
      <c r="AG267">
        <v>0.456380038587891</v>
      </c>
      <c r="AH267">
        <v>0.456380038587891</v>
      </c>
      <c r="AI267">
        <v>-8.7239922824216498E-2</v>
      </c>
      <c r="AJ267" t="s">
        <v>919</v>
      </c>
      <c r="AK267">
        <v>0.446941648850185</v>
      </c>
      <c r="AL267">
        <v>0.43065800995009201</v>
      </c>
      <c r="AM267">
        <v>151</v>
      </c>
      <c r="AN267">
        <v>0.50331125827814505</v>
      </c>
      <c r="AO267">
        <v>0.50331125827814505</v>
      </c>
      <c r="AP267">
        <v>0.50331125827814505</v>
      </c>
      <c r="AQ267">
        <v>127</v>
      </c>
      <c r="AR267">
        <v>0.40944881889763701</v>
      </c>
      <c r="AS267">
        <v>0.40944881889763701</v>
      </c>
      <c r="AT267">
        <v>0.40944881889763701</v>
      </c>
      <c r="AU267">
        <v>76</v>
      </c>
      <c r="AV267">
        <v>75</v>
      </c>
      <c r="AW267">
        <v>75</v>
      </c>
      <c r="AX267">
        <v>52</v>
      </c>
      <c r="AY267">
        <v>0</v>
      </c>
      <c r="AZ267">
        <v>3</v>
      </c>
    </row>
    <row r="268" spans="1:52" x14ac:dyDescent="0.3">
      <c r="A268" t="s">
        <v>920</v>
      </c>
      <c r="B268" t="s">
        <v>109</v>
      </c>
      <c r="C268" t="s">
        <v>37</v>
      </c>
      <c r="D268" t="s">
        <v>66</v>
      </c>
      <c r="E268" t="s">
        <v>896</v>
      </c>
      <c r="F268">
        <v>5</v>
      </c>
      <c r="G268" t="s">
        <v>24</v>
      </c>
      <c r="H268" t="s">
        <v>36</v>
      </c>
      <c r="I268" t="s">
        <v>27</v>
      </c>
      <c r="J268" t="s">
        <v>879</v>
      </c>
      <c r="K268" t="s">
        <v>111</v>
      </c>
      <c r="L268">
        <v>10</v>
      </c>
      <c r="M268">
        <v>278</v>
      </c>
      <c r="N268">
        <v>42</v>
      </c>
      <c r="O268">
        <v>42</v>
      </c>
      <c r="P268" t="b">
        <v>1</v>
      </c>
      <c r="Q268" t="s">
        <v>112</v>
      </c>
      <c r="R268">
        <v>0.43984275528393102</v>
      </c>
      <c r="S268">
        <v>42</v>
      </c>
      <c r="T268">
        <v>0</v>
      </c>
      <c r="U268" t="s">
        <v>880</v>
      </c>
      <c r="V268" t="s">
        <v>881</v>
      </c>
      <c r="W268">
        <v>1</v>
      </c>
      <c r="X268" t="b">
        <v>1</v>
      </c>
      <c r="Y268">
        <v>505.53673089999199</v>
      </c>
      <c r="Z268">
        <v>209.45801990000399</v>
      </c>
      <c r="AA268">
        <v>12830.6252182999</v>
      </c>
      <c r="AB268">
        <v>278</v>
      </c>
      <c r="AC268">
        <v>2</v>
      </c>
      <c r="AD268">
        <v>0.42805755395683398</v>
      </c>
      <c r="AE268">
        <v>0.42344996610523</v>
      </c>
      <c r="AF268">
        <v>0.42335004177109398</v>
      </c>
      <c r="AG268">
        <v>0.42344996610523</v>
      </c>
      <c r="AH268">
        <v>0.423394513364379</v>
      </c>
      <c r="AI268">
        <v>-0.15319995953596599</v>
      </c>
      <c r="AJ268" t="s">
        <v>921</v>
      </c>
      <c r="AK268">
        <v>0.38170725348073198</v>
      </c>
      <c r="AL268">
        <v>0.384108586470082</v>
      </c>
      <c r="AM268">
        <v>151</v>
      </c>
      <c r="AN268">
        <v>0.47368421052631499</v>
      </c>
      <c r="AO268">
        <v>0.47682119205298001</v>
      </c>
      <c r="AP268">
        <v>0.475247524752475</v>
      </c>
      <c r="AQ268">
        <v>127</v>
      </c>
      <c r="AR268">
        <v>0.37301587301587302</v>
      </c>
      <c r="AS268">
        <v>0.37007874015747999</v>
      </c>
      <c r="AT268">
        <v>0.37154150197628399</v>
      </c>
      <c r="AU268">
        <v>72</v>
      </c>
      <c r="AV268">
        <v>79</v>
      </c>
      <c r="AW268">
        <v>80</v>
      </c>
      <c r="AX268">
        <v>47</v>
      </c>
      <c r="AY268">
        <v>0</v>
      </c>
      <c r="AZ268">
        <v>10</v>
      </c>
    </row>
    <row r="269" spans="1:52" x14ac:dyDescent="0.3">
      <c r="A269" t="s">
        <v>922</v>
      </c>
      <c r="B269" t="s">
        <v>109</v>
      </c>
      <c r="C269" t="s">
        <v>37</v>
      </c>
      <c r="D269" t="s">
        <v>66</v>
      </c>
      <c r="E269" t="s">
        <v>899</v>
      </c>
      <c r="F269">
        <v>6</v>
      </c>
      <c r="G269" t="s">
        <v>24</v>
      </c>
      <c r="H269" t="s">
        <v>36</v>
      </c>
      <c r="I269" t="s">
        <v>32</v>
      </c>
      <c r="J269" t="s">
        <v>879</v>
      </c>
      <c r="K269" t="s">
        <v>111</v>
      </c>
      <c r="L269">
        <v>10</v>
      </c>
      <c r="M269">
        <v>278</v>
      </c>
      <c r="N269">
        <v>42</v>
      </c>
      <c r="O269">
        <v>42</v>
      </c>
      <c r="P269" t="b">
        <v>1</v>
      </c>
      <c r="Q269" t="s">
        <v>112</v>
      </c>
      <c r="R269">
        <v>0.47066516000339498</v>
      </c>
      <c r="S269">
        <v>42</v>
      </c>
      <c r="T269">
        <v>0</v>
      </c>
      <c r="U269" t="s">
        <v>880</v>
      </c>
      <c r="V269" t="s">
        <v>881</v>
      </c>
      <c r="W269">
        <v>1</v>
      </c>
      <c r="X269" t="b">
        <v>1</v>
      </c>
      <c r="Y269">
        <v>557.99575249996997</v>
      </c>
      <c r="Z269">
        <v>264.69098990001601</v>
      </c>
      <c r="AA269">
        <v>12830.6500578999</v>
      </c>
      <c r="AB269">
        <v>278</v>
      </c>
      <c r="AC269">
        <v>2</v>
      </c>
      <c r="AD269">
        <v>0.45683453237409999</v>
      </c>
      <c r="AE269">
        <v>0.45494602909735599</v>
      </c>
      <c r="AF269">
        <v>0.45522388059701402</v>
      </c>
      <c r="AG269">
        <v>0.45494602909735599</v>
      </c>
      <c r="AH269">
        <v>0.45479576595882798</v>
      </c>
      <c r="AI269">
        <v>-8.9829660596384101E-2</v>
      </c>
      <c r="AJ269" t="s">
        <v>923</v>
      </c>
      <c r="AK269">
        <v>0.48808468477864098</v>
      </c>
      <c r="AL269">
        <v>0.43258951500959097</v>
      </c>
      <c r="AM269">
        <v>151</v>
      </c>
      <c r="AN269">
        <v>0.5</v>
      </c>
      <c r="AO269">
        <v>0.47682119205298001</v>
      </c>
      <c r="AP269">
        <v>0.488135593220339</v>
      </c>
      <c r="AQ269">
        <v>127</v>
      </c>
      <c r="AR269">
        <v>0.41044776119402898</v>
      </c>
      <c r="AS269">
        <v>0.43307086614173201</v>
      </c>
      <c r="AT269">
        <v>0.42145593869731801</v>
      </c>
      <c r="AU269">
        <v>72</v>
      </c>
      <c r="AV269">
        <v>79</v>
      </c>
      <c r="AW269">
        <v>72</v>
      </c>
      <c r="AX269">
        <v>55</v>
      </c>
      <c r="AY269">
        <v>0</v>
      </c>
      <c r="AZ269">
        <v>7</v>
      </c>
    </row>
    <row r="270" spans="1:52" x14ac:dyDescent="0.3">
      <c r="A270" t="s">
        <v>924</v>
      </c>
      <c r="B270" t="s">
        <v>109</v>
      </c>
      <c r="C270" t="s">
        <v>37</v>
      </c>
      <c r="D270" t="s">
        <v>66</v>
      </c>
      <c r="E270" t="s">
        <v>902</v>
      </c>
      <c r="F270">
        <v>7</v>
      </c>
      <c r="G270" t="s">
        <v>24</v>
      </c>
      <c r="H270" t="s">
        <v>36</v>
      </c>
      <c r="I270" t="s">
        <v>33</v>
      </c>
      <c r="J270" t="s">
        <v>879</v>
      </c>
      <c r="K270" t="s">
        <v>111</v>
      </c>
      <c r="L270">
        <v>10</v>
      </c>
      <c r="M270">
        <v>278</v>
      </c>
      <c r="N270">
        <v>42</v>
      </c>
      <c r="O270">
        <v>42</v>
      </c>
      <c r="P270" t="b">
        <v>1</v>
      </c>
      <c r="Q270" t="s">
        <v>112</v>
      </c>
      <c r="R270">
        <v>0.48684693574399401</v>
      </c>
      <c r="S270">
        <v>42</v>
      </c>
      <c r="T270">
        <v>0</v>
      </c>
      <c r="U270" t="s">
        <v>880</v>
      </c>
      <c r="V270" t="s">
        <v>881</v>
      </c>
      <c r="W270">
        <v>1</v>
      </c>
      <c r="X270" t="b">
        <v>1</v>
      </c>
      <c r="Y270">
        <v>523.94859959995597</v>
      </c>
      <c r="Z270">
        <v>234.647757399965</v>
      </c>
      <c r="AA270">
        <v>12830.6735685</v>
      </c>
      <c r="AB270">
        <v>278</v>
      </c>
      <c r="AC270">
        <v>2</v>
      </c>
      <c r="AD270">
        <v>0.49640287769784103</v>
      </c>
      <c r="AE270">
        <v>0.496375866923919</v>
      </c>
      <c r="AF270">
        <v>0.49640287769784103</v>
      </c>
      <c r="AG270">
        <v>0.496375866923919</v>
      </c>
      <c r="AH270">
        <v>0.49546279491833001</v>
      </c>
      <c r="AI270">
        <v>-7.2212048617829499E-3</v>
      </c>
      <c r="AJ270" t="s">
        <v>925</v>
      </c>
      <c r="AK270">
        <v>0.46592271992491002</v>
      </c>
      <c r="AL270">
        <v>0.43266596220541098</v>
      </c>
      <c r="AM270">
        <v>151</v>
      </c>
      <c r="AN270">
        <v>0.53956834532374098</v>
      </c>
      <c r="AO270">
        <v>0.49668874172185401</v>
      </c>
      <c r="AP270">
        <v>0.51724137931034397</v>
      </c>
      <c r="AQ270">
        <v>127</v>
      </c>
      <c r="AR270">
        <v>0.45323741007194202</v>
      </c>
      <c r="AS270">
        <v>0.49606299212598398</v>
      </c>
      <c r="AT270">
        <v>0.47368421052631499</v>
      </c>
      <c r="AU270">
        <v>75</v>
      </c>
      <c r="AV270">
        <v>76</v>
      </c>
      <c r="AW270">
        <v>64</v>
      </c>
      <c r="AX270">
        <v>63</v>
      </c>
      <c r="AY270">
        <v>0</v>
      </c>
      <c r="AZ270">
        <v>6</v>
      </c>
    </row>
    <row r="271" spans="1:52" x14ac:dyDescent="0.3">
      <c r="A271" t="s">
        <v>926</v>
      </c>
      <c r="B271" t="s">
        <v>109</v>
      </c>
      <c r="C271" t="s">
        <v>37</v>
      </c>
      <c r="D271" t="s">
        <v>66</v>
      </c>
      <c r="E271" t="s">
        <v>905</v>
      </c>
      <c r="F271">
        <v>8</v>
      </c>
      <c r="G271" t="s">
        <v>24</v>
      </c>
      <c r="H271" t="s">
        <v>36</v>
      </c>
      <c r="I271" t="s">
        <v>34</v>
      </c>
      <c r="J271" t="s">
        <v>879</v>
      </c>
      <c r="K271" t="s">
        <v>111</v>
      </c>
      <c r="L271">
        <v>10</v>
      </c>
      <c r="M271">
        <v>278</v>
      </c>
      <c r="N271">
        <v>42</v>
      </c>
      <c r="O271">
        <v>42</v>
      </c>
      <c r="P271" t="b">
        <v>1</v>
      </c>
      <c r="Q271" t="s">
        <v>112</v>
      </c>
      <c r="R271">
        <v>0.51522101264748299</v>
      </c>
      <c r="S271">
        <v>42</v>
      </c>
      <c r="T271">
        <v>0</v>
      </c>
      <c r="U271" t="s">
        <v>880</v>
      </c>
      <c r="V271" t="s">
        <v>881</v>
      </c>
      <c r="W271">
        <v>1</v>
      </c>
      <c r="X271" t="b">
        <v>1</v>
      </c>
      <c r="Y271">
        <v>496.81696329996998</v>
      </c>
      <c r="Z271">
        <v>225.92733609999399</v>
      </c>
      <c r="AA271">
        <v>12830.697596599901</v>
      </c>
      <c r="AB271">
        <v>278</v>
      </c>
      <c r="AC271">
        <v>2</v>
      </c>
      <c r="AD271">
        <v>0.47482014388489202</v>
      </c>
      <c r="AE271">
        <v>0.46336757574177401</v>
      </c>
      <c r="AF271">
        <v>0.46102635228848798</v>
      </c>
      <c r="AG271">
        <v>0.46336757574177401</v>
      </c>
      <c r="AH271">
        <v>0.45868231528407499</v>
      </c>
      <c r="AI271">
        <v>-7.5569814022762694E-2</v>
      </c>
      <c r="AJ271" t="s">
        <v>927</v>
      </c>
      <c r="AK271">
        <v>0.417114251447045</v>
      </c>
      <c r="AL271">
        <v>0.42739198533010497</v>
      </c>
      <c r="AM271">
        <v>151</v>
      </c>
      <c r="AN271">
        <v>0.51428571428571401</v>
      </c>
      <c r="AO271">
        <v>0.59602649006622499</v>
      </c>
      <c r="AP271">
        <v>0.55214723926380305</v>
      </c>
      <c r="AQ271">
        <v>127</v>
      </c>
      <c r="AR271">
        <v>0.40776699029126201</v>
      </c>
      <c r="AS271">
        <v>0.33070866141732203</v>
      </c>
      <c r="AT271">
        <v>0.36521739130434699</v>
      </c>
      <c r="AU271">
        <v>90</v>
      </c>
      <c r="AV271">
        <v>61</v>
      </c>
      <c r="AW271">
        <v>85</v>
      </c>
      <c r="AX271">
        <v>42</v>
      </c>
      <c r="AY271">
        <v>0</v>
      </c>
      <c r="AZ271">
        <v>1</v>
      </c>
    </row>
    <row r="272" spans="1:52" x14ac:dyDescent="0.3">
      <c r="A272" t="s">
        <v>928</v>
      </c>
      <c r="B272" t="s">
        <v>109</v>
      </c>
      <c r="C272" t="s">
        <v>37</v>
      </c>
      <c r="D272" t="s">
        <v>66</v>
      </c>
      <c r="E272" t="s">
        <v>908</v>
      </c>
      <c r="F272">
        <v>9</v>
      </c>
      <c r="G272" t="s">
        <v>24</v>
      </c>
      <c r="H272" t="s">
        <v>36</v>
      </c>
      <c r="I272" t="s">
        <v>35</v>
      </c>
      <c r="J272" t="s">
        <v>879</v>
      </c>
      <c r="K272" t="s">
        <v>111</v>
      </c>
      <c r="L272">
        <v>10</v>
      </c>
      <c r="M272">
        <v>278</v>
      </c>
      <c r="N272">
        <v>42</v>
      </c>
      <c r="O272">
        <v>42</v>
      </c>
      <c r="P272" t="b">
        <v>1</v>
      </c>
      <c r="Q272" t="s">
        <v>112</v>
      </c>
      <c r="R272">
        <v>0.51500721500721502</v>
      </c>
      <c r="S272">
        <v>42</v>
      </c>
      <c r="T272">
        <v>0</v>
      </c>
      <c r="U272" t="s">
        <v>880</v>
      </c>
      <c r="V272" t="s">
        <v>881</v>
      </c>
      <c r="W272">
        <v>1</v>
      </c>
      <c r="X272" t="b">
        <v>1</v>
      </c>
      <c r="Y272">
        <v>484.98326690006797</v>
      </c>
      <c r="Z272">
        <v>219.14254450004199</v>
      </c>
      <c r="AA272">
        <v>12830.722141099999</v>
      </c>
      <c r="AB272">
        <v>278</v>
      </c>
      <c r="AC272">
        <v>2</v>
      </c>
      <c r="AD272">
        <v>0.5</v>
      </c>
      <c r="AE272">
        <v>0.49655837722271401</v>
      </c>
      <c r="AF272">
        <v>0.49656250000000002</v>
      </c>
      <c r="AG272">
        <v>0.49655837722271401</v>
      </c>
      <c r="AH272">
        <v>0.49655397042537902</v>
      </c>
      <c r="AI272">
        <v>-6.8791215418592998E-3</v>
      </c>
      <c r="AJ272" t="s">
        <v>929</v>
      </c>
      <c r="AK272">
        <v>0.48339156280961498</v>
      </c>
      <c r="AL272">
        <v>0.43322853726753402</v>
      </c>
      <c r="AM272">
        <v>151</v>
      </c>
      <c r="AN272">
        <v>0.54</v>
      </c>
      <c r="AO272">
        <v>0.53642384105960195</v>
      </c>
      <c r="AP272">
        <v>0.53820598006644504</v>
      </c>
      <c r="AQ272">
        <v>127</v>
      </c>
      <c r="AR272">
        <v>0.453125</v>
      </c>
      <c r="AS272">
        <v>0.45669291338582602</v>
      </c>
      <c r="AT272">
        <v>0.454901960784313</v>
      </c>
      <c r="AU272">
        <v>81</v>
      </c>
      <c r="AV272">
        <v>70</v>
      </c>
      <c r="AW272">
        <v>69</v>
      </c>
      <c r="AX272">
        <v>58</v>
      </c>
      <c r="AY272">
        <v>0</v>
      </c>
      <c r="AZ272">
        <v>2</v>
      </c>
    </row>
    <row r="273" spans="1:63" x14ac:dyDescent="0.3">
      <c r="A273" t="s">
        <v>0</v>
      </c>
      <c r="B273" t="s">
        <v>69</v>
      </c>
      <c r="C273" t="s">
        <v>2</v>
      </c>
      <c r="D273" t="s">
        <v>70</v>
      </c>
      <c r="E273" t="s">
        <v>71</v>
      </c>
      <c r="F273" t="s">
        <v>72</v>
      </c>
      <c r="G273" t="s">
        <v>1</v>
      </c>
      <c r="H273" t="s">
        <v>3</v>
      </c>
      <c r="I273" t="s">
        <v>4</v>
      </c>
      <c r="J273" t="s">
        <v>5</v>
      </c>
      <c r="K273" t="s">
        <v>73</v>
      </c>
      <c r="L273" t="s">
        <v>74</v>
      </c>
      <c r="M273" t="s">
        <v>75</v>
      </c>
      <c r="N273" t="s">
        <v>6</v>
      </c>
      <c r="O273" t="s">
        <v>7</v>
      </c>
      <c r="P273" t="s">
        <v>8</v>
      </c>
      <c r="Q273" t="s">
        <v>76</v>
      </c>
      <c r="R273" t="s">
        <v>77</v>
      </c>
      <c r="S273" t="s">
        <v>78</v>
      </c>
      <c r="T273" t="s">
        <v>79</v>
      </c>
      <c r="U273" t="s">
        <v>80</v>
      </c>
      <c r="V273" t="s">
        <v>81</v>
      </c>
      <c r="W273" t="s">
        <v>82</v>
      </c>
      <c r="X273" t="s">
        <v>9</v>
      </c>
      <c r="Y273" t="s">
        <v>83</v>
      </c>
      <c r="Z273" t="s">
        <v>84</v>
      </c>
      <c r="AA273" t="s">
        <v>85</v>
      </c>
      <c r="AB273" t="s">
        <v>10</v>
      </c>
      <c r="AC273" t="s">
        <v>86</v>
      </c>
      <c r="AD273" t="s">
        <v>11</v>
      </c>
      <c r="AE273" t="s">
        <v>87</v>
      </c>
      <c r="AF273" t="s">
        <v>88</v>
      </c>
      <c r="AG273" t="s">
        <v>89</v>
      </c>
      <c r="AH273" t="s">
        <v>90</v>
      </c>
      <c r="AI273" t="s">
        <v>12</v>
      </c>
      <c r="AJ273" t="s">
        <v>91</v>
      </c>
      <c r="AK273" t="s">
        <v>17</v>
      </c>
      <c r="AL273" t="s">
        <v>18</v>
      </c>
      <c r="AM273" t="s">
        <v>92</v>
      </c>
      <c r="AN273" t="s">
        <v>93</v>
      </c>
      <c r="AO273" t="s">
        <v>94</v>
      </c>
      <c r="AP273" t="s">
        <v>95</v>
      </c>
      <c r="AQ273" t="s">
        <v>380</v>
      </c>
      <c r="AR273" t="s">
        <v>381</v>
      </c>
      <c r="AS273" t="s">
        <v>382</v>
      </c>
      <c r="AT273" t="s">
        <v>383</v>
      </c>
      <c r="AU273" t="s">
        <v>96</v>
      </c>
      <c r="AV273" t="s">
        <v>97</v>
      </c>
      <c r="AW273" t="s">
        <v>98</v>
      </c>
      <c r="AX273" t="s">
        <v>99</v>
      </c>
      <c r="AY273" t="s">
        <v>19</v>
      </c>
      <c r="AZ273" t="s">
        <v>20</v>
      </c>
      <c r="BA273" t="s">
        <v>21</v>
      </c>
      <c r="BB273" t="s">
        <v>100</v>
      </c>
      <c r="BC273" t="s">
        <v>101</v>
      </c>
      <c r="BD273" t="s">
        <v>102</v>
      </c>
      <c r="BE273" t="s">
        <v>103</v>
      </c>
      <c r="BF273" t="s">
        <v>22</v>
      </c>
      <c r="BG273" t="s">
        <v>23</v>
      </c>
      <c r="BH273" t="s">
        <v>104</v>
      </c>
      <c r="BI273" t="s">
        <v>105</v>
      </c>
      <c r="BJ273" t="s">
        <v>106</v>
      </c>
      <c r="BK273" t="s">
        <v>107</v>
      </c>
    </row>
    <row r="274" spans="1:63" x14ac:dyDescent="0.3">
      <c r="A274" t="s">
        <v>930</v>
      </c>
      <c r="B274" t="s">
        <v>109</v>
      </c>
      <c r="C274" t="s">
        <v>25</v>
      </c>
      <c r="D274" t="s">
        <v>67</v>
      </c>
      <c r="E274" t="s">
        <v>878</v>
      </c>
      <c r="F274">
        <v>0</v>
      </c>
      <c r="G274" t="s">
        <v>24</v>
      </c>
      <c r="H274" t="s">
        <v>26</v>
      </c>
      <c r="I274" t="s">
        <v>27</v>
      </c>
      <c r="J274" t="s">
        <v>879</v>
      </c>
      <c r="K274" t="s">
        <v>111</v>
      </c>
      <c r="L274">
        <v>10</v>
      </c>
      <c r="M274">
        <v>332</v>
      </c>
      <c r="N274">
        <v>42</v>
      </c>
      <c r="O274">
        <v>42</v>
      </c>
      <c r="P274" t="b">
        <v>1</v>
      </c>
      <c r="Q274" t="s">
        <v>112</v>
      </c>
      <c r="R274">
        <v>0.34396305805163302</v>
      </c>
      <c r="S274">
        <v>42</v>
      </c>
      <c r="T274">
        <v>0</v>
      </c>
      <c r="U274" t="s">
        <v>931</v>
      </c>
      <c r="V274" t="s">
        <v>932</v>
      </c>
      <c r="W274">
        <v>0.64285714285714202</v>
      </c>
      <c r="X274" t="b">
        <v>0</v>
      </c>
      <c r="Y274">
        <v>855.95043909994195</v>
      </c>
      <c r="Z274">
        <v>211.40792659996001</v>
      </c>
      <c r="AA274">
        <v>9365.8093704999992</v>
      </c>
      <c r="AB274">
        <v>332</v>
      </c>
      <c r="AC274">
        <v>3</v>
      </c>
      <c r="AD274">
        <v>0.33433734939759002</v>
      </c>
      <c r="AE274">
        <v>0.33343513834609301</v>
      </c>
      <c r="AF274">
        <v>0.33504256618412998</v>
      </c>
      <c r="AG274">
        <v>0.33343513834609301</v>
      </c>
      <c r="AH274">
        <v>0.33303462382629201</v>
      </c>
      <c r="AI274">
        <v>2.1705324738700601E-3</v>
      </c>
      <c r="AJ274" t="s">
        <v>933</v>
      </c>
      <c r="AK274">
        <v>0.49944016139430403</v>
      </c>
      <c r="AM274">
        <v>104</v>
      </c>
      <c r="AN274">
        <v>0.292682926829268</v>
      </c>
      <c r="AO274">
        <v>0.34615384615384598</v>
      </c>
      <c r="AP274">
        <v>0.31718061674008802</v>
      </c>
      <c r="AQ274">
        <v>109</v>
      </c>
      <c r="AR274">
        <v>0.31958762886597902</v>
      </c>
      <c r="AS274">
        <v>0.28440366972476999</v>
      </c>
      <c r="AT274">
        <v>0.30097087378640702</v>
      </c>
      <c r="AU274">
        <v>119</v>
      </c>
      <c r="AV274">
        <v>0.39285714285714202</v>
      </c>
      <c r="AW274">
        <v>0.369747899159663</v>
      </c>
      <c r="AX274">
        <v>0.38095238095237999</v>
      </c>
      <c r="AY274">
        <v>1000</v>
      </c>
      <c r="AZ274">
        <v>0.28273809523809501</v>
      </c>
      <c r="BA274">
        <v>0.38741655812438902</v>
      </c>
      <c r="BB274">
        <v>0.28289357922076303</v>
      </c>
      <c r="BC274">
        <v>0.387580881183681</v>
      </c>
      <c r="BD274">
        <v>0.28085708343237997</v>
      </c>
      <c r="BE274">
        <v>0.38447583018826298</v>
      </c>
      <c r="BF274">
        <v>-7.2501862129921296E-2</v>
      </c>
      <c r="BG274">
        <v>8.0536286422800599E-2</v>
      </c>
      <c r="BH274">
        <v>1000</v>
      </c>
      <c r="BI274">
        <v>0.289588688601846</v>
      </c>
      <c r="BJ274">
        <v>0.395723391367446</v>
      </c>
      <c r="BK274">
        <v>5</v>
      </c>
    </row>
    <row r="275" spans="1:63" x14ac:dyDescent="0.3">
      <c r="A275" t="s">
        <v>934</v>
      </c>
      <c r="B275" t="s">
        <v>109</v>
      </c>
      <c r="C275" t="s">
        <v>25</v>
      </c>
      <c r="D275" t="s">
        <v>67</v>
      </c>
      <c r="E275" t="s">
        <v>884</v>
      </c>
      <c r="F275">
        <v>1</v>
      </c>
      <c r="G275" t="s">
        <v>24</v>
      </c>
      <c r="H275" t="s">
        <v>26</v>
      </c>
      <c r="I275" t="s">
        <v>32</v>
      </c>
      <c r="J275" t="s">
        <v>879</v>
      </c>
      <c r="K275" t="s">
        <v>111</v>
      </c>
      <c r="L275">
        <v>10</v>
      </c>
      <c r="M275">
        <v>332</v>
      </c>
      <c r="N275">
        <v>42</v>
      </c>
      <c r="O275">
        <v>42</v>
      </c>
      <c r="P275" t="b">
        <v>1</v>
      </c>
      <c r="Q275" t="s">
        <v>112</v>
      </c>
      <c r="R275">
        <v>0.39951504778205599</v>
      </c>
      <c r="S275">
        <v>42</v>
      </c>
      <c r="T275">
        <v>0</v>
      </c>
      <c r="U275" t="s">
        <v>935</v>
      </c>
      <c r="V275" t="s">
        <v>881</v>
      </c>
      <c r="W275">
        <v>0.64285714285714202</v>
      </c>
      <c r="X275" t="b">
        <v>0</v>
      </c>
      <c r="Y275">
        <v>1018.59009729997</v>
      </c>
      <c r="Z275">
        <v>277.08571869995598</v>
      </c>
      <c r="AA275">
        <v>9402.5396127999993</v>
      </c>
      <c r="AB275">
        <v>332</v>
      </c>
      <c r="AC275">
        <v>3</v>
      </c>
      <c r="AD275">
        <v>0.41265060240963802</v>
      </c>
      <c r="AE275">
        <v>0.41342521482834399</v>
      </c>
      <c r="AF275">
        <v>0.41320191158900799</v>
      </c>
      <c r="AG275">
        <v>0.41342521482834399</v>
      </c>
      <c r="AH275">
        <v>0.41296582978880902</v>
      </c>
      <c r="AI275">
        <v>0.11731158824766599</v>
      </c>
      <c r="AJ275" t="s">
        <v>936</v>
      </c>
      <c r="AK275">
        <v>0.55033898906559298</v>
      </c>
      <c r="AM275">
        <v>104</v>
      </c>
      <c r="AN275">
        <v>0.44444444444444398</v>
      </c>
      <c r="AO275">
        <v>0.46153846153846101</v>
      </c>
      <c r="AP275">
        <v>0.45283018867924502</v>
      </c>
      <c r="AQ275">
        <v>109</v>
      </c>
      <c r="AR275">
        <v>0.4</v>
      </c>
      <c r="AS275">
        <v>0.36697247706421998</v>
      </c>
      <c r="AT275">
        <v>0.38277511961722399</v>
      </c>
      <c r="AU275">
        <v>119</v>
      </c>
      <c r="AV275">
        <v>0.39516129032258002</v>
      </c>
      <c r="AW275">
        <v>0.41176470588235198</v>
      </c>
      <c r="AX275">
        <v>0.40329218106995801</v>
      </c>
      <c r="AY275">
        <v>1000</v>
      </c>
      <c r="AZ275">
        <v>0.36389389471384798</v>
      </c>
      <c r="BA275">
        <v>0.46868272274988598</v>
      </c>
      <c r="BB275">
        <v>0.36084945736895202</v>
      </c>
      <c r="BC275">
        <v>0.46837284561187598</v>
      </c>
      <c r="BD275">
        <v>0.35970257593006799</v>
      </c>
      <c r="BE275">
        <v>0.46735395769218302</v>
      </c>
      <c r="BF275">
        <v>3.8766763078199602E-2</v>
      </c>
      <c r="BG275">
        <v>0.20324367583744099</v>
      </c>
      <c r="BH275">
        <v>1000</v>
      </c>
      <c r="BI275">
        <v>0.34928975936325102</v>
      </c>
      <c r="BJ275">
        <v>0.44767145215390802</v>
      </c>
      <c r="BK275">
        <v>1</v>
      </c>
    </row>
    <row r="276" spans="1:63" x14ac:dyDescent="0.3">
      <c r="A276" t="s">
        <v>937</v>
      </c>
      <c r="B276" t="s">
        <v>109</v>
      </c>
      <c r="C276" t="s">
        <v>25</v>
      </c>
      <c r="D276" t="s">
        <v>67</v>
      </c>
      <c r="E276" t="s">
        <v>887</v>
      </c>
      <c r="F276">
        <v>2</v>
      </c>
      <c r="G276" t="s">
        <v>24</v>
      </c>
      <c r="H276" t="s">
        <v>26</v>
      </c>
      <c r="I276" t="s">
        <v>33</v>
      </c>
      <c r="J276" t="s">
        <v>879</v>
      </c>
      <c r="K276" t="s">
        <v>111</v>
      </c>
      <c r="L276">
        <v>10</v>
      </c>
      <c r="M276">
        <v>332</v>
      </c>
      <c r="N276">
        <v>42</v>
      </c>
      <c r="O276">
        <v>42</v>
      </c>
      <c r="P276" t="b">
        <v>1</v>
      </c>
      <c r="Q276" t="s">
        <v>112</v>
      </c>
      <c r="R276">
        <v>0.30744187705034898</v>
      </c>
      <c r="S276">
        <v>42</v>
      </c>
      <c r="T276">
        <v>0</v>
      </c>
      <c r="U276" t="s">
        <v>938</v>
      </c>
      <c r="V276" t="s">
        <v>881</v>
      </c>
      <c r="W276">
        <v>0.69047619047619002</v>
      </c>
      <c r="X276" t="b">
        <v>0</v>
      </c>
      <c r="Y276">
        <v>947.88168959999098</v>
      </c>
      <c r="Z276">
        <v>215.125069399968</v>
      </c>
      <c r="AA276">
        <v>9439.7701082000003</v>
      </c>
      <c r="AB276">
        <v>332</v>
      </c>
      <c r="AC276">
        <v>3</v>
      </c>
      <c r="AD276">
        <v>0.313253012048192</v>
      </c>
      <c r="AE276">
        <v>0.30850353550029702</v>
      </c>
      <c r="AF276">
        <v>0.29414797957844302</v>
      </c>
      <c r="AG276">
        <v>0.30850353550029702</v>
      </c>
      <c r="AH276">
        <v>0.29646310812132998</v>
      </c>
      <c r="AI276">
        <v>-3.6437580364414399E-2</v>
      </c>
      <c r="AJ276" t="s">
        <v>939</v>
      </c>
      <c r="AK276">
        <v>0.49755536675182399</v>
      </c>
      <c r="AM276">
        <v>104</v>
      </c>
      <c r="AN276">
        <v>0.29729729729729698</v>
      </c>
      <c r="AO276">
        <v>0.31730769230769201</v>
      </c>
      <c r="AP276">
        <v>0.30697674418604598</v>
      </c>
      <c r="AQ276">
        <v>109</v>
      </c>
      <c r="AR276">
        <v>0.214285714285714</v>
      </c>
      <c r="AS276">
        <v>0.13761467889908199</v>
      </c>
      <c r="AT276">
        <v>0.16759776536312801</v>
      </c>
      <c r="AU276">
        <v>119</v>
      </c>
      <c r="AV276">
        <v>0.370860927152317</v>
      </c>
      <c r="AW276">
        <v>0.47058823529411697</v>
      </c>
      <c r="AX276">
        <v>0.41481481481481403</v>
      </c>
      <c r="AY276">
        <v>1000</v>
      </c>
      <c r="AZ276">
        <v>0.259143586541287</v>
      </c>
      <c r="BA276">
        <v>0.37203252359502298</v>
      </c>
      <c r="BB276">
        <v>0.25532776890027598</v>
      </c>
      <c r="BC276">
        <v>0.36445495328947403</v>
      </c>
      <c r="BD276">
        <v>0.24301704746679201</v>
      </c>
      <c r="BE276">
        <v>0.35302932199141202</v>
      </c>
      <c r="BF276">
        <v>-0.118390243942726</v>
      </c>
      <c r="BG276">
        <v>4.8228955467694103E-2</v>
      </c>
      <c r="BH276">
        <v>1000</v>
      </c>
      <c r="BI276">
        <v>0.249214045632873</v>
      </c>
      <c r="BJ276">
        <v>0.36801646376341401</v>
      </c>
      <c r="BK276">
        <v>9</v>
      </c>
    </row>
    <row r="277" spans="1:63" x14ac:dyDescent="0.3">
      <c r="A277" t="s">
        <v>940</v>
      </c>
      <c r="B277" t="s">
        <v>109</v>
      </c>
      <c r="C277" t="s">
        <v>25</v>
      </c>
      <c r="D277" t="s">
        <v>67</v>
      </c>
      <c r="E277" t="s">
        <v>890</v>
      </c>
      <c r="F277">
        <v>3</v>
      </c>
      <c r="G277" t="s">
        <v>24</v>
      </c>
      <c r="H277" t="s">
        <v>26</v>
      </c>
      <c r="I277" t="s">
        <v>34</v>
      </c>
      <c r="J277" t="s">
        <v>879</v>
      </c>
      <c r="K277" t="s">
        <v>111</v>
      </c>
      <c r="L277">
        <v>10</v>
      </c>
      <c r="M277">
        <v>332</v>
      </c>
      <c r="N277">
        <v>42</v>
      </c>
      <c r="O277">
        <v>42</v>
      </c>
      <c r="P277" t="b">
        <v>1</v>
      </c>
      <c r="Q277" t="s">
        <v>112</v>
      </c>
      <c r="R277">
        <v>0.34556767936100402</v>
      </c>
      <c r="S277">
        <v>42</v>
      </c>
      <c r="T277">
        <v>0</v>
      </c>
      <c r="U277" t="s">
        <v>941</v>
      </c>
      <c r="V277" t="s">
        <v>881</v>
      </c>
      <c r="W277">
        <v>0.54761904761904701</v>
      </c>
      <c r="X277" t="b">
        <v>0</v>
      </c>
      <c r="Y277">
        <v>937.90122209981905</v>
      </c>
      <c r="Z277">
        <v>224.76109209997901</v>
      </c>
      <c r="AA277">
        <v>9476.6591779999908</v>
      </c>
      <c r="AB277">
        <v>332</v>
      </c>
      <c r="AC277">
        <v>3</v>
      </c>
      <c r="AD277">
        <v>0.34939759036144502</v>
      </c>
      <c r="AE277">
        <v>0.35074569700851399</v>
      </c>
      <c r="AF277">
        <v>0.35015043969926801</v>
      </c>
      <c r="AG277">
        <v>0.35074569700851399</v>
      </c>
      <c r="AH277">
        <v>0.34927715970777501</v>
      </c>
      <c r="AI277">
        <v>2.5749727457989199E-2</v>
      </c>
      <c r="AJ277" t="s">
        <v>942</v>
      </c>
      <c r="AK277">
        <v>0.50481345384237597</v>
      </c>
      <c r="AM277">
        <v>104</v>
      </c>
      <c r="AN277">
        <v>0.34453781512604997</v>
      </c>
      <c r="AO277">
        <v>0.394230769230769</v>
      </c>
      <c r="AP277">
        <v>0.367713004484304</v>
      </c>
      <c r="AQ277">
        <v>109</v>
      </c>
      <c r="AR277">
        <v>0.32727272727272699</v>
      </c>
      <c r="AS277">
        <v>0.33027522935779802</v>
      </c>
      <c r="AT277">
        <v>0.32876712328767099</v>
      </c>
      <c r="AU277">
        <v>119</v>
      </c>
      <c r="AV277">
        <v>0.37864077669902901</v>
      </c>
      <c r="AW277">
        <v>0.32773109243697401</v>
      </c>
      <c r="AX277">
        <v>0.35135135135135098</v>
      </c>
      <c r="AY277">
        <v>1000</v>
      </c>
      <c r="AZ277">
        <v>0.30538288980950401</v>
      </c>
      <c r="BA277">
        <v>0.390912483039348</v>
      </c>
      <c r="BB277">
        <v>0.30782955896004099</v>
      </c>
      <c r="BC277">
        <v>0.392467511031245</v>
      </c>
      <c r="BD277">
        <v>0.30439588709653398</v>
      </c>
      <c r="BE277">
        <v>0.388484484130382</v>
      </c>
      <c r="BF277">
        <v>-3.9797738146191697E-2</v>
      </c>
      <c r="BG277">
        <v>8.8443683706036197E-2</v>
      </c>
      <c r="BH277">
        <v>1000</v>
      </c>
      <c r="BI277">
        <v>0.298239198832908</v>
      </c>
      <c r="BJ277">
        <v>0.38911806681736999</v>
      </c>
      <c r="BK277">
        <v>4</v>
      </c>
    </row>
    <row r="278" spans="1:63" x14ac:dyDescent="0.3">
      <c r="A278" t="s">
        <v>943</v>
      </c>
      <c r="B278" t="s">
        <v>109</v>
      </c>
      <c r="C278" t="s">
        <v>25</v>
      </c>
      <c r="D278" t="s">
        <v>67</v>
      </c>
      <c r="E278" t="s">
        <v>893</v>
      </c>
      <c r="F278">
        <v>4</v>
      </c>
      <c r="G278" t="s">
        <v>24</v>
      </c>
      <c r="H278" t="s">
        <v>26</v>
      </c>
      <c r="I278" t="s">
        <v>35</v>
      </c>
      <c r="J278" t="s">
        <v>879</v>
      </c>
      <c r="K278" t="s">
        <v>111</v>
      </c>
      <c r="L278">
        <v>10</v>
      </c>
      <c r="M278">
        <v>332</v>
      </c>
      <c r="N278">
        <v>42</v>
      </c>
      <c r="O278">
        <v>42</v>
      </c>
      <c r="P278" t="b">
        <v>1</v>
      </c>
      <c r="Q278" t="s">
        <v>112</v>
      </c>
      <c r="R278">
        <v>0.31293324775352999</v>
      </c>
      <c r="S278">
        <v>42</v>
      </c>
      <c r="T278">
        <v>0</v>
      </c>
      <c r="U278" t="s">
        <v>941</v>
      </c>
      <c r="V278" t="s">
        <v>881</v>
      </c>
      <c r="W278">
        <v>0.54761904761904701</v>
      </c>
      <c r="X278" t="b">
        <v>0</v>
      </c>
      <c r="Y278">
        <v>868.10580540003798</v>
      </c>
      <c r="Z278">
        <v>190.892307000009</v>
      </c>
      <c r="AA278">
        <v>9513.8772981999991</v>
      </c>
      <c r="AB278">
        <v>332</v>
      </c>
      <c r="AC278">
        <v>3</v>
      </c>
      <c r="AD278">
        <v>0.31626506024096301</v>
      </c>
      <c r="AE278">
        <v>0.31556341661576398</v>
      </c>
      <c r="AF278">
        <v>0.31550593655856801</v>
      </c>
      <c r="AG278">
        <v>0.31556341661576398</v>
      </c>
      <c r="AH278">
        <v>0.31539534522347701</v>
      </c>
      <c r="AI278">
        <v>-2.61254570211795E-2</v>
      </c>
      <c r="AJ278" t="s">
        <v>944</v>
      </c>
      <c r="AK278">
        <v>0.51723497452619305</v>
      </c>
      <c r="AM278">
        <v>104</v>
      </c>
      <c r="AN278">
        <v>0.30909090909090903</v>
      </c>
      <c r="AO278">
        <v>0.32692307692307598</v>
      </c>
      <c r="AP278">
        <v>0.31775700934579398</v>
      </c>
      <c r="AQ278">
        <v>109</v>
      </c>
      <c r="AR278">
        <v>0.27777777777777701</v>
      </c>
      <c r="AS278">
        <v>0.27522935779816499</v>
      </c>
      <c r="AT278">
        <v>0.27649769585253398</v>
      </c>
      <c r="AU278">
        <v>119</v>
      </c>
      <c r="AV278">
        <v>0.359649122807017</v>
      </c>
      <c r="AW278">
        <v>0.34453781512604997</v>
      </c>
      <c r="AX278">
        <v>0.35193133047210301</v>
      </c>
      <c r="AY278">
        <v>1000</v>
      </c>
      <c r="AZ278">
        <v>0.27794561933534701</v>
      </c>
      <c r="BA278">
        <v>0.36038749592966401</v>
      </c>
      <c r="BB278">
        <v>0.27500537316814799</v>
      </c>
      <c r="BC278">
        <v>0.36364762400766398</v>
      </c>
      <c r="BD278">
        <v>0.273548537227982</v>
      </c>
      <c r="BE278">
        <v>0.36096644314557502</v>
      </c>
      <c r="BF278">
        <v>-8.2853918974503504E-2</v>
      </c>
      <c r="BG278">
        <v>4.20238548787044E-2</v>
      </c>
      <c r="BH278">
        <v>1000</v>
      </c>
      <c r="BI278">
        <v>0.26843854134643602</v>
      </c>
      <c r="BJ278">
        <v>0.36072442766441398</v>
      </c>
      <c r="BK278">
        <v>8</v>
      </c>
    </row>
    <row r="279" spans="1:63" x14ac:dyDescent="0.3">
      <c r="A279" t="s">
        <v>945</v>
      </c>
      <c r="B279" t="s">
        <v>109</v>
      </c>
      <c r="C279" t="s">
        <v>25</v>
      </c>
      <c r="D279" t="s">
        <v>67</v>
      </c>
      <c r="E279" t="s">
        <v>896</v>
      </c>
      <c r="F279">
        <v>5</v>
      </c>
      <c r="G279" t="s">
        <v>24</v>
      </c>
      <c r="H279" t="s">
        <v>36</v>
      </c>
      <c r="I279" t="s">
        <v>27</v>
      </c>
      <c r="J279" t="s">
        <v>879</v>
      </c>
      <c r="K279" t="s">
        <v>111</v>
      </c>
      <c r="L279">
        <v>10</v>
      </c>
      <c r="M279">
        <v>332</v>
      </c>
      <c r="N279">
        <v>42</v>
      </c>
      <c r="O279">
        <v>42</v>
      </c>
      <c r="P279" t="b">
        <v>1</v>
      </c>
      <c r="Q279" t="s">
        <v>112</v>
      </c>
      <c r="R279">
        <v>0.30369419483668503</v>
      </c>
      <c r="S279">
        <v>42</v>
      </c>
      <c r="T279">
        <v>0</v>
      </c>
      <c r="U279" t="s">
        <v>946</v>
      </c>
      <c r="V279" t="s">
        <v>932</v>
      </c>
      <c r="W279">
        <v>0.52380952380952295</v>
      </c>
      <c r="X279" t="b">
        <v>0</v>
      </c>
      <c r="Y279">
        <v>444.348206600021</v>
      </c>
      <c r="Z279">
        <v>110.001993900012</v>
      </c>
      <c r="AA279">
        <v>9551.2457469000001</v>
      </c>
      <c r="AB279">
        <v>332</v>
      </c>
      <c r="AC279">
        <v>3</v>
      </c>
      <c r="AD279">
        <v>0.31626506024096301</v>
      </c>
      <c r="AE279">
        <v>0.31684956975027101</v>
      </c>
      <c r="AF279">
        <v>0.31241968037421503</v>
      </c>
      <c r="AG279">
        <v>0.31684956975027101</v>
      </c>
      <c r="AH279">
        <v>0.31325694222032402</v>
      </c>
      <c r="AI279">
        <v>-2.51059168526006E-2</v>
      </c>
      <c r="AJ279" t="s">
        <v>947</v>
      </c>
      <c r="AK279">
        <v>0.50036209948663701</v>
      </c>
      <c r="AM279">
        <v>104</v>
      </c>
      <c r="AN279">
        <v>0.33064516129032201</v>
      </c>
      <c r="AO279">
        <v>0.394230769230769</v>
      </c>
      <c r="AP279">
        <v>0.359649122807017</v>
      </c>
      <c r="AQ279">
        <v>109</v>
      </c>
      <c r="AR279">
        <v>0.25263157894736799</v>
      </c>
      <c r="AS279">
        <v>0.22018348623853201</v>
      </c>
      <c r="AT279">
        <v>0.23529411764705799</v>
      </c>
      <c r="AU279">
        <v>119</v>
      </c>
      <c r="AV279">
        <v>0.35398230088495503</v>
      </c>
      <c r="AW279">
        <v>0.33613445378151202</v>
      </c>
      <c r="AX279">
        <v>0.34482758620689602</v>
      </c>
      <c r="AY279">
        <v>1000</v>
      </c>
      <c r="AZ279">
        <v>0.26585629255534998</v>
      </c>
      <c r="BA279">
        <v>0.36228200698301199</v>
      </c>
      <c r="BB279">
        <v>0.26842096801008197</v>
      </c>
      <c r="BC279">
        <v>0.36036908087890202</v>
      </c>
      <c r="BD279">
        <v>0.26158226113706701</v>
      </c>
      <c r="BE279">
        <v>0.35632155008781802</v>
      </c>
      <c r="BF279">
        <v>-9.8892792207715505E-2</v>
      </c>
      <c r="BG279">
        <v>4.3189142149613301E-2</v>
      </c>
      <c r="BH279">
        <v>1000</v>
      </c>
      <c r="BI279">
        <v>0.26160668173745799</v>
      </c>
      <c r="BJ279">
        <v>0.34213302689353697</v>
      </c>
      <c r="BK279">
        <v>10</v>
      </c>
    </row>
    <row r="280" spans="1:63" x14ac:dyDescent="0.3">
      <c r="A280" t="s">
        <v>948</v>
      </c>
      <c r="B280" t="s">
        <v>109</v>
      </c>
      <c r="C280" t="s">
        <v>25</v>
      </c>
      <c r="D280" t="s">
        <v>67</v>
      </c>
      <c r="E280" t="s">
        <v>899</v>
      </c>
      <c r="F280">
        <v>6</v>
      </c>
      <c r="G280" t="s">
        <v>24</v>
      </c>
      <c r="H280" t="s">
        <v>36</v>
      </c>
      <c r="I280" t="s">
        <v>32</v>
      </c>
      <c r="J280" t="s">
        <v>879</v>
      </c>
      <c r="K280" t="s">
        <v>111</v>
      </c>
      <c r="L280">
        <v>10</v>
      </c>
      <c r="M280">
        <v>332</v>
      </c>
      <c r="N280">
        <v>42</v>
      </c>
      <c r="O280">
        <v>42</v>
      </c>
      <c r="P280" t="b">
        <v>1</v>
      </c>
      <c r="Q280" t="s">
        <v>112</v>
      </c>
      <c r="R280">
        <v>0.37628013122236398</v>
      </c>
      <c r="S280">
        <v>42</v>
      </c>
      <c r="T280">
        <v>0</v>
      </c>
      <c r="U280" t="s">
        <v>941</v>
      </c>
      <c r="V280" t="s">
        <v>881</v>
      </c>
      <c r="W280">
        <v>0.54761904761904701</v>
      </c>
      <c r="X280" t="b">
        <v>0</v>
      </c>
      <c r="Y280">
        <v>503.08247029999598</v>
      </c>
      <c r="Z280">
        <v>112.03497279997799</v>
      </c>
      <c r="AA280">
        <v>9588.1411955999993</v>
      </c>
      <c r="AB280">
        <v>332</v>
      </c>
      <c r="AC280">
        <v>3</v>
      </c>
      <c r="AD280">
        <v>0.358433734939759</v>
      </c>
      <c r="AE280">
        <v>0.35911199342122102</v>
      </c>
      <c r="AF280">
        <v>0.36221359118555302</v>
      </c>
      <c r="AG280">
        <v>0.35911199342122102</v>
      </c>
      <c r="AH280">
        <v>0.35966106840869</v>
      </c>
      <c r="AI280">
        <v>3.7483676471734999E-2</v>
      </c>
      <c r="AJ280" t="s">
        <v>949</v>
      </c>
      <c r="AK280">
        <v>0.50271697547536498</v>
      </c>
      <c r="AM280">
        <v>104</v>
      </c>
      <c r="AN280">
        <v>0.39393939393939298</v>
      </c>
      <c r="AO280">
        <v>0.375</v>
      </c>
      <c r="AP280">
        <v>0.38423645320196997</v>
      </c>
      <c r="AQ280">
        <v>109</v>
      </c>
      <c r="AR280">
        <v>0.30952380952380898</v>
      </c>
      <c r="AS280">
        <v>0.35779816513761398</v>
      </c>
      <c r="AT280">
        <v>0.33191489361702098</v>
      </c>
      <c r="AU280">
        <v>119</v>
      </c>
      <c r="AV280">
        <v>0.38317757009345699</v>
      </c>
      <c r="AW280">
        <v>0.34453781512604997</v>
      </c>
      <c r="AX280">
        <v>0.36283185840707899</v>
      </c>
      <c r="AY280">
        <v>1000</v>
      </c>
      <c r="AZ280">
        <v>0.30630630630630601</v>
      </c>
      <c r="BA280">
        <v>0.406640484092056</v>
      </c>
      <c r="BB280">
        <v>0.308092768747948</v>
      </c>
      <c r="BC280">
        <v>0.408513817816124</v>
      </c>
      <c r="BD280">
        <v>0.305528205845227</v>
      </c>
      <c r="BE280">
        <v>0.406928620459584</v>
      </c>
      <c r="BF280">
        <v>-4.4572574718675699E-2</v>
      </c>
      <c r="BG280">
        <v>0.11418209137860399</v>
      </c>
      <c r="BH280">
        <v>1000</v>
      </c>
      <c r="BI280">
        <v>0.31840994153494101</v>
      </c>
      <c r="BJ280">
        <v>0.42739170010435201</v>
      </c>
      <c r="BK280">
        <v>2</v>
      </c>
    </row>
    <row r="281" spans="1:63" x14ac:dyDescent="0.3">
      <c r="A281" t="s">
        <v>950</v>
      </c>
      <c r="B281" t="s">
        <v>109</v>
      </c>
      <c r="C281" t="s">
        <v>25</v>
      </c>
      <c r="D281" t="s">
        <v>67</v>
      </c>
      <c r="E281" t="s">
        <v>902</v>
      </c>
      <c r="F281">
        <v>7</v>
      </c>
      <c r="G281" t="s">
        <v>24</v>
      </c>
      <c r="H281" t="s">
        <v>36</v>
      </c>
      <c r="I281" t="s">
        <v>33</v>
      </c>
      <c r="J281" t="s">
        <v>879</v>
      </c>
      <c r="K281" t="s">
        <v>111</v>
      </c>
      <c r="L281">
        <v>10</v>
      </c>
      <c r="M281">
        <v>332</v>
      </c>
      <c r="N281">
        <v>42</v>
      </c>
      <c r="O281">
        <v>42</v>
      </c>
      <c r="P281" t="b">
        <v>1</v>
      </c>
      <c r="Q281" t="s">
        <v>112</v>
      </c>
      <c r="R281">
        <v>0.36360718870346598</v>
      </c>
      <c r="S281">
        <v>42</v>
      </c>
      <c r="T281">
        <v>0</v>
      </c>
      <c r="U281" t="s">
        <v>951</v>
      </c>
      <c r="V281" t="s">
        <v>881</v>
      </c>
      <c r="W281">
        <v>0.52380952380952295</v>
      </c>
      <c r="X281" t="b">
        <v>0</v>
      </c>
      <c r="Y281">
        <v>505.14770680016198</v>
      </c>
      <c r="Z281">
        <v>133.951262499991</v>
      </c>
      <c r="AA281">
        <v>9625.1197692000005</v>
      </c>
      <c r="AB281">
        <v>332</v>
      </c>
      <c r="AC281">
        <v>3</v>
      </c>
      <c r="AD281">
        <v>0.34939759036144502</v>
      </c>
      <c r="AE281">
        <v>0.34523784813854902</v>
      </c>
      <c r="AF281">
        <v>0.339214215951749</v>
      </c>
      <c r="AG281">
        <v>0.34523784813854902</v>
      </c>
      <c r="AH281">
        <v>0.34088898118244898</v>
      </c>
      <c r="AI281">
        <v>1.98912342625602E-2</v>
      </c>
      <c r="AJ281" t="s">
        <v>952</v>
      </c>
      <c r="AK281">
        <v>0.53672432797911096</v>
      </c>
      <c r="AM281">
        <v>104</v>
      </c>
      <c r="AN281">
        <v>0.34653465346534601</v>
      </c>
      <c r="AO281">
        <v>0.33653846153846101</v>
      </c>
      <c r="AP281">
        <v>0.34146341463414598</v>
      </c>
      <c r="AQ281">
        <v>109</v>
      </c>
      <c r="AR281">
        <v>0.25806451612903197</v>
      </c>
      <c r="AS281">
        <v>0.22018348623853201</v>
      </c>
      <c r="AT281">
        <v>0.237623762376237</v>
      </c>
      <c r="AU281">
        <v>119</v>
      </c>
      <c r="AV281">
        <v>0.41304347826086901</v>
      </c>
      <c r="AW281">
        <v>0.47899159663865498</v>
      </c>
      <c r="AX281">
        <v>0.44357976653696402</v>
      </c>
      <c r="AY281">
        <v>1000</v>
      </c>
      <c r="AZ281">
        <v>0.295158562176634</v>
      </c>
      <c r="BA281">
        <v>0.40597014925373098</v>
      </c>
      <c r="BB281">
        <v>0.29314112296182099</v>
      </c>
      <c r="BC281">
        <v>0.402141622505024</v>
      </c>
      <c r="BD281">
        <v>0.28604684577717898</v>
      </c>
      <c r="BE281">
        <v>0.397527279218925</v>
      </c>
      <c r="BF281">
        <v>-5.9939493921689402E-2</v>
      </c>
      <c r="BG281">
        <v>0.107936773518493</v>
      </c>
      <c r="BH281">
        <v>1000</v>
      </c>
      <c r="BI281">
        <v>0.30365445049471002</v>
      </c>
      <c r="BJ281">
        <v>0.42729785740957898</v>
      </c>
      <c r="BK281">
        <v>3</v>
      </c>
    </row>
    <row r="282" spans="1:63" x14ac:dyDescent="0.3">
      <c r="A282" t="s">
        <v>953</v>
      </c>
      <c r="B282" t="s">
        <v>109</v>
      </c>
      <c r="C282" t="s">
        <v>25</v>
      </c>
      <c r="D282" t="s">
        <v>67</v>
      </c>
      <c r="E282" t="s">
        <v>905</v>
      </c>
      <c r="F282">
        <v>8</v>
      </c>
      <c r="G282" t="s">
        <v>24</v>
      </c>
      <c r="H282" t="s">
        <v>36</v>
      </c>
      <c r="I282" t="s">
        <v>34</v>
      </c>
      <c r="J282" t="s">
        <v>879</v>
      </c>
      <c r="K282" t="s">
        <v>111</v>
      </c>
      <c r="L282">
        <v>10</v>
      </c>
      <c r="M282">
        <v>332</v>
      </c>
      <c r="N282">
        <v>42</v>
      </c>
      <c r="O282">
        <v>42</v>
      </c>
      <c r="P282" t="b">
        <v>1</v>
      </c>
      <c r="Q282" t="s">
        <v>112</v>
      </c>
      <c r="R282">
        <v>0.332580944230494</v>
      </c>
      <c r="S282">
        <v>42</v>
      </c>
      <c r="T282">
        <v>0</v>
      </c>
      <c r="U282" t="s">
        <v>951</v>
      </c>
      <c r="V282" t="s">
        <v>881</v>
      </c>
      <c r="W282">
        <v>0.52380952380952295</v>
      </c>
      <c r="X282" t="b">
        <v>0</v>
      </c>
      <c r="Y282">
        <v>455.32508180004498</v>
      </c>
      <c r="Z282">
        <v>106.08248500001299</v>
      </c>
      <c r="AA282">
        <v>9662.2138245000006</v>
      </c>
      <c r="AB282">
        <v>332</v>
      </c>
      <c r="AC282">
        <v>3</v>
      </c>
      <c r="AD282">
        <v>0.35542168674698699</v>
      </c>
      <c r="AE282">
        <v>0.35377810263131299</v>
      </c>
      <c r="AF282">
        <v>0.349505040965849</v>
      </c>
      <c r="AG282">
        <v>0.35377810263131299</v>
      </c>
      <c r="AH282">
        <v>0.35059837064787502</v>
      </c>
      <c r="AI282">
        <v>3.2355126571018598E-2</v>
      </c>
      <c r="AJ282" t="s">
        <v>954</v>
      </c>
      <c r="AK282">
        <v>0.52600085736737401</v>
      </c>
      <c r="AM282">
        <v>104</v>
      </c>
      <c r="AN282">
        <v>0.34745762711864397</v>
      </c>
      <c r="AO282">
        <v>0.394230769230769</v>
      </c>
      <c r="AP282">
        <v>0.36936936936936898</v>
      </c>
      <c r="AQ282">
        <v>109</v>
      </c>
      <c r="AR282">
        <v>0.27956989247311798</v>
      </c>
      <c r="AS282">
        <v>0.23853211009174299</v>
      </c>
      <c r="AT282">
        <v>0.25742574257425699</v>
      </c>
      <c r="AU282">
        <v>119</v>
      </c>
      <c r="AV282">
        <v>0.421487603305785</v>
      </c>
      <c r="AW282">
        <v>0.42857142857142799</v>
      </c>
      <c r="AX282">
        <v>0.42499999999999999</v>
      </c>
      <c r="AY282">
        <v>1000</v>
      </c>
      <c r="AZ282">
        <v>0.30061304046158299</v>
      </c>
      <c r="BA282">
        <v>0.41518939393939303</v>
      </c>
      <c r="BB282">
        <v>0.29703918253169298</v>
      </c>
      <c r="BC282">
        <v>0.41287467520097199</v>
      </c>
      <c r="BD282">
        <v>0.29288960223563598</v>
      </c>
      <c r="BE282">
        <v>0.409668083429024</v>
      </c>
      <c r="BF282">
        <v>-5.07552942983042E-2</v>
      </c>
      <c r="BG282">
        <v>0.120664404902091</v>
      </c>
      <c r="BH282">
        <v>1000</v>
      </c>
      <c r="BI282">
        <v>0.28271594325696803</v>
      </c>
      <c r="BJ282">
        <v>0.38894745827418498</v>
      </c>
      <c r="BK282">
        <v>6</v>
      </c>
    </row>
    <row r="283" spans="1:63" x14ac:dyDescent="0.3">
      <c r="A283" t="s">
        <v>955</v>
      </c>
      <c r="B283" t="s">
        <v>109</v>
      </c>
      <c r="C283" t="s">
        <v>25</v>
      </c>
      <c r="D283" t="s">
        <v>67</v>
      </c>
      <c r="E283" t="s">
        <v>908</v>
      </c>
      <c r="F283">
        <v>9</v>
      </c>
      <c r="G283" t="s">
        <v>24</v>
      </c>
      <c r="H283" t="s">
        <v>36</v>
      </c>
      <c r="I283" t="s">
        <v>35</v>
      </c>
      <c r="J283" t="s">
        <v>879</v>
      </c>
      <c r="K283" t="s">
        <v>111</v>
      </c>
      <c r="L283">
        <v>10</v>
      </c>
      <c r="M283">
        <v>332</v>
      </c>
      <c r="N283">
        <v>42</v>
      </c>
      <c r="O283">
        <v>42</v>
      </c>
      <c r="P283" t="b">
        <v>1</v>
      </c>
      <c r="Q283" t="s">
        <v>112</v>
      </c>
      <c r="R283">
        <v>0.32974967907573799</v>
      </c>
      <c r="S283">
        <v>42</v>
      </c>
      <c r="T283">
        <v>0</v>
      </c>
      <c r="U283" t="s">
        <v>956</v>
      </c>
      <c r="V283" t="s">
        <v>881</v>
      </c>
      <c r="W283">
        <v>0.61904761904761896</v>
      </c>
      <c r="X283" t="b">
        <v>0</v>
      </c>
      <c r="Y283">
        <v>447.16962339996098</v>
      </c>
      <c r="Z283">
        <v>113.095140400015</v>
      </c>
      <c r="AA283">
        <v>9698.8096678999991</v>
      </c>
      <c r="AB283">
        <v>332</v>
      </c>
      <c r="AC283">
        <v>3</v>
      </c>
      <c r="AD283">
        <v>0.33433734939759002</v>
      </c>
      <c r="AE283">
        <v>0.332077326343381</v>
      </c>
      <c r="AF283">
        <v>0.325980963480963</v>
      </c>
      <c r="AG283">
        <v>0.332077326343381</v>
      </c>
      <c r="AH283">
        <v>0.32563920380315498</v>
      </c>
      <c r="AI283">
        <v>-3.1246693804518702E-3</v>
      </c>
      <c r="AJ283" t="s">
        <v>957</v>
      </c>
      <c r="AK283">
        <v>0.51691344499288105</v>
      </c>
      <c r="AM283">
        <v>104</v>
      </c>
      <c r="AN283">
        <v>0.354545454545454</v>
      </c>
      <c r="AO283">
        <v>0.375</v>
      </c>
      <c r="AP283">
        <v>0.36448598130841098</v>
      </c>
      <c r="AQ283">
        <v>109</v>
      </c>
      <c r="AR283">
        <v>0.269230769230769</v>
      </c>
      <c r="AS283">
        <v>0.192660550458715</v>
      </c>
      <c r="AT283">
        <v>0.22459893048128299</v>
      </c>
      <c r="AU283">
        <v>119</v>
      </c>
      <c r="AV283">
        <v>0.35416666666666602</v>
      </c>
      <c r="AW283">
        <v>0.42857142857142799</v>
      </c>
      <c r="AX283">
        <v>0.38783269961977102</v>
      </c>
      <c r="AY283">
        <v>1000</v>
      </c>
      <c r="AZ283">
        <v>0.28224939440951502</v>
      </c>
      <c r="BA283">
        <v>0.38323353293413098</v>
      </c>
      <c r="BB283">
        <v>0.28277388669970499</v>
      </c>
      <c r="BC283">
        <v>0.378911622363518</v>
      </c>
      <c r="BD283">
        <v>0.272885724835365</v>
      </c>
      <c r="BE283">
        <v>0.37532880644064998</v>
      </c>
      <c r="BF283">
        <v>-8.0907193137183503E-2</v>
      </c>
      <c r="BG283">
        <v>6.9625719998662197E-2</v>
      </c>
      <c r="BH283">
        <v>1000</v>
      </c>
      <c r="BI283">
        <v>0.27511435473847201</v>
      </c>
      <c r="BJ283">
        <v>0.37798772903542599</v>
      </c>
      <c r="BK283">
        <v>7</v>
      </c>
    </row>
    <row r="284" spans="1:63" x14ac:dyDescent="0.3">
      <c r="A284" t="s">
        <v>958</v>
      </c>
      <c r="B284" t="s">
        <v>109</v>
      </c>
      <c r="C284" t="s">
        <v>37</v>
      </c>
      <c r="D284" t="s">
        <v>67</v>
      </c>
      <c r="E284" t="s">
        <v>878</v>
      </c>
      <c r="F284">
        <v>0</v>
      </c>
      <c r="G284" t="s">
        <v>24</v>
      </c>
      <c r="H284" t="s">
        <v>26</v>
      </c>
      <c r="I284" t="s">
        <v>27</v>
      </c>
      <c r="J284" t="s">
        <v>879</v>
      </c>
      <c r="K284" t="s">
        <v>111</v>
      </c>
      <c r="L284">
        <v>10</v>
      </c>
      <c r="M284">
        <v>332</v>
      </c>
      <c r="N284">
        <v>42</v>
      </c>
      <c r="O284">
        <v>42</v>
      </c>
      <c r="P284" t="b">
        <v>1</v>
      </c>
      <c r="Q284" t="s">
        <v>112</v>
      </c>
      <c r="R284">
        <v>0.28815652122918101</v>
      </c>
      <c r="S284">
        <v>42</v>
      </c>
      <c r="T284">
        <v>0</v>
      </c>
      <c r="U284" t="s">
        <v>959</v>
      </c>
      <c r="V284" t="s">
        <v>932</v>
      </c>
      <c r="W284">
        <v>0.54761904761904701</v>
      </c>
      <c r="X284" t="b">
        <v>0</v>
      </c>
      <c r="Y284">
        <v>794.53494180006896</v>
      </c>
      <c r="Z284">
        <v>180.15035500000499</v>
      </c>
      <c r="AA284">
        <v>8397.8529494999893</v>
      </c>
      <c r="AB284">
        <v>332</v>
      </c>
      <c r="AC284">
        <v>3</v>
      </c>
      <c r="AD284">
        <v>0.30722891566264998</v>
      </c>
      <c r="AE284">
        <v>0.30877587404016699</v>
      </c>
      <c r="AF284">
        <v>0.31394233762998902</v>
      </c>
      <c r="AG284">
        <v>0.30877587404016699</v>
      </c>
      <c r="AH284">
        <v>0.30423485042667697</v>
      </c>
      <c r="AI284">
        <v>-3.2599210376666798E-2</v>
      </c>
      <c r="AJ284" t="s">
        <v>960</v>
      </c>
      <c r="AK284">
        <v>0.45607851430818702</v>
      </c>
      <c r="AM284">
        <v>103</v>
      </c>
      <c r="AN284">
        <v>0.32673267326732602</v>
      </c>
      <c r="AO284">
        <v>0.32038834951456302</v>
      </c>
      <c r="AP284">
        <v>0.32352941176470501</v>
      </c>
      <c r="AQ284">
        <v>148</v>
      </c>
      <c r="AR284">
        <v>0.41509433962264097</v>
      </c>
      <c r="AS284">
        <v>0.29729729729729698</v>
      </c>
      <c r="AT284">
        <v>0.34645669291338499</v>
      </c>
      <c r="AU284">
        <v>81</v>
      </c>
      <c r="AV284">
        <v>0.2</v>
      </c>
      <c r="AW284">
        <v>0.30864197530864101</v>
      </c>
      <c r="AX284">
        <v>0.242718446601941</v>
      </c>
      <c r="AY284">
        <v>1000</v>
      </c>
      <c r="AZ284">
        <v>0.24471299093655499</v>
      </c>
      <c r="BA284">
        <v>0.37049039623539698</v>
      </c>
      <c r="BB284">
        <v>0.240102810836506</v>
      </c>
      <c r="BC284">
        <v>0.37701948481298903</v>
      </c>
      <c r="BD284">
        <v>0.23665747842183699</v>
      </c>
      <c r="BE284">
        <v>0.366395389753156</v>
      </c>
      <c r="BF284">
        <v>-0.12535305391947299</v>
      </c>
      <c r="BG284">
        <v>6.1442119645673199E-2</v>
      </c>
      <c r="BH284">
        <v>1000</v>
      </c>
      <c r="BI284">
        <v>0.22594391362444499</v>
      </c>
      <c r="BJ284">
        <v>0.35433632712866497</v>
      </c>
      <c r="BK284">
        <v>10</v>
      </c>
    </row>
    <row r="285" spans="1:63" x14ac:dyDescent="0.3">
      <c r="A285" t="s">
        <v>961</v>
      </c>
      <c r="B285" t="s">
        <v>109</v>
      </c>
      <c r="C285" t="s">
        <v>37</v>
      </c>
      <c r="D285" t="s">
        <v>67</v>
      </c>
      <c r="E285" t="s">
        <v>884</v>
      </c>
      <c r="F285">
        <v>1</v>
      </c>
      <c r="G285" t="s">
        <v>24</v>
      </c>
      <c r="H285" t="s">
        <v>26</v>
      </c>
      <c r="I285" t="s">
        <v>32</v>
      </c>
      <c r="J285" t="s">
        <v>879</v>
      </c>
      <c r="K285" t="s">
        <v>111</v>
      </c>
      <c r="L285">
        <v>10</v>
      </c>
      <c r="M285">
        <v>332</v>
      </c>
      <c r="N285">
        <v>42</v>
      </c>
      <c r="O285">
        <v>42</v>
      </c>
      <c r="P285" t="b">
        <v>1</v>
      </c>
      <c r="Q285" t="s">
        <v>112</v>
      </c>
      <c r="R285">
        <v>0.333056337477519</v>
      </c>
      <c r="S285">
        <v>42</v>
      </c>
      <c r="T285">
        <v>0</v>
      </c>
      <c r="U285" t="s">
        <v>951</v>
      </c>
      <c r="V285" t="s">
        <v>881</v>
      </c>
      <c r="W285">
        <v>0.52380952380952295</v>
      </c>
      <c r="X285" t="b">
        <v>0</v>
      </c>
      <c r="Y285">
        <v>980.37419260003605</v>
      </c>
      <c r="Z285">
        <v>211.92908919998399</v>
      </c>
      <c r="AA285">
        <v>8434.7402641999906</v>
      </c>
      <c r="AB285">
        <v>332</v>
      </c>
      <c r="AC285">
        <v>3</v>
      </c>
      <c r="AD285">
        <v>0.37048192771084298</v>
      </c>
      <c r="AE285">
        <v>0.34345240601982702</v>
      </c>
      <c r="AF285">
        <v>0.34051808406647099</v>
      </c>
      <c r="AG285">
        <v>0.34345240601982702</v>
      </c>
      <c r="AH285">
        <v>0.340122751328018</v>
      </c>
      <c r="AI285">
        <v>2.3138872259531099E-2</v>
      </c>
      <c r="AJ285" t="s">
        <v>962</v>
      </c>
      <c r="AK285">
        <v>0.50634342596748505</v>
      </c>
      <c r="AM285">
        <v>103</v>
      </c>
      <c r="AN285">
        <v>0.33064516129032201</v>
      </c>
      <c r="AO285">
        <v>0.39805825242718401</v>
      </c>
      <c r="AP285">
        <v>0.36123348017621099</v>
      </c>
      <c r="AQ285">
        <v>148</v>
      </c>
      <c r="AR285">
        <v>0.47552447552447502</v>
      </c>
      <c r="AS285">
        <v>0.45945945945945899</v>
      </c>
      <c r="AT285">
        <v>0.46735395189003398</v>
      </c>
      <c r="AU285">
        <v>81</v>
      </c>
      <c r="AV285">
        <v>0.21538461538461501</v>
      </c>
      <c r="AW285">
        <v>0.172839506172839</v>
      </c>
      <c r="AX285">
        <v>0.19178082191780799</v>
      </c>
      <c r="AY285">
        <v>1000</v>
      </c>
      <c r="AZ285">
        <v>0.30445495735607597</v>
      </c>
      <c r="BA285">
        <v>0.42901368135507101</v>
      </c>
      <c r="BB285">
        <v>0.28772437523272398</v>
      </c>
      <c r="BC285">
        <v>0.39652772263180602</v>
      </c>
      <c r="BD285">
        <v>0.281281340655954</v>
      </c>
      <c r="BE285">
        <v>0.39291202606673897</v>
      </c>
      <c r="BF285">
        <v>-6.4021882151937201E-2</v>
      </c>
      <c r="BG285">
        <v>0.1046511623453</v>
      </c>
      <c r="BH285">
        <v>1000</v>
      </c>
      <c r="BI285">
        <v>0.28051877578988499</v>
      </c>
      <c r="BJ285">
        <v>0.39065240468072798</v>
      </c>
      <c r="BK285">
        <v>3</v>
      </c>
    </row>
    <row r="286" spans="1:63" x14ac:dyDescent="0.3">
      <c r="A286" t="s">
        <v>963</v>
      </c>
      <c r="B286" t="s">
        <v>109</v>
      </c>
      <c r="C286" t="s">
        <v>37</v>
      </c>
      <c r="D286" t="s">
        <v>67</v>
      </c>
      <c r="E286" t="s">
        <v>887</v>
      </c>
      <c r="F286">
        <v>2</v>
      </c>
      <c r="G286" t="s">
        <v>24</v>
      </c>
      <c r="H286" t="s">
        <v>26</v>
      </c>
      <c r="I286" t="s">
        <v>33</v>
      </c>
      <c r="J286" t="s">
        <v>879</v>
      </c>
      <c r="K286" t="s">
        <v>111</v>
      </c>
      <c r="L286">
        <v>10</v>
      </c>
      <c r="M286">
        <v>332</v>
      </c>
      <c r="N286">
        <v>42</v>
      </c>
      <c r="O286">
        <v>42</v>
      </c>
      <c r="P286" t="b">
        <v>1</v>
      </c>
      <c r="Q286" t="s">
        <v>112</v>
      </c>
      <c r="R286">
        <v>0.31978585112205798</v>
      </c>
      <c r="S286">
        <v>42</v>
      </c>
      <c r="T286">
        <v>0</v>
      </c>
      <c r="U286" t="s">
        <v>964</v>
      </c>
      <c r="V286" t="s">
        <v>881</v>
      </c>
      <c r="W286">
        <v>0.5</v>
      </c>
      <c r="X286" t="b">
        <v>0</v>
      </c>
      <c r="Y286">
        <v>896.12992690004398</v>
      </c>
      <c r="Z286">
        <v>216.73080520002901</v>
      </c>
      <c r="AA286">
        <v>8471.4756231999909</v>
      </c>
      <c r="AB286">
        <v>332</v>
      </c>
      <c r="AC286">
        <v>3</v>
      </c>
      <c r="AD286">
        <v>0.33132530120481901</v>
      </c>
      <c r="AE286">
        <v>0.32127110929699898</v>
      </c>
      <c r="AF286">
        <v>0.31265655326497699</v>
      </c>
      <c r="AG286">
        <v>0.32127110929699898</v>
      </c>
      <c r="AH286">
        <v>0.30948499881880398</v>
      </c>
      <c r="AI286">
        <v>-1.0578221031314099E-2</v>
      </c>
      <c r="AJ286" t="s">
        <v>965</v>
      </c>
      <c r="AK286">
        <v>0.47963293186798001</v>
      </c>
      <c r="AM286">
        <v>103</v>
      </c>
      <c r="AN286">
        <v>0.35616438356164298</v>
      </c>
      <c r="AO286">
        <v>0.50485436893203794</v>
      </c>
      <c r="AP286">
        <v>0.417670682730923</v>
      </c>
      <c r="AQ286">
        <v>148</v>
      </c>
      <c r="AR286">
        <v>0.42990654205607398</v>
      </c>
      <c r="AS286">
        <v>0.31081081081081002</v>
      </c>
      <c r="AT286">
        <v>0.36078431372549002</v>
      </c>
      <c r="AU286">
        <v>81</v>
      </c>
      <c r="AV286">
        <v>0.151898734177215</v>
      </c>
      <c r="AW286">
        <v>0.148148148148148</v>
      </c>
      <c r="AX286">
        <v>0.15</v>
      </c>
      <c r="AY286">
        <v>1000</v>
      </c>
      <c r="AZ286">
        <v>0.265861027190332</v>
      </c>
      <c r="BA286">
        <v>0.39586174242424199</v>
      </c>
      <c r="BB286">
        <v>0.25448002528930502</v>
      </c>
      <c r="BC286">
        <v>0.38636068388253503</v>
      </c>
      <c r="BD286">
        <v>0.24625215751860799</v>
      </c>
      <c r="BE286">
        <v>0.37006398316326899</v>
      </c>
      <c r="BF286">
        <v>-0.10387239423379201</v>
      </c>
      <c r="BG286">
        <v>8.6151101833596297E-2</v>
      </c>
      <c r="BH286">
        <v>1000</v>
      </c>
      <c r="BI286">
        <v>0.26470739514129199</v>
      </c>
      <c r="BJ286">
        <v>0.37632863554218299</v>
      </c>
      <c r="BK286">
        <v>5</v>
      </c>
    </row>
    <row r="287" spans="1:63" x14ac:dyDescent="0.3">
      <c r="A287" t="s">
        <v>966</v>
      </c>
      <c r="B287" t="s">
        <v>109</v>
      </c>
      <c r="C287" t="s">
        <v>37</v>
      </c>
      <c r="D287" t="s">
        <v>67</v>
      </c>
      <c r="E287" t="s">
        <v>890</v>
      </c>
      <c r="F287">
        <v>3</v>
      </c>
      <c r="G287" t="s">
        <v>24</v>
      </c>
      <c r="H287" t="s">
        <v>26</v>
      </c>
      <c r="I287" t="s">
        <v>34</v>
      </c>
      <c r="J287" t="s">
        <v>879</v>
      </c>
      <c r="K287" t="s">
        <v>111</v>
      </c>
      <c r="L287">
        <v>10</v>
      </c>
      <c r="M287">
        <v>332</v>
      </c>
      <c r="N287">
        <v>42</v>
      </c>
      <c r="O287">
        <v>42</v>
      </c>
      <c r="P287" t="b">
        <v>1</v>
      </c>
      <c r="Q287" t="s">
        <v>112</v>
      </c>
      <c r="R287">
        <v>0.29436537258581502</v>
      </c>
      <c r="S287">
        <v>42</v>
      </c>
      <c r="T287">
        <v>0</v>
      </c>
      <c r="U287" t="s">
        <v>946</v>
      </c>
      <c r="V287" t="s">
        <v>932</v>
      </c>
      <c r="W287">
        <v>0.52380952380952295</v>
      </c>
      <c r="X287" t="b">
        <v>0</v>
      </c>
      <c r="Y287">
        <v>837.516752699986</v>
      </c>
      <c r="Z287">
        <v>203.80652390004201</v>
      </c>
      <c r="AA287">
        <v>8508.4375836999898</v>
      </c>
      <c r="AB287">
        <v>332</v>
      </c>
      <c r="AC287">
        <v>3</v>
      </c>
      <c r="AD287">
        <v>0.30120481927710802</v>
      </c>
      <c r="AE287">
        <v>0.29604550613180503</v>
      </c>
      <c r="AF287">
        <v>0.30336247577626801</v>
      </c>
      <c r="AG287">
        <v>0.29604550613180503</v>
      </c>
      <c r="AH287">
        <v>0.29413833841692599</v>
      </c>
      <c r="AI287">
        <v>-4.5367083337442299E-2</v>
      </c>
      <c r="AJ287" t="s">
        <v>967</v>
      </c>
      <c r="AK287">
        <v>0.47820234331599198</v>
      </c>
      <c r="AM287">
        <v>103</v>
      </c>
      <c r="AN287">
        <v>0.31034482758620602</v>
      </c>
      <c r="AO287">
        <v>0.34951456310679602</v>
      </c>
      <c r="AP287">
        <v>0.32876712328767099</v>
      </c>
      <c r="AQ287">
        <v>148</v>
      </c>
      <c r="AR287">
        <v>0.42857142857142799</v>
      </c>
      <c r="AS287">
        <v>0.304054054054054</v>
      </c>
      <c r="AT287">
        <v>0.35573122529644202</v>
      </c>
      <c r="AU287">
        <v>81</v>
      </c>
      <c r="AV287">
        <v>0.171171171171171</v>
      </c>
      <c r="AW287">
        <v>0.234567901234567</v>
      </c>
      <c r="AX287">
        <v>0.19791666666666599</v>
      </c>
      <c r="AY287">
        <v>1000</v>
      </c>
      <c r="AZ287">
        <v>0.24179104477611901</v>
      </c>
      <c r="BA287">
        <v>0.35928731660545898</v>
      </c>
      <c r="BB287">
        <v>0.240845471466685</v>
      </c>
      <c r="BC287">
        <v>0.356725129867771</v>
      </c>
      <c r="BD287">
        <v>0.23647575179465399</v>
      </c>
      <c r="BE287">
        <v>0.34624386986028199</v>
      </c>
      <c r="BF287">
        <v>-0.127901547965344</v>
      </c>
      <c r="BG287">
        <v>3.8678731913949299E-2</v>
      </c>
      <c r="BH287">
        <v>1000</v>
      </c>
      <c r="BI287">
        <v>0.24540959257289899</v>
      </c>
      <c r="BJ287">
        <v>0.34207825576811901</v>
      </c>
      <c r="BK287">
        <v>9</v>
      </c>
    </row>
    <row r="288" spans="1:63" x14ac:dyDescent="0.3">
      <c r="A288" t="s">
        <v>968</v>
      </c>
      <c r="B288" t="s">
        <v>109</v>
      </c>
      <c r="C288" t="s">
        <v>37</v>
      </c>
      <c r="D288" t="s">
        <v>67</v>
      </c>
      <c r="E288" t="s">
        <v>893</v>
      </c>
      <c r="F288">
        <v>4</v>
      </c>
      <c r="G288" t="s">
        <v>24</v>
      </c>
      <c r="H288" t="s">
        <v>26</v>
      </c>
      <c r="I288" t="s">
        <v>35</v>
      </c>
      <c r="J288" t="s">
        <v>879</v>
      </c>
      <c r="K288" t="s">
        <v>111</v>
      </c>
      <c r="L288">
        <v>10</v>
      </c>
      <c r="M288">
        <v>332</v>
      </c>
      <c r="N288">
        <v>42</v>
      </c>
      <c r="O288">
        <v>42</v>
      </c>
      <c r="P288" t="b">
        <v>1</v>
      </c>
      <c r="Q288" t="s">
        <v>112</v>
      </c>
      <c r="R288">
        <v>0.30821575181796801</v>
      </c>
      <c r="S288">
        <v>42</v>
      </c>
      <c r="T288">
        <v>0</v>
      </c>
      <c r="U288" t="s">
        <v>946</v>
      </c>
      <c r="V288" t="s">
        <v>932</v>
      </c>
      <c r="W288">
        <v>0.52380952380952295</v>
      </c>
      <c r="X288" t="b">
        <v>0</v>
      </c>
      <c r="Y288">
        <v>763.52169910006296</v>
      </c>
      <c r="Z288">
        <v>172.67783679997899</v>
      </c>
      <c r="AA288">
        <v>8545.3673015999902</v>
      </c>
      <c r="AB288">
        <v>332</v>
      </c>
      <c r="AC288">
        <v>3</v>
      </c>
      <c r="AD288">
        <v>0.31626506024096301</v>
      </c>
      <c r="AE288">
        <v>0.30793684731117299</v>
      </c>
      <c r="AF288">
        <v>0.30050775488731601</v>
      </c>
      <c r="AG288">
        <v>0.30793684731117299</v>
      </c>
      <c r="AH288">
        <v>0.29911469911469901</v>
      </c>
      <c r="AI288">
        <v>-3.46727192941398E-2</v>
      </c>
      <c r="AJ288" t="s">
        <v>969</v>
      </c>
      <c r="AK288">
        <v>0.47452824127922399</v>
      </c>
      <c r="AM288">
        <v>103</v>
      </c>
      <c r="AN288">
        <v>0.35036496350364899</v>
      </c>
      <c r="AO288">
        <v>0.466019417475728</v>
      </c>
      <c r="AP288">
        <v>0.4</v>
      </c>
      <c r="AQ288">
        <v>148</v>
      </c>
      <c r="AR288">
        <v>0.39639639639639601</v>
      </c>
      <c r="AS288">
        <v>0.29729729729729698</v>
      </c>
      <c r="AT288">
        <v>0.33976833976833898</v>
      </c>
      <c r="AU288">
        <v>81</v>
      </c>
      <c r="AV288">
        <v>0.15476190476190399</v>
      </c>
      <c r="AW288">
        <v>0.16049382716049301</v>
      </c>
      <c r="AX288">
        <v>0.15757575757575701</v>
      </c>
      <c r="AY288">
        <v>1000</v>
      </c>
      <c r="AZ288">
        <v>0.26346517491333099</v>
      </c>
      <c r="BA288">
        <v>0.37048192771084298</v>
      </c>
      <c r="BB288">
        <v>0.26137395735576302</v>
      </c>
      <c r="BC288">
        <v>0.35416186300034103</v>
      </c>
      <c r="BD288">
        <v>0.25279969630904597</v>
      </c>
      <c r="BE288">
        <v>0.34208395290279597</v>
      </c>
      <c r="BF288">
        <v>-0.106242638982598</v>
      </c>
      <c r="BG288">
        <v>3.7459021620524897E-2</v>
      </c>
      <c r="BH288">
        <v>1000</v>
      </c>
      <c r="BI288">
        <v>0.25953048496044101</v>
      </c>
      <c r="BJ288">
        <v>0.36249761599451402</v>
      </c>
      <c r="BK288">
        <v>7</v>
      </c>
    </row>
    <row r="289" spans="1:63" x14ac:dyDescent="0.3">
      <c r="A289" t="s">
        <v>970</v>
      </c>
      <c r="B289" t="s">
        <v>109</v>
      </c>
      <c r="C289" t="s">
        <v>37</v>
      </c>
      <c r="D289" t="s">
        <v>67</v>
      </c>
      <c r="E289" t="s">
        <v>896</v>
      </c>
      <c r="F289">
        <v>5</v>
      </c>
      <c r="G289" t="s">
        <v>24</v>
      </c>
      <c r="H289" t="s">
        <v>36</v>
      </c>
      <c r="I289" t="s">
        <v>27</v>
      </c>
      <c r="J289" t="s">
        <v>879</v>
      </c>
      <c r="K289" t="s">
        <v>111</v>
      </c>
      <c r="L289">
        <v>10</v>
      </c>
      <c r="M289">
        <v>332</v>
      </c>
      <c r="N289">
        <v>42</v>
      </c>
      <c r="O289">
        <v>42</v>
      </c>
      <c r="P289" t="b">
        <v>1</v>
      </c>
      <c r="Q289" t="s">
        <v>112</v>
      </c>
      <c r="R289">
        <v>0.30130473453749301</v>
      </c>
      <c r="S289">
        <v>42</v>
      </c>
      <c r="T289">
        <v>0</v>
      </c>
      <c r="U289" t="s">
        <v>971</v>
      </c>
      <c r="V289" t="s">
        <v>932</v>
      </c>
      <c r="W289">
        <v>0.59523809523809501</v>
      </c>
      <c r="X289" t="b">
        <v>0</v>
      </c>
      <c r="Y289">
        <v>392.11820180005401</v>
      </c>
      <c r="Z289">
        <v>85.363123099959907</v>
      </c>
      <c r="AA289">
        <v>8582.91963759998</v>
      </c>
      <c r="AB289">
        <v>332</v>
      </c>
      <c r="AC289">
        <v>3</v>
      </c>
      <c r="AD289">
        <v>0.30421686746987903</v>
      </c>
      <c r="AE289">
        <v>0.28582088021138702</v>
      </c>
      <c r="AF289">
        <v>0.28950782435038402</v>
      </c>
      <c r="AG289">
        <v>0.28582088021138702</v>
      </c>
      <c r="AH289">
        <v>0.28666171713546401</v>
      </c>
      <c r="AI289">
        <v>-6.24098494960229E-2</v>
      </c>
      <c r="AJ289" t="s">
        <v>972</v>
      </c>
      <c r="AK289">
        <v>0.45418255506672001</v>
      </c>
      <c r="AM289">
        <v>103</v>
      </c>
      <c r="AN289">
        <v>0.25663716814159199</v>
      </c>
      <c r="AO289">
        <v>0.28155339805825202</v>
      </c>
      <c r="AP289">
        <v>0.26851851851851799</v>
      </c>
      <c r="AQ289">
        <v>148</v>
      </c>
      <c r="AR289">
        <v>0.434108527131782</v>
      </c>
      <c r="AS289">
        <v>0.37837837837837801</v>
      </c>
      <c r="AT289">
        <v>0.404332129963898</v>
      </c>
      <c r="AU289">
        <v>81</v>
      </c>
      <c r="AV289">
        <v>0.17777777777777701</v>
      </c>
      <c r="AW289">
        <v>0.19753086419752999</v>
      </c>
      <c r="AX289">
        <v>0.18713450292397599</v>
      </c>
      <c r="AY289">
        <v>1000</v>
      </c>
      <c r="AZ289">
        <v>0.254454962027165</v>
      </c>
      <c r="BA289">
        <v>0.35544333020705499</v>
      </c>
      <c r="BB289">
        <v>0.24186640428390199</v>
      </c>
      <c r="BC289">
        <v>0.33153063359828999</v>
      </c>
      <c r="BD289">
        <v>0.24305501095811699</v>
      </c>
      <c r="BE289">
        <v>0.33056572530316197</v>
      </c>
      <c r="BF289">
        <v>-0.12941141978544701</v>
      </c>
      <c r="BG289">
        <v>1.03038155547274E-2</v>
      </c>
      <c r="BH289">
        <v>1000</v>
      </c>
      <c r="BI289">
        <v>0.26043213030998202</v>
      </c>
      <c r="BJ289">
        <v>0.34084638542186302</v>
      </c>
      <c r="BK289">
        <v>8</v>
      </c>
    </row>
    <row r="290" spans="1:63" x14ac:dyDescent="0.3">
      <c r="A290" t="s">
        <v>973</v>
      </c>
      <c r="B290" t="s">
        <v>109</v>
      </c>
      <c r="C290" t="s">
        <v>37</v>
      </c>
      <c r="D290" t="s">
        <v>67</v>
      </c>
      <c r="E290" t="s">
        <v>899</v>
      </c>
      <c r="F290">
        <v>6</v>
      </c>
      <c r="G290" t="s">
        <v>24</v>
      </c>
      <c r="H290" t="s">
        <v>36</v>
      </c>
      <c r="I290" t="s">
        <v>32</v>
      </c>
      <c r="J290" t="s">
        <v>879</v>
      </c>
      <c r="K290" t="s">
        <v>111</v>
      </c>
      <c r="L290">
        <v>10</v>
      </c>
      <c r="M290">
        <v>332</v>
      </c>
      <c r="N290">
        <v>42</v>
      </c>
      <c r="O290">
        <v>42</v>
      </c>
      <c r="P290" t="b">
        <v>1</v>
      </c>
      <c r="Q290" t="s">
        <v>112</v>
      </c>
      <c r="R290">
        <v>0.35601434826804201</v>
      </c>
      <c r="S290">
        <v>42</v>
      </c>
      <c r="T290">
        <v>0</v>
      </c>
      <c r="U290" t="s">
        <v>941</v>
      </c>
      <c r="V290" t="s">
        <v>881</v>
      </c>
      <c r="W290">
        <v>0.54761904761904701</v>
      </c>
      <c r="X290" t="b">
        <v>0</v>
      </c>
      <c r="Y290">
        <v>419.76643079992198</v>
      </c>
      <c r="Z290">
        <v>93.870010999977197</v>
      </c>
      <c r="AA290">
        <v>8619.9079250999894</v>
      </c>
      <c r="AB290">
        <v>332</v>
      </c>
      <c r="AC290">
        <v>3</v>
      </c>
      <c r="AD290">
        <v>0.33433734939759002</v>
      </c>
      <c r="AE290">
        <v>0.33298211912019798</v>
      </c>
      <c r="AF290">
        <v>0.33321590158776498</v>
      </c>
      <c r="AG290">
        <v>0.33298211912019798</v>
      </c>
      <c r="AH290">
        <v>0.32844988335722702</v>
      </c>
      <c r="AI290">
        <v>2.0748383035959199E-4</v>
      </c>
      <c r="AJ290" t="s">
        <v>974</v>
      </c>
      <c r="AK290">
        <v>0.46490989877324501</v>
      </c>
      <c r="AM290">
        <v>103</v>
      </c>
      <c r="AN290">
        <v>0.324561403508771</v>
      </c>
      <c r="AO290">
        <v>0.35922330097087302</v>
      </c>
      <c r="AP290">
        <v>0.34101382488479198</v>
      </c>
      <c r="AQ290">
        <v>148</v>
      </c>
      <c r="AR290">
        <v>0.44144144144144098</v>
      </c>
      <c r="AS290">
        <v>0.33108108108108097</v>
      </c>
      <c r="AT290">
        <v>0.37837837837837801</v>
      </c>
      <c r="AU290">
        <v>81</v>
      </c>
      <c r="AV290">
        <v>0.233644859813084</v>
      </c>
      <c r="AW290">
        <v>0.30864197530864101</v>
      </c>
      <c r="AX290">
        <v>0.26595744680851002</v>
      </c>
      <c r="AY290">
        <v>1000</v>
      </c>
      <c r="AZ290">
        <v>0.28352648398471902</v>
      </c>
      <c r="BA290">
        <v>0.386929112554112</v>
      </c>
      <c r="BB290">
        <v>0.27779965141651503</v>
      </c>
      <c r="BC290">
        <v>0.38933599456039097</v>
      </c>
      <c r="BD290">
        <v>0.27534936694185802</v>
      </c>
      <c r="BE290">
        <v>0.37778217423618699</v>
      </c>
      <c r="BF290">
        <v>-7.6404821108051801E-2</v>
      </c>
      <c r="BG290">
        <v>8.1138757679740103E-2</v>
      </c>
      <c r="BH290">
        <v>1000</v>
      </c>
      <c r="BI290">
        <v>0.29710433395380897</v>
      </c>
      <c r="BJ290">
        <v>0.42047026735742199</v>
      </c>
      <c r="BK290">
        <v>2</v>
      </c>
    </row>
    <row r="291" spans="1:63" x14ac:dyDescent="0.3">
      <c r="A291" t="s">
        <v>975</v>
      </c>
      <c r="B291" t="s">
        <v>109</v>
      </c>
      <c r="C291" t="s">
        <v>37</v>
      </c>
      <c r="D291" t="s">
        <v>67</v>
      </c>
      <c r="E291" t="s">
        <v>902</v>
      </c>
      <c r="F291">
        <v>7</v>
      </c>
      <c r="G291" t="s">
        <v>24</v>
      </c>
      <c r="H291" t="s">
        <v>36</v>
      </c>
      <c r="I291" t="s">
        <v>33</v>
      </c>
      <c r="J291" t="s">
        <v>879</v>
      </c>
      <c r="K291" t="s">
        <v>111</v>
      </c>
      <c r="L291">
        <v>10</v>
      </c>
      <c r="M291">
        <v>332</v>
      </c>
      <c r="N291">
        <v>42</v>
      </c>
      <c r="O291">
        <v>42</v>
      </c>
      <c r="P291" t="b">
        <v>1</v>
      </c>
      <c r="Q291" t="s">
        <v>112</v>
      </c>
      <c r="R291">
        <v>0.32384969505043398</v>
      </c>
      <c r="S291">
        <v>42</v>
      </c>
      <c r="T291">
        <v>0</v>
      </c>
      <c r="U291" t="s">
        <v>951</v>
      </c>
      <c r="V291" t="s">
        <v>881</v>
      </c>
      <c r="W291">
        <v>0.52380952380952295</v>
      </c>
      <c r="X291" t="b">
        <v>0</v>
      </c>
      <c r="Y291">
        <v>406.51242999997299</v>
      </c>
      <c r="Z291">
        <v>108.87864419999801</v>
      </c>
      <c r="AA291">
        <v>8657.1131797999897</v>
      </c>
      <c r="AB291">
        <v>332</v>
      </c>
      <c r="AC291">
        <v>3</v>
      </c>
      <c r="AD291">
        <v>0.34939759036144502</v>
      </c>
      <c r="AE291">
        <v>0.32364565212461599</v>
      </c>
      <c r="AF291">
        <v>0.32290437542538297</v>
      </c>
      <c r="AG291">
        <v>0.32364565212461599</v>
      </c>
      <c r="AH291">
        <v>0.32232724239321803</v>
      </c>
      <c r="AI291">
        <v>-1.1353878773685501E-2</v>
      </c>
      <c r="AJ291" t="s">
        <v>976</v>
      </c>
      <c r="AK291">
        <v>0.51505704635097704</v>
      </c>
      <c r="AM291">
        <v>103</v>
      </c>
      <c r="AN291">
        <v>0.29914529914529903</v>
      </c>
      <c r="AO291">
        <v>0.33980582524271802</v>
      </c>
      <c r="AP291">
        <v>0.31818181818181801</v>
      </c>
      <c r="AQ291">
        <v>148</v>
      </c>
      <c r="AR291">
        <v>0.44897959183673403</v>
      </c>
      <c r="AS291">
        <v>0.445945945945945</v>
      </c>
      <c r="AT291">
        <v>0.44745762711864401</v>
      </c>
      <c r="AU291">
        <v>81</v>
      </c>
      <c r="AV291">
        <v>0.220588235294117</v>
      </c>
      <c r="AW291">
        <v>0.18518518518518501</v>
      </c>
      <c r="AX291">
        <v>0.20134228187919401</v>
      </c>
      <c r="AY291">
        <v>1000</v>
      </c>
      <c r="AZ291">
        <v>0.29845481927710799</v>
      </c>
      <c r="BA291">
        <v>0.399399399399399</v>
      </c>
      <c r="BB291">
        <v>0.27516515871054997</v>
      </c>
      <c r="BC291">
        <v>0.37355413796327502</v>
      </c>
      <c r="BD291">
        <v>0.27055231636723798</v>
      </c>
      <c r="BE291">
        <v>0.37023511575568702</v>
      </c>
      <c r="BF291">
        <v>-8.3105772175093601E-2</v>
      </c>
      <c r="BG291">
        <v>6.4253811384283294E-2</v>
      </c>
      <c r="BH291">
        <v>1000</v>
      </c>
      <c r="BI291">
        <v>0.27091772553902199</v>
      </c>
      <c r="BJ291">
        <v>0.37595179513744698</v>
      </c>
      <c r="BK291">
        <v>4</v>
      </c>
    </row>
    <row r="292" spans="1:63" x14ac:dyDescent="0.3">
      <c r="A292" t="s">
        <v>977</v>
      </c>
      <c r="B292" t="s">
        <v>109</v>
      </c>
      <c r="C292" t="s">
        <v>37</v>
      </c>
      <c r="D292" t="s">
        <v>67</v>
      </c>
      <c r="E292" t="s">
        <v>905</v>
      </c>
      <c r="F292">
        <v>8</v>
      </c>
      <c r="G292" t="s">
        <v>24</v>
      </c>
      <c r="H292" t="s">
        <v>36</v>
      </c>
      <c r="I292" t="s">
        <v>34</v>
      </c>
      <c r="J292" t="s">
        <v>879</v>
      </c>
      <c r="K292" t="s">
        <v>111</v>
      </c>
      <c r="L292">
        <v>10</v>
      </c>
      <c r="M292">
        <v>332</v>
      </c>
      <c r="N292">
        <v>42</v>
      </c>
      <c r="O292">
        <v>42</v>
      </c>
      <c r="P292" t="b">
        <v>1</v>
      </c>
      <c r="Q292" t="s">
        <v>112</v>
      </c>
      <c r="R292">
        <v>0.387870240050042</v>
      </c>
      <c r="S292">
        <v>42</v>
      </c>
      <c r="T292">
        <v>0</v>
      </c>
      <c r="U292" t="s">
        <v>978</v>
      </c>
      <c r="V292" t="s">
        <v>932</v>
      </c>
      <c r="W292">
        <v>0.66666666666666596</v>
      </c>
      <c r="X292" t="b">
        <v>0</v>
      </c>
      <c r="Y292">
        <v>394.41811930001103</v>
      </c>
      <c r="Z292">
        <v>100.67617370001901</v>
      </c>
      <c r="AA292">
        <v>8693.8009075999798</v>
      </c>
      <c r="AB292">
        <v>332</v>
      </c>
      <c r="AC292">
        <v>3</v>
      </c>
      <c r="AD292">
        <v>0.343373493975903</v>
      </c>
      <c r="AE292">
        <v>0.34304477076861101</v>
      </c>
      <c r="AF292">
        <v>0.33892753623188399</v>
      </c>
      <c r="AG292">
        <v>0.34304477076861101</v>
      </c>
      <c r="AH292">
        <v>0.336455607884179</v>
      </c>
      <c r="AI292">
        <v>7.7334662375779803E-3</v>
      </c>
      <c r="AJ292" t="s">
        <v>979</v>
      </c>
      <c r="AK292">
        <v>0.47910832346587301</v>
      </c>
      <c r="AM292">
        <v>103</v>
      </c>
      <c r="AN292">
        <v>0.31521739130434701</v>
      </c>
      <c r="AO292">
        <v>0.28155339805825202</v>
      </c>
      <c r="AP292">
        <v>0.29743589743589699</v>
      </c>
      <c r="AQ292">
        <v>148</v>
      </c>
      <c r="AR292">
        <v>0.432</v>
      </c>
      <c r="AS292">
        <v>0.36486486486486402</v>
      </c>
      <c r="AT292">
        <v>0.39560439560439498</v>
      </c>
      <c r="AU292">
        <v>81</v>
      </c>
      <c r="AV292">
        <v>0.26956521739130401</v>
      </c>
      <c r="AW292">
        <v>0.38271604938271597</v>
      </c>
      <c r="AX292">
        <v>0.31632653061224397</v>
      </c>
      <c r="AY292">
        <v>1000</v>
      </c>
      <c r="AZ292">
        <v>0.28528528528528502</v>
      </c>
      <c r="BA292">
        <v>0.40061162079510698</v>
      </c>
      <c r="BB292">
        <v>0.28564970607228402</v>
      </c>
      <c r="BC292">
        <v>0.40237789236114102</v>
      </c>
      <c r="BD292">
        <v>0.27844261324395397</v>
      </c>
      <c r="BE292">
        <v>0.39045398536055698</v>
      </c>
      <c r="BF292">
        <v>-7.4078843390587998E-2</v>
      </c>
      <c r="BG292">
        <v>8.9842381405820806E-2</v>
      </c>
      <c r="BH292">
        <v>1000</v>
      </c>
      <c r="BI292">
        <v>0.32449237450047302</v>
      </c>
      <c r="BJ292">
        <v>0.45000690770135199</v>
      </c>
      <c r="BK292">
        <v>1</v>
      </c>
    </row>
    <row r="293" spans="1:63" x14ac:dyDescent="0.3">
      <c r="A293" t="s">
        <v>980</v>
      </c>
      <c r="B293" t="s">
        <v>109</v>
      </c>
      <c r="C293" t="s">
        <v>37</v>
      </c>
      <c r="D293" t="s">
        <v>67</v>
      </c>
      <c r="E293" t="s">
        <v>908</v>
      </c>
      <c r="F293">
        <v>9</v>
      </c>
      <c r="G293" t="s">
        <v>24</v>
      </c>
      <c r="H293" t="s">
        <v>36</v>
      </c>
      <c r="I293" t="s">
        <v>35</v>
      </c>
      <c r="J293" t="s">
        <v>879</v>
      </c>
      <c r="K293" t="s">
        <v>111</v>
      </c>
      <c r="L293">
        <v>10</v>
      </c>
      <c r="M293">
        <v>332</v>
      </c>
      <c r="N293">
        <v>42</v>
      </c>
      <c r="O293">
        <v>42</v>
      </c>
      <c r="P293" t="b">
        <v>1</v>
      </c>
      <c r="Q293" t="s">
        <v>112</v>
      </c>
      <c r="R293">
        <v>0.31369233325514101</v>
      </c>
      <c r="S293">
        <v>42</v>
      </c>
      <c r="T293">
        <v>0</v>
      </c>
      <c r="U293" t="s">
        <v>946</v>
      </c>
      <c r="V293" t="s">
        <v>932</v>
      </c>
      <c r="W293">
        <v>0.52380952380952295</v>
      </c>
      <c r="X293" t="b">
        <v>0</v>
      </c>
      <c r="Y293">
        <v>372.73238310009702</v>
      </c>
      <c r="Z293">
        <v>108.223381099989</v>
      </c>
      <c r="AA293">
        <v>8730.7006057999897</v>
      </c>
      <c r="AB293">
        <v>332</v>
      </c>
      <c r="AC293">
        <v>3</v>
      </c>
      <c r="AD293">
        <v>0.31024096385542099</v>
      </c>
      <c r="AE293">
        <v>0.29151940505770002</v>
      </c>
      <c r="AF293">
        <v>0.29909003831417602</v>
      </c>
      <c r="AG293">
        <v>0.29151940505770002</v>
      </c>
      <c r="AH293">
        <v>0.29304737823151</v>
      </c>
      <c r="AI293">
        <v>-4.5575480329179803E-2</v>
      </c>
      <c r="AJ293" t="s">
        <v>981</v>
      </c>
      <c r="AK293">
        <v>0.47583740579700201</v>
      </c>
      <c r="AM293">
        <v>103</v>
      </c>
      <c r="AN293">
        <v>0.29310344827586199</v>
      </c>
      <c r="AO293">
        <v>0.33009708737864002</v>
      </c>
      <c r="AP293">
        <v>0.31050228310502198</v>
      </c>
      <c r="AQ293">
        <v>148</v>
      </c>
      <c r="AR293">
        <v>0.45833333333333298</v>
      </c>
      <c r="AS293">
        <v>0.37162162162162099</v>
      </c>
      <c r="AT293">
        <v>0.41044776119402898</v>
      </c>
      <c r="AU293">
        <v>81</v>
      </c>
      <c r="AV293">
        <v>0.14583333333333301</v>
      </c>
      <c r="AW293">
        <v>0.172839506172839</v>
      </c>
      <c r="AX293">
        <v>0.15819209039547999</v>
      </c>
      <c r="AY293">
        <v>1000</v>
      </c>
      <c r="AZ293">
        <v>0.25825825825825799</v>
      </c>
      <c r="BA293">
        <v>0.366078802016302</v>
      </c>
      <c r="BB293">
        <v>0.241537230091463</v>
      </c>
      <c r="BC293">
        <v>0.34511155632199397</v>
      </c>
      <c r="BD293">
        <v>0.24426282106648201</v>
      </c>
      <c r="BE293">
        <v>0.34277064910884297</v>
      </c>
      <c r="BF293">
        <v>-0.120485415302875</v>
      </c>
      <c r="BG293">
        <v>3.6057159674730999E-2</v>
      </c>
      <c r="BH293">
        <v>1000</v>
      </c>
      <c r="BI293">
        <v>0.24297259162269799</v>
      </c>
      <c r="BJ293">
        <v>0.39293352673560999</v>
      </c>
      <c r="BK293">
        <v>6</v>
      </c>
    </row>
    <row r="294" spans="1:63" x14ac:dyDescent="0.3">
      <c r="A294" t="s">
        <v>0</v>
      </c>
      <c r="B294" t="s">
        <v>69</v>
      </c>
      <c r="C294" t="s">
        <v>2</v>
      </c>
      <c r="D294" t="s">
        <v>70</v>
      </c>
      <c r="E294" t="s">
        <v>71</v>
      </c>
      <c r="F294" t="s">
        <v>72</v>
      </c>
      <c r="G294" t="s">
        <v>1</v>
      </c>
      <c r="H294" t="s">
        <v>3</v>
      </c>
      <c r="I294" t="s">
        <v>4</v>
      </c>
      <c r="J294" t="s">
        <v>5</v>
      </c>
      <c r="K294" t="s">
        <v>73</v>
      </c>
      <c r="L294" t="s">
        <v>74</v>
      </c>
      <c r="M294" t="s">
        <v>75</v>
      </c>
      <c r="N294" t="s">
        <v>6</v>
      </c>
      <c r="O294" t="s">
        <v>7</v>
      </c>
      <c r="P294" t="s">
        <v>8</v>
      </c>
      <c r="Q294" t="s">
        <v>76</v>
      </c>
      <c r="R294" t="s">
        <v>77</v>
      </c>
      <c r="S294" t="s">
        <v>78</v>
      </c>
      <c r="T294" t="s">
        <v>79</v>
      </c>
      <c r="U294" t="s">
        <v>80</v>
      </c>
      <c r="V294" t="s">
        <v>81</v>
      </c>
      <c r="W294" t="s">
        <v>82</v>
      </c>
      <c r="X294" t="s">
        <v>9</v>
      </c>
      <c r="Y294" t="s">
        <v>83</v>
      </c>
      <c r="Z294" t="s">
        <v>84</v>
      </c>
      <c r="AA294" t="s">
        <v>85</v>
      </c>
      <c r="AB294" t="s">
        <v>10</v>
      </c>
      <c r="AC294" t="s">
        <v>86</v>
      </c>
      <c r="AD294" t="s">
        <v>11</v>
      </c>
      <c r="AE294" t="s">
        <v>87</v>
      </c>
      <c r="AF294" t="s">
        <v>88</v>
      </c>
      <c r="AG294" t="s">
        <v>89</v>
      </c>
      <c r="AH294" t="s">
        <v>90</v>
      </c>
      <c r="AI294" t="s">
        <v>12</v>
      </c>
      <c r="AJ294" t="s">
        <v>91</v>
      </c>
      <c r="AK294" t="s">
        <v>17</v>
      </c>
      <c r="AL294" t="s">
        <v>18</v>
      </c>
      <c r="AM294" t="s">
        <v>92</v>
      </c>
      <c r="AN294" t="s">
        <v>93</v>
      </c>
      <c r="AO294" t="s">
        <v>94</v>
      </c>
      <c r="AP294" t="s">
        <v>95</v>
      </c>
      <c r="AQ294" t="s">
        <v>96</v>
      </c>
      <c r="AR294" t="s">
        <v>97</v>
      </c>
      <c r="AS294" t="s">
        <v>98</v>
      </c>
      <c r="AT294" t="s">
        <v>99</v>
      </c>
      <c r="AU294" t="s">
        <v>13</v>
      </c>
      <c r="AV294" t="s">
        <v>14</v>
      </c>
      <c r="AW294" t="s">
        <v>15</v>
      </c>
      <c r="AX294" t="s">
        <v>16</v>
      </c>
      <c r="AY294" t="s">
        <v>19</v>
      </c>
      <c r="AZ294" t="s">
        <v>20</v>
      </c>
      <c r="BA294" t="s">
        <v>21</v>
      </c>
      <c r="BB294" t="s">
        <v>100</v>
      </c>
      <c r="BC294" t="s">
        <v>101</v>
      </c>
      <c r="BD294" t="s">
        <v>102</v>
      </c>
      <c r="BE294" t="s">
        <v>103</v>
      </c>
      <c r="BF294" t="s">
        <v>22</v>
      </c>
      <c r="BG294" t="s">
        <v>23</v>
      </c>
      <c r="BH294" t="s">
        <v>104</v>
      </c>
      <c r="BI294" t="s">
        <v>105</v>
      </c>
      <c r="BJ294" t="s">
        <v>106</v>
      </c>
      <c r="BK294" t="s">
        <v>107</v>
      </c>
    </row>
    <row r="295" spans="1:63" x14ac:dyDescent="0.3">
      <c r="A295" t="s">
        <v>982</v>
      </c>
      <c r="B295" t="s">
        <v>109</v>
      </c>
      <c r="C295" t="s">
        <v>25</v>
      </c>
      <c r="D295" t="s">
        <v>66</v>
      </c>
      <c r="E295" t="s">
        <v>983</v>
      </c>
      <c r="F295">
        <v>0</v>
      </c>
      <c r="G295" t="s">
        <v>24</v>
      </c>
      <c r="H295" t="s">
        <v>26</v>
      </c>
      <c r="I295" t="s">
        <v>27</v>
      </c>
      <c r="J295" t="s">
        <v>984</v>
      </c>
      <c r="K295" t="s">
        <v>111</v>
      </c>
      <c r="L295">
        <v>10</v>
      </c>
      <c r="M295">
        <v>304</v>
      </c>
      <c r="N295">
        <v>42</v>
      </c>
      <c r="O295">
        <v>42</v>
      </c>
      <c r="P295" t="b">
        <v>1</v>
      </c>
      <c r="Q295" t="s">
        <v>112</v>
      </c>
      <c r="R295">
        <v>0.54653158011171898</v>
      </c>
      <c r="S295">
        <v>42</v>
      </c>
      <c r="T295">
        <v>0</v>
      </c>
      <c r="U295" t="s">
        <v>985</v>
      </c>
      <c r="V295" t="s">
        <v>986</v>
      </c>
      <c r="W295">
        <v>0.59523809523809501</v>
      </c>
      <c r="X295" t="b">
        <v>0</v>
      </c>
      <c r="Y295">
        <v>884.07026559987503</v>
      </c>
      <c r="Z295">
        <v>203.23717539996099</v>
      </c>
      <c r="AA295">
        <v>8710.6691138999795</v>
      </c>
      <c r="AB295">
        <v>304</v>
      </c>
      <c r="AC295">
        <v>2</v>
      </c>
      <c r="AD295">
        <v>0.54276315789473595</v>
      </c>
      <c r="AE295">
        <v>0.55008710801393701</v>
      </c>
      <c r="AF295">
        <v>0.55139664804469202</v>
      </c>
      <c r="AG295">
        <v>0.55008710801393701</v>
      </c>
      <c r="AH295">
        <v>0.541647232376262</v>
      </c>
      <c r="AI295">
        <v>0.101475306595621</v>
      </c>
      <c r="AJ295" t="s">
        <v>987</v>
      </c>
      <c r="AK295">
        <v>0.54050522648083599</v>
      </c>
      <c r="AL295">
        <v>0.56814984833487403</v>
      </c>
      <c r="AM295">
        <v>140</v>
      </c>
      <c r="AN295">
        <v>0.50279329608938494</v>
      </c>
      <c r="AO295">
        <v>0.64285714285714202</v>
      </c>
      <c r="AP295">
        <v>0.56426332288401204</v>
      </c>
      <c r="AQ295">
        <v>164</v>
      </c>
      <c r="AR295">
        <v>0.6</v>
      </c>
      <c r="AS295">
        <v>0.457317073170731</v>
      </c>
      <c r="AT295">
        <v>0.51903114186851196</v>
      </c>
      <c r="AU295">
        <v>90</v>
      </c>
      <c r="AV295">
        <v>50</v>
      </c>
      <c r="AW295">
        <v>89</v>
      </c>
      <c r="AX295">
        <v>75</v>
      </c>
      <c r="AY295">
        <v>1000</v>
      </c>
      <c r="AZ295">
        <v>0.50314607914795795</v>
      </c>
      <c r="BA295">
        <v>0.58804475278483403</v>
      </c>
      <c r="BB295">
        <v>0.50682216886817799</v>
      </c>
      <c r="BC295">
        <v>0.59663523923598505</v>
      </c>
      <c r="BD295">
        <v>0.49716537089100499</v>
      </c>
      <c r="BE295">
        <v>0.58652835154444904</v>
      </c>
      <c r="BF295">
        <v>1.38298808750078E-2</v>
      </c>
      <c r="BG295">
        <v>0.19521471186896799</v>
      </c>
      <c r="BH295">
        <v>1000</v>
      </c>
      <c r="BI295">
        <v>0.50417977607709696</v>
      </c>
      <c r="BJ295">
        <v>0.58714267998866199</v>
      </c>
      <c r="BK295">
        <v>2</v>
      </c>
    </row>
    <row r="296" spans="1:63" x14ac:dyDescent="0.3">
      <c r="A296" t="s">
        <v>988</v>
      </c>
      <c r="B296" t="s">
        <v>109</v>
      </c>
      <c r="C296" t="s">
        <v>25</v>
      </c>
      <c r="D296" t="s">
        <v>66</v>
      </c>
      <c r="E296" t="s">
        <v>989</v>
      </c>
      <c r="F296">
        <v>1</v>
      </c>
      <c r="G296" t="s">
        <v>24</v>
      </c>
      <c r="H296" t="s">
        <v>26</v>
      </c>
      <c r="I296" t="s">
        <v>32</v>
      </c>
      <c r="J296" t="s">
        <v>984</v>
      </c>
      <c r="K296" t="s">
        <v>111</v>
      </c>
      <c r="L296">
        <v>10</v>
      </c>
      <c r="M296">
        <v>304</v>
      </c>
      <c r="N296">
        <v>42</v>
      </c>
      <c r="O296">
        <v>42</v>
      </c>
      <c r="P296" t="b">
        <v>1</v>
      </c>
      <c r="Q296" t="s">
        <v>112</v>
      </c>
      <c r="R296">
        <v>0.49288064819423699</v>
      </c>
      <c r="S296">
        <v>42</v>
      </c>
      <c r="T296">
        <v>0</v>
      </c>
      <c r="U296" t="s">
        <v>990</v>
      </c>
      <c r="V296" t="s">
        <v>986</v>
      </c>
      <c r="W296">
        <v>0.52380952380952295</v>
      </c>
      <c r="X296" t="b">
        <v>0</v>
      </c>
      <c r="Y296">
        <v>933.09931909973898</v>
      </c>
      <c r="Z296">
        <v>207.467440300097</v>
      </c>
      <c r="AA296">
        <v>8822.2150565999891</v>
      </c>
      <c r="AB296">
        <v>304</v>
      </c>
      <c r="AC296">
        <v>2</v>
      </c>
      <c r="AD296">
        <v>0.48684210526315702</v>
      </c>
      <c r="AE296">
        <v>0.48780487804877998</v>
      </c>
      <c r="AF296">
        <v>0.48787248787248699</v>
      </c>
      <c r="AG296">
        <v>0.48780487804877998</v>
      </c>
      <c r="AH296">
        <v>0.48648648648648601</v>
      </c>
      <c r="AI296">
        <v>-2.4322540110761699E-2</v>
      </c>
      <c r="AJ296" t="s">
        <v>991</v>
      </c>
      <c r="AK296">
        <v>0.50675087108013905</v>
      </c>
      <c r="AL296">
        <v>0.541809693567463</v>
      </c>
      <c r="AM296">
        <v>140</v>
      </c>
      <c r="AN296">
        <v>0.44871794871794801</v>
      </c>
      <c r="AO296">
        <v>0.5</v>
      </c>
      <c r="AP296">
        <v>0.47297297297297197</v>
      </c>
      <c r="AQ296">
        <v>164</v>
      </c>
      <c r="AR296">
        <v>0.52702702702702697</v>
      </c>
      <c r="AS296">
        <v>0.47560975609756001</v>
      </c>
      <c r="AT296">
        <v>0.5</v>
      </c>
      <c r="AU296">
        <v>70</v>
      </c>
      <c r="AV296">
        <v>70</v>
      </c>
      <c r="AW296">
        <v>86</v>
      </c>
      <c r="AX296">
        <v>78</v>
      </c>
      <c r="AY296">
        <v>1000</v>
      </c>
      <c r="AZ296">
        <v>0.43894389438943798</v>
      </c>
      <c r="BA296">
        <v>0.53292188298415899</v>
      </c>
      <c r="BB296">
        <v>0.43785065717197202</v>
      </c>
      <c r="BC296">
        <v>0.53491852805617202</v>
      </c>
      <c r="BD296">
        <v>0.43551183997744503</v>
      </c>
      <c r="BE296">
        <v>0.53188306536674301</v>
      </c>
      <c r="BF296">
        <v>-0.124402837371047</v>
      </c>
      <c r="BG296">
        <v>7.0741453443576893E-2</v>
      </c>
      <c r="BH296">
        <v>1000</v>
      </c>
      <c r="BI296">
        <v>0.447350983076157</v>
      </c>
      <c r="BJ296">
        <v>0.53632582199546497</v>
      </c>
      <c r="BK296">
        <v>8</v>
      </c>
    </row>
    <row r="297" spans="1:63" x14ac:dyDescent="0.3">
      <c r="A297" t="s">
        <v>992</v>
      </c>
      <c r="B297" t="s">
        <v>109</v>
      </c>
      <c r="C297" t="s">
        <v>25</v>
      </c>
      <c r="D297" t="s">
        <v>66</v>
      </c>
      <c r="E297" t="s">
        <v>993</v>
      </c>
      <c r="F297">
        <v>2</v>
      </c>
      <c r="G297" t="s">
        <v>24</v>
      </c>
      <c r="H297" t="s">
        <v>26</v>
      </c>
      <c r="I297" t="s">
        <v>33</v>
      </c>
      <c r="J297" t="s">
        <v>984</v>
      </c>
      <c r="K297" t="s">
        <v>111</v>
      </c>
      <c r="L297">
        <v>10</v>
      </c>
      <c r="M297">
        <v>304</v>
      </c>
      <c r="N297">
        <v>42</v>
      </c>
      <c r="O297">
        <v>42</v>
      </c>
      <c r="P297" t="b">
        <v>1</v>
      </c>
      <c r="Q297" t="s">
        <v>112</v>
      </c>
      <c r="R297">
        <v>0.48962377633980397</v>
      </c>
      <c r="S297">
        <v>42</v>
      </c>
      <c r="T297">
        <v>0</v>
      </c>
      <c r="U297" t="s">
        <v>994</v>
      </c>
      <c r="V297" t="s">
        <v>995</v>
      </c>
      <c r="W297">
        <v>0.54761904761904701</v>
      </c>
      <c r="X297" t="b">
        <v>0</v>
      </c>
      <c r="Y297">
        <v>809.19906029995695</v>
      </c>
      <c r="Z297">
        <v>174.47785900003501</v>
      </c>
      <c r="AA297">
        <v>8933.9942379000095</v>
      </c>
      <c r="AB297">
        <v>304</v>
      </c>
      <c r="AC297">
        <v>2</v>
      </c>
      <c r="AD297">
        <v>0.5</v>
      </c>
      <c r="AE297">
        <v>0.49006968641114901</v>
      </c>
      <c r="AF297">
        <v>0.48947368421052601</v>
      </c>
      <c r="AG297">
        <v>0.49006968641114901</v>
      </c>
      <c r="AH297">
        <v>0.486098136038079</v>
      </c>
      <c r="AI297">
        <v>-2.0447945297729898E-2</v>
      </c>
      <c r="AJ297" t="s">
        <v>500</v>
      </c>
      <c r="AK297">
        <v>0.49708188153310101</v>
      </c>
      <c r="AL297">
        <v>0.55680256687256802</v>
      </c>
      <c r="AM297">
        <v>140</v>
      </c>
      <c r="AN297">
        <v>0.44736842105263103</v>
      </c>
      <c r="AO297">
        <v>0.36428571428571399</v>
      </c>
      <c r="AP297">
        <v>0.40157480314960597</v>
      </c>
      <c r="AQ297">
        <v>164</v>
      </c>
      <c r="AR297">
        <v>0.53157894736842104</v>
      </c>
      <c r="AS297">
        <v>0.61585365853658502</v>
      </c>
      <c r="AT297">
        <v>0.57062146892655297</v>
      </c>
      <c r="AU297">
        <v>51</v>
      </c>
      <c r="AV297">
        <v>89</v>
      </c>
      <c r="AW297">
        <v>63</v>
      </c>
      <c r="AX297">
        <v>101</v>
      </c>
      <c r="AY297">
        <v>1000</v>
      </c>
      <c r="AZ297">
        <v>0.46404038436566603</v>
      </c>
      <c r="BA297">
        <v>0.53722288985167999</v>
      </c>
      <c r="BB297">
        <v>0.452399117921926</v>
      </c>
      <c r="BC297">
        <v>0.52624183845641703</v>
      </c>
      <c r="BD297">
        <v>0.44444384877863402</v>
      </c>
      <c r="BE297">
        <v>0.52297326030492897</v>
      </c>
      <c r="BF297">
        <v>-9.8553424470541301E-2</v>
      </c>
      <c r="BG297">
        <v>5.5544251155773099E-2</v>
      </c>
      <c r="BH297">
        <v>1000</v>
      </c>
      <c r="BI297">
        <v>0.453588954738399</v>
      </c>
      <c r="BJ297">
        <v>0.52494766605829302</v>
      </c>
      <c r="BK297">
        <v>10</v>
      </c>
    </row>
    <row r="298" spans="1:63" x14ac:dyDescent="0.3">
      <c r="A298" t="s">
        <v>996</v>
      </c>
      <c r="B298" t="s">
        <v>109</v>
      </c>
      <c r="C298" t="s">
        <v>25</v>
      </c>
      <c r="D298" t="s">
        <v>66</v>
      </c>
      <c r="E298" t="s">
        <v>997</v>
      </c>
      <c r="F298">
        <v>3</v>
      </c>
      <c r="G298" t="s">
        <v>24</v>
      </c>
      <c r="H298" t="s">
        <v>26</v>
      </c>
      <c r="I298" t="s">
        <v>34</v>
      </c>
      <c r="J298" t="s">
        <v>984</v>
      </c>
      <c r="K298" t="s">
        <v>111</v>
      </c>
      <c r="L298">
        <v>10</v>
      </c>
      <c r="M298">
        <v>304</v>
      </c>
      <c r="N298">
        <v>42</v>
      </c>
      <c r="O298">
        <v>42</v>
      </c>
      <c r="P298" t="b">
        <v>1</v>
      </c>
      <c r="Q298" t="s">
        <v>112</v>
      </c>
      <c r="R298">
        <v>0.49574691665283899</v>
      </c>
      <c r="S298">
        <v>42</v>
      </c>
      <c r="T298">
        <v>0</v>
      </c>
      <c r="U298" t="s">
        <v>998</v>
      </c>
      <c r="V298" t="s">
        <v>986</v>
      </c>
      <c r="W298">
        <v>0.61904761904761896</v>
      </c>
      <c r="X298" t="b">
        <v>0</v>
      </c>
      <c r="Y298">
        <v>797.68839790066704</v>
      </c>
      <c r="Z298">
        <v>204.46641789999501</v>
      </c>
      <c r="AA298">
        <v>9045.5738788999697</v>
      </c>
      <c r="AB298">
        <v>304</v>
      </c>
      <c r="AC298">
        <v>2</v>
      </c>
      <c r="AD298">
        <v>0.49013157894736797</v>
      </c>
      <c r="AE298">
        <v>0.489808362369338</v>
      </c>
      <c r="AF298">
        <v>0.489871445266848</v>
      </c>
      <c r="AG298">
        <v>0.489808362369338</v>
      </c>
      <c r="AH298">
        <v>0.48919748067687802</v>
      </c>
      <c r="AI298">
        <v>-2.0320094444919001E-2</v>
      </c>
      <c r="AJ298" t="s">
        <v>999</v>
      </c>
      <c r="AK298">
        <v>0.50409407665505201</v>
      </c>
      <c r="AL298">
        <v>0.55118721571266005</v>
      </c>
      <c r="AM298">
        <v>140</v>
      </c>
      <c r="AN298">
        <v>0.45033112582781398</v>
      </c>
      <c r="AO298">
        <v>0.48571428571428499</v>
      </c>
      <c r="AP298">
        <v>0.46735395189003398</v>
      </c>
      <c r="AQ298">
        <v>164</v>
      </c>
      <c r="AR298">
        <v>0.52941176470588203</v>
      </c>
      <c r="AS298">
        <v>0.49390243902439002</v>
      </c>
      <c r="AT298">
        <v>0.511041009463722</v>
      </c>
      <c r="AU298">
        <v>68</v>
      </c>
      <c r="AV298">
        <v>72</v>
      </c>
      <c r="AW298">
        <v>83</v>
      </c>
      <c r="AX298">
        <v>81</v>
      </c>
      <c r="AY298">
        <v>1000</v>
      </c>
      <c r="AZ298">
        <v>0.43877386438446297</v>
      </c>
      <c r="BA298">
        <v>0.53993769968051097</v>
      </c>
      <c r="BB298">
        <v>0.43789861931875801</v>
      </c>
      <c r="BC298">
        <v>0.54029985571424199</v>
      </c>
      <c r="BD298">
        <v>0.434744014254694</v>
      </c>
      <c r="BE298">
        <v>0.53811102123299803</v>
      </c>
      <c r="BF298">
        <v>-0.12638211892861201</v>
      </c>
      <c r="BG298">
        <v>8.0617903747256706E-2</v>
      </c>
      <c r="BH298">
        <v>1000</v>
      </c>
      <c r="BI298">
        <v>0.44554098570322398</v>
      </c>
      <c r="BJ298">
        <v>0.54364108041590598</v>
      </c>
      <c r="BK298">
        <v>7</v>
      </c>
    </row>
    <row r="299" spans="1:63" x14ac:dyDescent="0.3">
      <c r="A299" t="s">
        <v>1000</v>
      </c>
      <c r="B299" t="s">
        <v>109</v>
      </c>
      <c r="C299" t="s">
        <v>25</v>
      </c>
      <c r="D299" t="s">
        <v>66</v>
      </c>
      <c r="E299" t="s">
        <v>1001</v>
      </c>
      <c r="F299">
        <v>4</v>
      </c>
      <c r="G299" t="s">
        <v>24</v>
      </c>
      <c r="H299" t="s">
        <v>26</v>
      </c>
      <c r="I299" t="s">
        <v>35</v>
      </c>
      <c r="J299" t="s">
        <v>984</v>
      </c>
      <c r="K299" t="s">
        <v>111</v>
      </c>
      <c r="L299">
        <v>10</v>
      </c>
      <c r="M299">
        <v>304</v>
      </c>
      <c r="N299">
        <v>42</v>
      </c>
      <c r="O299">
        <v>42</v>
      </c>
      <c r="P299" t="b">
        <v>1</v>
      </c>
      <c r="Q299" t="s">
        <v>112</v>
      </c>
      <c r="R299">
        <v>0.49047757314307799</v>
      </c>
      <c r="S299">
        <v>42</v>
      </c>
      <c r="T299">
        <v>0</v>
      </c>
      <c r="U299" t="s">
        <v>1002</v>
      </c>
      <c r="V299" t="s">
        <v>995</v>
      </c>
      <c r="W299">
        <v>0.64285714285714202</v>
      </c>
      <c r="X299" t="b">
        <v>0</v>
      </c>
      <c r="Y299">
        <v>772.43983149976702</v>
      </c>
      <c r="Z299">
        <v>165.504494900233</v>
      </c>
      <c r="AA299">
        <v>9157.1433265999603</v>
      </c>
      <c r="AB299">
        <v>304</v>
      </c>
      <c r="AC299">
        <v>2</v>
      </c>
      <c r="AD299">
        <v>0.49013157894736797</v>
      </c>
      <c r="AE299">
        <v>0.48667247386759499</v>
      </c>
      <c r="AF299">
        <v>0.48665794637017601</v>
      </c>
      <c r="AG299">
        <v>0.48667247386759499</v>
      </c>
      <c r="AH299">
        <v>0.48665991219182703</v>
      </c>
      <c r="AI299">
        <v>-2.66695758055061E-2</v>
      </c>
      <c r="AJ299" t="s">
        <v>1003</v>
      </c>
      <c r="AK299">
        <v>0.49155052264808302</v>
      </c>
      <c r="AL299">
        <v>0.54870499741878598</v>
      </c>
      <c r="AM299">
        <v>140</v>
      </c>
      <c r="AN299">
        <v>0.44604316546762501</v>
      </c>
      <c r="AO299">
        <v>0.44285714285714201</v>
      </c>
      <c r="AP299">
        <v>0.44444444444444398</v>
      </c>
      <c r="AQ299">
        <v>164</v>
      </c>
      <c r="AR299">
        <v>0.527272727272727</v>
      </c>
      <c r="AS299">
        <v>0.53048780487804803</v>
      </c>
      <c r="AT299">
        <v>0.52887537993920897</v>
      </c>
      <c r="AU299">
        <v>62</v>
      </c>
      <c r="AV299">
        <v>78</v>
      </c>
      <c r="AW299">
        <v>77</v>
      </c>
      <c r="AX299">
        <v>87</v>
      </c>
      <c r="AY299">
        <v>1000</v>
      </c>
      <c r="AZ299">
        <v>0.44155626981713902</v>
      </c>
      <c r="BA299">
        <v>0.54455445544554404</v>
      </c>
      <c r="BB299">
        <v>0.43795062279981001</v>
      </c>
      <c r="BC299">
        <v>0.54233251020287399</v>
      </c>
      <c r="BD299">
        <v>0.43720117478473802</v>
      </c>
      <c r="BE299">
        <v>0.54098038713256003</v>
      </c>
      <c r="BF299">
        <v>-0.124061949709266</v>
      </c>
      <c r="BG299">
        <v>8.5793979895131198E-2</v>
      </c>
      <c r="BH299">
        <v>1000</v>
      </c>
      <c r="BI299">
        <v>0.43906746031746002</v>
      </c>
      <c r="BJ299">
        <v>0.54583366038723102</v>
      </c>
      <c r="BK299">
        <v>9</v>
      </c>
    </row>
    <row r="300" spans="1:63" x14ac:dyDescent="0.3">
      <c r="A300" t="s">
        <v>1004</v>
      </c>
      <c r="B300" t="s">
        <v>109</v>
      </c>
      <c r="C300" t="s">
        <v>25</v>
      </c>
      <c r="D300" t="s">
        <v>66</v>
      </c>
      <c r="E300" t="s">
        <v>1005</v>
      </c>
      <c r="F300">
        <v>5</v>
      </c>
      <c r="G300" t="s">
        <v>24</v>
      </c>
      <c r="H300" t="s">
        <v>36</v>
      </c>
      <c r="I300" t="s">
        <v>27</v>
      </c>
      <c r="J300" t="s">
        <v>984</v>
      </c>
      <c r="K300" t="s">
        <v>111</v>
      </c>
      <c r="L300">
        <v>10</v>
      </c>
      <c r="M300">
        <v>304</v>
      </c>
      <c r="N300">
        <v>42</v>
      </c>
      <c r="O300">
        <v>42</v>
      </c>
      <c r="P300" t="b">
        <v>1</v>
      </c>
      <c r="Q300" t="s">
        <v>112</v>
      </c>
      <c r="R300">
        <v>0.52575631878767703</v>
      </c>
      <c r="S300">
        <v>42</v>
      </c>
      <c r="T300">
        <v>0</v>
      </c>
      <c r="U300" t="s">
        <v>1006</v>
      </c>
      <c r="V300" t="s">
        <v>995</v>
      </c>
      <c r="W300">
        <v>0.52380952380952295</v>
      </c>
      <c r="X300" t="b">
        <v>0</v>
      </c>
      <c r="Y300">
        <v>437.05799069954003</v>
      </c>
      <c r="Z300">
        <v>90.716188200050894</v>
      </c>
      <c r="AA300">
        <v>9268.6841099999692</v>
      </c>
      <c r="AB300">
        <v>304</v>
      </c>
      <c r="AC300">
        <v>2</v>
      </c>
      <c r="AD300">
        <v>0.53947368421052599</v>
      </c>
      <c r="AE300">
        <v>0.53554006968641099</v>
      </c>
      <c r="AF300">
        <v>0.53571428571428503</v>
      </c>
      <c r="AG300">
        <v>0.53554006968641099</v>
      </c>
      <c r="AH300">
        <v>0.53553343810022702</v>
      </c>
      <c r="AI300">
        <v>7.1254142422349301E-2</v>
      </c>
      <c r="AJ300" t="s">
        <v>1007</v>
      </c>
      <c r="AK300">
        <v>0.54608013937282196</v>
      </c>
      <c r="AL300">
        <v>0.60552299993665604</v>
      </c>
      <c r="AM300">
        <v>140</v>
      </c>
      <c r="AN300">
        <v>0.5</v>
      </c>
      <c r="AO300">
        <v>0.48571428571428499</v>
      </c>
      <c r="AP300">
        <v>0.49275362318840499</v>
      </c>
      <c r="AQ300">
        <v>164</v>
      </c>
      <c r="AR300">
        <v>0.57142857142857095</v>
      </c>
      <c r="AS300">
        <v>0.585365853658536</v>
      </c>
      <c r="AT300">
        <v>0.57831325301204795</v>
      </c>
      <c r="AU300">
        <v>68</v>
      </c>
      <c r="AV300">
        <v>72</v>
      </c>
      <c r="AW300">
        <v>68</v>
      </c>
      <c r="AX300">
        <v>96</v>
      </c>
      <c r="AY300">
        <v>1000</v>
      </c>
      <c r="AZ300">
        <v>0.49666496598639398</v>
      </c>
      <c r="BA300">
        <v>0.59045157075434496</v>
      </c>
      <c r="BB300">
        <v>0.49081750485299502</v>
      </c>
      <c r="BC300">
        <v>0.58455165473306203</v>
      </c>
      <c r="BD300">
        <v>0.48926016384710003</v>
      </c>
      <c r="BE300">
        <v>0.58414530442586898</v>
      </c>
      <c r="BF300">
        <v>-1.8354175602334499E-2</v>
      </c>
      <c r="BG300">
        <v>0.17150063373421401</v>
      </c>
      <c r="BH300">
        <v>1000</v>
      </c>
      <c r="BI300">
        <v>0.47718985053370899</v>
      </c>
      <c r="BJ300">
        <v>0.57937140506609097</v>
      </c>
      <c r="BK300">
        <v>3</v>
      </c>
    </row>
    <row r="301" spans="1:63" x14ac:dyDescent="0.3">
      <c r="A301" t="s">
        <v>1008</v>
      </c>
      <c r="B301" t="s">
        <v>109</v>
      </c>
      <c r="C301" t="s">
        <v>25</v>
      </c>
      <c r="D301" t="s">
        <v>66</v>
      </c>
      <c r="E301" t="s">
        <v>1009</v>
      </c>
      <c r="F301">
        <v>6</v>
      </c>
      <c r="G301" t="s">
        <v>24</v>
      </c>
      <c r="H301" t="s">
        <v>36</v>
      </c>
      <c r="I301" t="s">
        <v>32</v>
      </c>
      <c r="J301" t="s">
        <v>984</v>
      </c>
      <c r="K301" t="s">
        <v>111</v>
      </c>
      <c r="L301">
        <v>10</v>
      </c>
      <c r="M301">
        <v>304</v>
      </c>
      <c r="N301">
        <v>42</v>
      </c>
      <c r="O301">
        <v>42</v>
      </c>
      <c r="P301" t="b">
        <v>1</v>
      </c>
      <c r="Q301" t="s">
        <v>112</v>
      </c>
      <c r="R301">
        <v>0.52240680825175601</v>
      </c>
      <c r="S301">
        <v>42</v>
      </c>
      <c r="T301">
        <v>0</v>
      </c>
      <c r="U301" t="s">
        <v>998</v>
      </c>
      <c r="V301" t="s">
        <v>986</v>
      </c>
      <c r="W301">
        <v>0.61904761904761896</v>
      </c>
      <c r="X301" t="b">
        <v>0</v>
      </c>
      <c r="Y301">
        <v>481.43086310016201</v>
      </c>
      <c r="Z301">
        <v>104.606405999977</v>
      </c>
      <c r="AA301">
        <v>9380.4428776999703</v>
      </c>
      <c r="AB301">
        <v>304</v>
      </c>
      <c r="AC301">
        <v>2</v>
      </c>
      <c r="AD301">
        <v>0.52631578947368396</v>
      </c>
      <c r="AE301">
        <v>0.52439024390243905</v>
      </c>
      <c r="AF301">
        <v>0.52430555555555503</v>
      </c>
      <c r="AG301">
        <v>0.52439024390243905</v>
      </c>
      <c r="AH301">
        <v>0.52425665101721397</v>
      </c>
      <c r="AI301">
        <v>4.8695725815898101E-2</v>
      </c>
      <c r="AJ301" t="s">
        <v>1010</v>
      </c>
      <c r="AK301">
        <v>0.55422473867595801</v>
      </c>
      <c r="AL301">
        <v>0.59705600295501704</v>
      </c>
      <c r="AM301">
        <v>140</v>
      </c>
      <c r="AN301">
        <v>0.48611111111111099</v>
      </c>
      <c r="AO301">
        <v>0.5</v>
      </c>
      <c r="AP301">
        <v>0.49295774647887303</v>
      </c>
      <c r="AQ301">
        <v>164</v>
      </c>
      <c r="AR301">
        <v>0.5625</v>
      </c>
      <c r="AS301">
        <v>0.54878048780487798</v>
      </c>
      <c r="AT301">
        <v>0.55555555555555503</v>
      </c>
      <c r="AU301">
        <v>70</v>
      </c>
      <c r="AV301">
        <v>70</v>
      </c>
      <c r="AW301">
        <v>74</v>
      </c>
      <c r="AX301">
        <v>90</v>
      </c>
      <c r="AY301">
        <v>1000</v>
      </c>
      <c r="AZ301">
        <v>0.47300719644771</v>
      </c>
      <c r="BA301">
        <v>0.57809044054066305</v>
      </c>
      <c r="BB301">
        <v>0.46894157795255798</v>
      </c>
      <c r="BC301">
        <v>0.57757930738977403</v>
      </c>
      <c r="BD301">
        <v>0.468660232455065</v>
      </c>
      <c r="BE301">
        <v>0.577163627040991</v>
      </c>
      <c r="BF301">
        <v>-6.2322622800954998E-2</v>
      </c>
      <c r="BG301">
        <v>0.155387272386798</v>
      </c>
      <c r="BH301">
        <v>1000</v>
      </c>
      <c r="BI301">
        <v>0.46109201302472202</v>
      </c>
      <c r="BJ301">
        <v>0.58289054722498701</v>
      </c>
      <c r="BK301">
        <v>4</v>
      </c>
    </row>
    <row r="302" spans="1:63" x14ac:dyDescent="0.3">
      <c r="A302" t="s">
        <v>1011</v>
      </c>
      <c r="B302" t="s">
        <v>109</v>
      </c>
      <c r="C302" t="s">
        <v>25</v>
      </c>
      <c r="D302" t="s">
        <v>66</v>
      </c>
      <c r="E302" t="s">
        <v>1012</v>
      </c>
      <c r="F302">
        <v>7</v>
      </c>
      <c r="G302" t="s">
        <v>24</v>
      </c>
      <c r="H302" t="s">
        <v>36</v>
      </c>
      <c r="I302" t="s">
        <v>33</v>
      </c>
      <c r="J302" t="s">
        <v>984</v>
      </c>
      <c r="K302" t="s">
        <v>111</v>
      </c>
      <c r="L302">
        <v>10</v>
      </c>
      <c r="M302">
        <v>304</v>
      </c>
      <c r="N302">
        <v>42</v>
      </c>
      <c r="O302">
        <v>42</v>
      </c>
      <c r="P302" t="b">
        <v>1</v>
      </c>
      <c r="Q302" t="s">
        <v>112</v>
      </c>
      <c r="R302">
        <v>0.50991994358719095</v>
      </c>
      <c r="S302">
        <v>42</v>
      </c>
      <c r="T302">
        <v>0</v>
      </c>
      <c r="U302" t="s">
        <v>985</v>
      </c>
      <c r="V302" t="s">
        <v>986</v>
      </c>
      <c r="W302">
        <v>0.59523809523809501</v>
      </c>
      <c r="X302" t="b">
        <v>0</v>
      </c>
      <c r="Y302">
        <v>452.55932110029897</v>
      </c>
      <c r="Z302">
        <v>99.437402100069406</v>
      </c>
      <c r="AA302">
        <v>9491.9694474000098</v>
      </c>
      <c r="AB302">
        <v>304</v>
      </c>
      <c r="AC302">
        <v>2</v>
      </c>
      <c r="AD302">
        <v>0.51973684210526305</v>
      </c>
      <c r="AE302">
        <v>0.51149825783972103</v>
      </c>
      <c r="AF302">
        <v>0.51195652173912998</v>
      </c>
      <c r="AG302">
        <v>0.51149825783972103</v>
      </c>
      <c r="AH302">
        <v>0.50946065428823994</v>
      </c>
      <c r="AI302">
        <v>2.3450302328349899E-2</v>
      </c>
      <c r="AJ302" t="s">
        <v>1013</v>
      </c>
      <c r="AK302">
        <v>0.54368466898954704</v>
      </c>
      <c r="AL302">
        <v>0.59630950917057302</v>
      </c>
      <c r="AM302">
        <v>140</v>
      </c>
      <c r="AN302">
        <v>0.47499999999999998</v>
      </c>
      <c r="AO302">
        <v>0.40714285714285697</v>
      </c>
      <c r="AP302">
        <v>0.43846153846153801</v>
      </c>
      <c r="AQ302">
        <v>164</v>
      </c>
      <c r="AR302">
        <v>0.54891304347825998</v>
      </c>
      <c r="AS302">
        <v>0.61585365853658502</v>
      </c>
      <c r="AT302">
        <v>0.58045977011494199</v>
      </c>
      <c r="AU302">
        <v>57</v>
      </c>
      <c r="AV302">
        <v>83</v>
      </c>
      <c r="AW302">
        <v>63</v>
      </c>
      <c r="AX302">
        <v>101</v>
      </c>
      <c r="AY302">
        <v>1000</v>
      </c>
      <c r="AZ302">
        <v>0.46974200296347901</v>
      </c>
      <c r="BA302">
        <v>0.57004405403962199</v>
      </c>
      <c r="BB302">
        <v>0.458634597290628</v>
      </c>
      <c r="BC302">
        <v>0.56369780148626303</v>
      </c>
      <c r="BD302">
        <v>0.45709781366006103</v>
      </c>
      <c r="BE302">
        <v>0.55896522976248797</v>
      </c>
      <c r="BF302">
        <v>-8.3580313900258704E-2</v>
      </c>
      <c r="BG302">
        <v>0.13090504080839599</v>
      </c>
      <c r="BH302">
        <v>1000</v>
      </c>
      <c r="BI302">
        <v>0.456192809440849</v>
      </c>
      <c r="BJ302">
        <v>0.564333900226757</v>
      </c>
      <c r="BK302">
        <v>6</v>
      </c>
    </row>
    <row r="303" spans="1:63" x14ac:dyDescent="0.3">
      <c r="A303" t="s">
        <v>1014</v>
      </c>
      <c r="B303" t="s">
        <v>109</v>
      </c>
      <c r="C303" t="s">
        <v>25</v>
      </c>
      <c r="D303" t="s">
        <v>66</v>
      </c>
      <c r="E303" t="s">
        <v>1015</v>
      </c>
      <c r="F303">
        <v>8</v>
      </c>
      <c r="G303" t="s">
        <v>24</v>
      </c>
      <c r="H303" t="s">
        <v>36</v>
      </c>
      <c r="I303" t="s">
        <v>34</v>
      </c>
      <c r="J303" t="s">
        <v>984</v>
      </c>
      <c r="K303" t="s">
        <v>111</v>
      </c>
      <c r="L303">
        <v>10</v>
      </c>
      <c r="M303">
        <v>304</v>
      </c>
      <c r="N303">
        <v>42</v>
      </c>
      <c r="O303">
        <v>42</v>
      </c>
      <c r="P303" t="b">
        <v>1</v>
      </c>
      <c r="Q303" t="s">
        <v>112</v>
      </c>
      <c r="R303">
        <v>0.56927299375034501</v>
      </c>
      <c r="S303">
        <v>42</v>
      </c>
      <c r="T303">
        <v>0</v>
      </c>
      <c r="U303" t="s">
        <v>1016</v>
      </c>
      <c r="V303" t="s">
        <v>986</v>
      </c>
      <c r="W303">
        <v>0.64285714285714202</v>
      </c>
      <c r="X303" t="b">
        <v>0</v>
      </c>
      <c r="Y303">
        <v>427.62580640060997</v>
      </c>
      <c r="Z303">
        <v>100.234825099993</v>
      </c>
      <c r="AA303">
        <v>9603.6857899999595</v>
      </c>
      <c r="AB303">
        <v>304</v>
      </c>
      <c r="AC303">
        <v>2</v>
      </c>
      <c r="AD303">
        <v>0.57565789473684204</v>
      </c>
      <c r="AE303">
        <v>0.573780487804878</v>
      </c>
      <c r="AF303">
        <v>0.57357859531772504</v>
      </c>
      <c r="AG303">
        <v>0.573780487804878</v>
      </c>
      <c r="AH303">
        <v>0.57362326719217105</v>
      </c>
      <c r="AI303">
        <v>0.147358944818962</v>
      </c>
      <c r="AJ303" t="s">
        <v>1017</v>
      </c>
      <c r="AK303">
        <v>0.58793554006968596</v>
      </c>
      <c r="AL303">
        <v>0.60543121725385796</v>
      </c>
      <c r="AM303">
        <v>140</v>
      </c>
      <c r="AN303">
        <v>0.53846153846153799</v>
      </c>
      <c r="AO303">
        <v>0.55000000000000004</v>
      </c>
      <c r="AP303">
        <v>0.54416961130742003</v>
      </c>
      <c r="AQ303">
        <v>164</v>
      </c>
      <c r="AR303">
        <v>0.60869565217391297</v>
      </c>
      <c r="AS303">
        <v>0.59756097560975596</v>
      </c>
      <c r="AT303">
        <v>0.60307692307692295</v>
      </c>
      <c r="AU303">
        <v>77</v>
      </c>
      <c r="AV303">
        <v>63</v>
      </c>
      <c r="AW303">
        <v>66</v>
      </c>
      <c r="AX303">
        <v>98</v>
      </c>
      <c r="AY303">
        <v>1000</v>
      </c>
      <c r="AZ303">
        <v>0.53020134228187898</v>
      </c>
      <c r="BA303">
        <v>0.62628262826282599</v>
      </c>
      <c r="BB303">
        <v>0.53002275158430401</v>
      </c>
      <c r="BC303">
        <v>0.62672862732503998</v>
      </c>
      <c r="BD303">
        <v>0.52862359082830701</v>
      </c>
      <c r="BE303">
        <v>0.62541351723766003</v>
      </c>
      <c r="BF303">
        <v>5.9808834510704997E-2</v>
      </c>
      <c r="BG303">
        <v>0.25314844396820102</v>
      </c>
      <c r="BH303">
        <v>1000</v>
      </c>
      <c r="BI303">
        <v>0.52217995323129196</v>
      </c>
      <c r="BJ303">
        <v>0.62113113904098205</v>
      </c>
      <c r="BK303">
        <v>1</v>
      </c>
    </row>
    <row r="304" spans="1:63" x14ac:dyDescent="0.3">
      <c r="A304" t="s">
        <v>1018</v>
      </c>
      <c r="B304" t="s">
        <v>109</v>
      </c>
      <c r="C304" t="s">
        <v>25</v>
      </c>
      <c r="D304" t="s">
        <v>66</v>
      </c>
      <c r="E304" t="s">
        <v>1019</v>
      </c>
      <c r="F304">
        <v>9</v>
      </c>
      <c r="G304" t="s">
        <v>24</v>
      </c>
      <c r="H304" t="s">
        <v>36</v>
      </c>
      <c r="I304" t="s">
        <v>35</v>
      </c>
      <c r="J304" t="s">
        <v>984</v>
      </c>
      <c r="K304" t="s">
        <v>111</v>
      </c>
      <c r="L304">
        <v>10</v>
      </c>
      <c r="M304">
        <v>304</v>
      </c>
      <c r="N304">
        <v>42</v>
      </c>
      <c r="O304">
        <v>42</v>
      </c>
      <c r="P304" t="b">
        <v>1</v>
      </c>
      <c r="Q304" t="s">
        <v>112</v>
      </c>
      <c r="R304">
        <v>0.51881187434323295</v>
      </c>
      <c r="S304">
        <v>42</v>
      </c>
      <c r="T304">
        <v>0</v>
      </c>
      <c r="U304" t="s">
        <v>990</v>
      </c>
      <c r="V304" t="s">
        <v>986</v>
      </c>
      <c r="W304">
        <v>0.52380952380952295</v>
      </c>
      <c r="X304" t="b">
        <v>0</v>
      </c>
      <c r="Y304">
        <v>408.85198429913697</v>
      </c>
      <c r="Z304">
        <v>90.221436399966393</v>
      </c>
      <c r="AA304">
        <v>9715.3904784999904</v>
      </c>
      <c r="AB304">
        <v>304</v>
      </c>
      <c r="AC304">
        <v>2</v>
      </c>
      <c r="AD304">
        <v>0.52631578947368396</v>
      </c>
      <c r="AE304">
        <v>0.52543554006968596</v>
      </c>
      <c r="AF304">
        <v>0.52529452529452503</v>
      </c>
      <c r="AG304">
        <v>0.52543554006968596</v>
      </c>
      <c r="AH304">
        <v>0.52500000000000002</v>
      </c>
      <c r="AI304">
        <v>5.0729869373874498E-2</v>
      </c>
      <c r="AJ304" t="s">
        <v>1020</v>
      </c>
      <c r="AK304">
        <v>0.54067944250871003</v>
      </c>
      <c r="AL304">
        <v>0.574793335555845</v>
      </c>
      <c r="AM304">
        <v>140</v>
      </c>
      <c r="AN304">
        <v>0.48648648648648601</v>
      </c>
      <c r="AO304">
        <v>0.51428571428571401</v>
      </c>
      <c r="AP304">
        <v>0.5</v>
      </c>
      <c r="AQ304">
        <v>164</v>
      </c>
      <c r="AR304">
        <v>0.56410256410256399</v>
      </c>
      <c r="AS304">
        <v>0.53658536585365801</v>
      </c>
      <c r="AT304">
        <v>0.55000000000000004</v>
      </c>
      <c r="AU304">
        <v>72</v>
      </c>
      <c r="AV304">
        <v>68</v>
      </c>
      <c r="AW304">
        <v>76</v>
      </c>
      <c r="AX304">
        <v>88</v>
      </c>
      <c r="AY304">
        <v>1000</v>
      </c>
      <c r="AZ304">
        <v>0.47696600877192902</v>
      </c>
      <c r="BA304">
        <v>0.57142857142857095</v>
      </c>
      <c r="BB304">
        <v>0.47743036496451502</v>
      </c>
      <c r="BC304">
        <v>0.57097790573277496</v>
      </c>
      <c r="BD304">
        <v>0.47558337702581699</v>
      </c>
      <c r="BE304">
        <v>0.56964672328218502</v>
      </c>
      <c r="BF304">
        <v>-4.4963452486711297E-2</v>
      </c>
      <c r="BG304">
        <v>0.14216843349956501</v>
      </c>
      <c r="BH304">
        <v>1000</v>
      </c>
      <c r="BI304">
        <v>0.46441061549780299</v>
      </c>
      <c r="BJ304">
        <v>0.56894039323046297</v>
      </c>
      <c r="BK304">
        <v>5</v>
      </c>
    </row>
    <row r="305" spans="1:63" x14ac:dyDescent="0.3">
      <c r="A305" t="s">
        <v>1021</v>
      </c>
      <c r="B305" t="s">
        <v>109</v>
      </c>
      <c r="C305" t="s">
        <v>37</v>
      </c>
      <c r="D305" t="s">
        <v>66</v>
      </c>
      <c r="E305" t="s">
        <v>983</v>
      </c>
      <c r="F305">
        <v>0</v>
      </c>
      <c r="G305" t="s">
        <v>24</v>
      </c>
      <c r="H305" t="s">
        <v>26</v>
      </c>
      <c r="I305" t="s">
        <v>27</v>
      </c>
      <c r="J305" t="s">
        <v>984</v>
      </c>
      <c r="K305" t="s">
        <v>111</v>
      </c>
      <c r="L305">
        <v>10</v>
      </c>
      <c r="M305">
        <v>278</v>
      </c>
      <c r="N305">
        <v>42</v>
      </c>
      <c r="O305">
        <v>42</v>
      </c>
      <c r="P305" t="b">
        <v>1</v>
      </c>
      <c r="Q305" t="s">
        <v>112</v>
      </c>
      <c r="R305">
        <v>0.505459001782531</v>
      </c>
      <c r="S305">
        <v>42</v>
      </c>
      <c r="T305">
        <v>0</v>
      </c>
      <c r="U305" t="s">
        <v>985</v>
      </c>
      <c r="V305" t="s">
        <v>986</v>
      </c>
      <c r="W305">
        <v>0.59523809523809501</v>
      </c>
      <c r="X305" t="b">
        <v>0</v>
      </c>
      <c r="Y305">
        <v>692.88147150108102</v>
      </c>
      <c r="Z305">
        <v>154.83646770013701</v>
      </c>
      <c r="AA305">
        <v>7428.26278370001</v>
      </c>
      <c r="AB305">
        <v>278</v>
      </c>
      <c r="AC305">
        <v>2</v>
      </c>
      <c r="AD305">
        <v>0.492805755395683</v>
      </c>
      <c r="AE305">
        <v>0.48555561349533199</v>
      </c>
      <c r="AF305">
        <v>0.48525968497232802</v>
      </c>
      <c r="AG305">
        <v>0.48555561349533199</v>
      </c>
      <c r="AH305">
        <v>0.48463692659645802</v>
      </c>
      <c r="AI305">
        <v>-2.91832011582168E-2</v>
      </c>
      <c r="AJ305" t="s">
        <v>1022</v>
      </c>
      <c r="AK305">
        <v>0.481462168222349</v>
      </c>
      <c r="AL305">
        <v>0.43651387945125603</v>
      </c>
      <c r="AM305">
        <v>151</v>
      </c>
      <c r="AN305">
        <v>0.530864197530864</v>
      </c>
      <c r="AO305">
        <v>0.56953642384105896</v>
      </c>
      <c r="AP305">
        <v>0.54952076677316297</v>
      </c>
      <c r="AQ305">
        <v>127</v>
      </c>
      <c r="AR305">
        <v>0.43965517241379298</v>
      </c>
      <c r="AS305">
        <v>0.40157480314960597</v>
      </c>
      <c r="AT305">
        <v>0.41975308641975301</v>
      </c>
      <c r="AU305">
        <v>86</v>
      </c>
      <c r="AV305">
        <v>65</v>
      </c>
      <c r="AW305">
        <v>76</v>
      </c>
      <c r="AX305">
        <v>51</v>
      </c>
      <c r="AY305">
        <v>1000</v>
      </c>
      <c r="AZ305">
        <v>0.41279039897749398</v>
      </c>
      <c r="BA305">
        <v>0.56987827119036505</v>
      </c>
      <c r="BB305">
        <v>0.40997845196406302</v>
      </c>
      <c r="BC305">
        <v>0.56162154634581096</v>
      </c>
      <c r="BD305">
        <v>0.40325617984276702</v>
      </c>
      <c r="BE305">
        <v>0.55858703409027199</v>
      </c>
      <c r="BF305">
        <v>-0.183213897650498</v>
      </c>
      <c r="BG305">
        <v>0.12625474940994899</v>
      </c>
      <c r="BH305">
        <v>1000</v>
      </c>
      <c r="BI305">
        <v>0.42779813574735398</v>
      </c>
      <c r="BJ305">
        <v>0.58296618513805998</v>
      </c>
      <c r="BK305">
        <v>5</v>
      </c>
    </row>
    <row r="306" spans="1:63" x14ac:dyDescent="0.3">
      <c r="A306" t="s">
        <v>1023</v>
      </c>
      <c r="B306" t="s">
        <v>109</v>
      </c>
      <c r="C306" t="s">
        <v>37</v>
      </c>
      <c r="D306" t="s">
        <v>66</v>
      </c>
      <c r="E306" t="s">
        <v>989</v>
      </c>
      <c r="F306">
        <v>1</v>
      </c>
      <c r="G306" t="s">
        <v>24</v>
      </c>
      <c r="H306" t="s">
        <v>26</v>
      </c>
      <c r="I306" t="s">
        <v>32</v>
      </c>
      <c r="J306" t="s">
        <v>984</v>
      </c>
      <c r="K306" t="s">
        <v>111</v>
      </c>
      <c r="L306">
        <v>10</v>
      </c>
      <c r="M306">
        <v>278</v>
      </c>
      <c r="N306">
        <v>42</v>
      </c>
      <c r="O306">
        <v>42</v>
      </c>
      <c r="P306" t="b">
        <v>1</v>
      </c>
      <c r="Q306" t="s">
        <v>112</v>
      </c>
      <c r="R306">
        <v>0.47203866395042798</v>
      </c>
      <c r="S306">
        <v>42</v>
      </c>
      <c r="T306">
        <v>0</v>
      </c>
      <c r="U306" t="s">
        <v>1006</v>
      </c>
      <c r="V306" t="s">
        <v>995</v>
      </c>
      <c r="W306">
        <v>0.52380952380952295</v>
      </c>
      <c r="X306" t="b">
        <v>0</v>
      </c>
      <c r="Y306">
        <v>770.74339840037203</v>
      </c>
      <c r="Z306">
        <v>196.15035339980301</v>
      </c>
      <c r="AA306">
        <v>7539.0468015000197</v>
      </c>
      <c r="AB306">
        <v>278</v>
      </c>
      <c r="AC306">
        <v>2</v>
      </c>
      <c r="AD306">
        <v>0.47482014388489202</v>
      </c>
      <c r="AE306">
        <v>0.46837357250873402</v>
      </c>
      <c r="AF306">
        <v>0.46794566883357103</v>
      </c>
      <c r="AG306">
        <v>0.46837357250873402</v>
      </c>
      <c r="AH306">
        <v>0.467768161552583</v>
      </c>
      <c r="AI306">
        <v>-6.3679320989347102E-2</v>
      </c>
      <c r="AJ306" t="s">
        <v>1024</v>
      </c>
      <c r="AK306">
        <v>0.43453094853209501</v>
      </c>
      <c r="AL306">
        <v>0.41753457100549202</v>
      </c>
      <c r="AM306">
        <v>151</v>
      </c>
      <c r="AN306">
        <v>0.51572327044025101</v>
      </c>
      <c r="AO306">
        <v>0.54304635761589404</v>
      </c>
      <c r="AP306">
        <v>0.52903225806451604</v>
      </c>
      <c r="AQ306">
        <v>127</v>
      </c>
      <c r="AR306">
        <v>0.42016806722688999</v>
      </c>
      <c r="AS306">
        <v>0.39370078740157399</v>
      </c>
      <c r="AT306">
        <v>0.40650406504065001</v>
      </c>
      <c r="AU306">
        <v>82</v>
      </c>
      <c r="AV306">
        <v>69</v>
      </c>
      <c r="AW306">
        <v>77</v>
      </c>
      <c r="AX306">
        <v>50</v>
      </c>
      <c r="AY306">
        <v>1000</v>
      </c>
      <c r="AZ306">
        <v>0.39190563086548402</v>
      </c>
      <c r="BA306">
        <v>0.55873690366572903</v>
      </c>
      <c r="BB306">
        <v>0.39204956983809103</v>
      </c>
      <c r="BC306">
        <v>0.551657130269264</v>
      </c>
      <c r="BD306">
        <v>0.38339731800114701</v>
      </c>
      <c r="BE306">
        <v>0.54818048651168805</v>
      </c>
      <c r="BF306">
        <v>-0.218030999796369</v>
      </c>
      <c r="BG306">
        <v>0.103642879361746</v>
      </c>
      <c r="BH306">
        <v>1000</v>
      </c>
      <c r="BI306">
        <v>0.41574681735067698</v>
      </c>
      <c r="BJ306">
        <v>0.53551360804738501</v>
      </c>
      <c r="BK306">
        <v>6</v>
      </c>
    </row>
    <row r="307" spans="1:63" x14ac:dyDescent="0.3">
      <c r="A307" t="s">
        <v>1025</v>
      </c>
      <c r="B307" t="s">
        <v>109</v>
      </c>
      <c r="C307" t="s">
        <v>37</v>
      </c>
      <c r="D307" t="s">
        <v>66</v>
      </c>
      <c r="E307" t="s">
        <v>993</v>
      </c>
      <c r="F307">
        <v>2</v>
      </c>
      <c r="G307" t="s">
        <v>24</v>
      </c>
      <c r="H307" t="s">
        <v>26</v>
      </c>
      <c r="I307" t="s">
        <v>33</v>
      </c>
      <c r="J307" t="s">
        <v>984</v>
      </c>
      <c r="K307" t="s">
        <v>111</v>
      </c>
      <c r="L307">
        <v>10</v>
      </c>
      <c r="M307">
        <v>278</v>
      </c>
      <c r="N307">
        <v>42</v>
      </c>
      <c r="O307">
        <v>42</v>
      </c>
      <c r="P307" t="b">
        <v>1</v>
      </c>
      <c r="Q307" t="s">
        <v>112</v>
      </c>
      <c r="R307">
        <v>0.50884050589932905</v>
      </c>
      <c r="S307">
        <v>42</v>
      </c>
      <c r="T307">
        <v>0</v>
      </c>
      <c r="U307" t="s">
        <v>1026</v>
      </c>
      <c r="V307" t="s">
        <v>995</v>
      </c>
      <c r="W307">
        <v>0.5</v>
      </c>
      <c r="X307" t="b">
        <v>0</v>
      </c>
      <c r="Y307">
        <v>789.25807980052195</v>
      </c>
      <c r="Z307">
        <v>192.92039420013299</v>
      </c>
      <c r="AA307">
        <v>7650.2523796000096</v>
      </c>
      <c r="AB307">
        <v>278</v>
      </c>
      <c r="AC307">
        <v>2</v>
      </c>
      <c r="AD307">
        <v>0.51798561151079103</v>
      </c>
      <c r="AE307">
        <v>0.51749491578453299</v>
      </c>
      <c r="AF307">
        <v>0.51736812134389398</v>
      </c>
      <c r="AG307">
        <v>0.51749491578453299</v>
      </c>
      <c r="AH307">
        <v>0.51676006641759997</v>
      </c>
      <c r="AI307">
        <v>3.4862806556385198E-2</v>
      </c>
      <c r="AJ307" t="s">
        <v>1027</v>
      </c>
      <c r="AK307">
        <v>0.48558168639515997</v>
      </c>
      <c r="AL307">
        <v>0.43344592915118801</v>
      </c>
      <c r="AM307">
        <v>151</v>
      </c>
      <c r="AN307">
        <v>0.560283687943262</v>
      </c>
      <c r="AO307">
        <v>0.52317880794701899</v>
      </c>
      <c r="AP307">
        <v>0.54109589041095896</v>
      </c>
      <c r="AQ307">
        <v>127</v>
      </c>
      <c r="AR307">
        <v>0.47445255474452502</v>
      </c>
      <c r="AS307">
        <v>0.511811023622047</v>
      </c>
      <c r="AT307">
        <v>0.49242424242424199</v>
      </c>
      <c r="AU307">
        <v>79</v>
      </c>
      <c r="AV307">
        <v>72</v>
      </c>
      <c r="AW307">
        <v>62</v>
      </c>
      <c r="AX307">
        <v>65</v>
      </c>
      <c r="AY307">
        <v>1000</v>
      </c>
      <c r="AZ307">
        <v>0.43794479927007302</v>
      </c>
      <c r="BA307">
        <v>0.60807453416149004</v>
      </c>
      <c r="BB307">
        <v>0.43592228210297701</v>
      </c>
      <c r="BC307">
        <v>0.60518237244839002</v>
      </c>
      <c r="BD307">
        <v>0.43302042529684398</v>
      </c>
      <c r="BE307">
        <v>0.60095774578186101</v>
      </c>
      <c r="BF307">
        <v>-0.12793139097828199</v>
      </c>
      <c r="BG307">
        <v>0.21566338001403801</v>
      </c>
      <c r="BH307">
        <v>1000</v>
      </c>
      <c r="BI307">
        <v>0.45299524024169002</v>
      </c>
      <c r="BJ307">
        <v>0.57626411081259399</v>
      </c>
      <c r="BK307">
        <v>4</v>
      </c>
    </row>
    <row r="308" spans="1:63" x14ac:dyDescent="0.3">
      <c r="A308" t="s">
        <v>1028</v>
      </c>
      <c r="B308" t="s">
        <v>109</v>
      </c>
      <c r="C308" t="s">
        <v>37</v>
      </c>
      <c r="D308" t="s">
        <v>66</v>
      </c>
      <c r="E308" t="s">
        <v>997</v>
      </c>
      <c r="F308">
        <v>3</v>
      </c>
      <c r="G308" t="s">
        <v>24</v>
      </c>
      <c r="H308" t="s">
        <v>26</v>
      </c>
      <c r="I308" t="s">
        <v>34</v>
      </c>
      <c r="J308" t="s">
        <v>984</v>
      </c>
      <c r="K308" t="s">
        <v>111</v>
      </c>
      <c r="L308">
        <v>10</v>
      </c>
      <c r="M308">
        <v>278</v>
      </c>
      <c r="N308">
        <v>42</v>
      </c>
      <c r="O308">
        <v>42</v>
      </c>
      <c r="P308" t="b">
        <v>1</v>
      </c>
      <c r="Q308" t="s">
        <v>112</v>
      </c>
      <c r="R308">
        <v>0.47133785332314698</v>
      </c>
      <c r="S308">
        <v>42</v>
      </c>
      <c r="T308">
        <v>0</v>
      </c>
      <c r="U308" t="s">
        <v>1006</v>
      </c>
      <c r="V308" t="s">
        <v>995</v>
      </c>
      <c r="W308">
        <v>0.52380952380952295</v>
      </c>
      <c r="X308" t="b">
        <v>0</v>
      </c>
      <c r="Y308">
        <v>693.93785239988904</v>
      </c>
      <c r="Z308">
        <v>168.456007200176</v>
      </c>
      <c r="AA308">
        <v>7761.1804630000197</v>
      </c>
      <c r="AB308">
        <v>278</v>
      </c>
      <c r="AC308">
        <v>2</v>
      </c>
      <c r="AD308">
        <v>0.45683453237409999</v>
      </c>
      <c r="AE308">
        <v>0.44931428273452501</v>
      </c>
      <c r="AF308">
        <v>0.44827586206896503</v>
      </c>
      <c r="AG308">
        <v>0.44931428273452501</v>
      </c>
      <c r="AH308">
        <v>0.44808635401464603</v>
      </c>
      <c r="AI308">
        <v>-0.1024045903458</v>
      </c>
      <c r="AJ308" t="s">
        <v>1029</v>
      </c>
      <c r="AK308">
        <v>0.42858632737133001</v>
      </c>
      <c r="AL308">
        <v>0.43206254831170499</v>
      </c>
      <c r="AM308">
        <v>151</v>
      </c>
      <c r="AN308">
        <v>0.5</v>
      </c>
      <c r="AO308">
        <v>0.53642384105960195</v>
      </c>
      <c r="AP308">
        <v>0.51757188498402495</v>
      </c>
      <c r="AQ308">
        <v>127</v>
      </c>
      <c r="AR308">
        <v>0.39655172413793099</v>
      </c>
      <c r="AS308">
        <v>0.36220472440944801</v>
      </c>
      <c r="AT308">
        <v>0.37860082304526699</v>
      </c>
      <c r="AU308">
        <v>81</v>
      </c>
      <c r="AV308">
        <v>70</v>
      </c>
      <c r="AW308">
        <v>81</v>
      </c>
      <c r="AX308">
        <v>46</v>
      </c>
      <c r="AY308">
        <v>1000</v>
      </c>
      <c r="AZ308">
        <v>0.38542672274344802</v>
      </c>
      <c r="BA308">
        <v>0.53114710568242096</v>
      </c>
      <c r="BB308">
        <v>0.38030410190750202</v>
      </c>
      <c r="BC308">
        <v>0.51842501631206905</v>
      </c>
      <c r="BD308">
        <v>0.37492355126174498</v>
      </c>
      <c r="BE308">
        <v>0.51643498964803303</v>
      </c>
      <c r="BF308">
        <v>-0.24314301730986199</v>
      </c>
      <c r="BG308">
        <v>3.85023859175068E-2</v>
      </c>
      <c r="BH308">
        <v>1000</v>
      </c>
      <c r="BI308">
        <v>0.412376389441865</v>
      </c>
      <c r="BJ308">
        <v>0.53550488963914</v>
      </c>
      <c r="BK308">
        <v>7</v>
      </c>
    </row>
    <row r="309" spans="1:63" x14ac:dyDescent="0.3">
      <c r="A309" t="s">
        <v>1030</v>
      </c>
      <c r="B309" t="s">
        <v>109</v>
      </c>
      <c r="C309" t="s">
        <v>37</v>
      </c>
      <c r="D309" t="s">
        <v>66</v>
      </c>
      <c r="E309" t="s">
        <v>1001</v>
      </c>
      <c r="F309">
        <v>4</v>
      </c>
      <c r="G309" t="s">
        <v>24</v>
      </c>
      <c r="H309" t="s">
        <v>26</v>
      </c>
      <c r="I309" t="s">
        <v>35</v>
      </c>
      <c r="J309" t="s">
        <v>984</v>
      </c>
      <c r="K309" t="s">
        <v>111</v>
      </c>
      <c r="L309">
        <v>10</v>
      </c>
      <c r="M309">
        <v>278</v>
      </c>
      <c r="N309">
        <v>42</v>
      </c>
      <c r="O309">
        <v>42</v>
      </c>
      <c r="P309" t="b">
        <v>1</v>
      </c>
      <c r="Q309" t="s">
        <v>112</v>
      </c>
      <c r="R309">
        <v>0.43425430778371898</v>
      </c>
      <c r="S309">
        <v>42</v>
      </c>
      <c r="T309">
        <v>0</v>
      </c>
      <c r="U309" t="s">
        <v>1026</v>
      </c>
      <c r="V309" t="s">
        <v>995</v>
      </c>
      <c r="W309">
        <v>0.5</v>
      </c>
      <c r="X309" t="b">
        <v>0</v>
      </c>
      <c r="Y309">
        <v>695.86724820011295</v>
      </c>
      <c r="Z309">
        <v>168.17613759986099</v>
      </c>
      <c r="AA309">
        <v>7872.0711680999902</v>
      </c>
      <c r="AB309">
        <v>278</v>
      </c>
      <c r="AC309">
        <v>2</v>
      </c>
      <c r="AD309">
        <v>0.42805755395683398</v>
      </c>
      <c r="AE309">
        <v>0.42094696772175</v>
      </c>
      <c r="AF309">
        <v>0.41970338983050798</v>
      </c>
      <c r="AG309">
        <v>0.42094696772175</v>
      </c>
      <c r="AH309">
        <v>0.41988319443533001</v>
      </c>
      <c r="AI309">
        <v>-0.15934478988109799</v>
      </c>
      <c r="AJ309" t="s">
        <v>1031</v>
      </c>
      <c r="AK309">
        <v>0.42676122438337499</v>
      </c>
      <c r="AL309">
        <v>0.39305581374194498</v>
      </c>
      <c r="AM309">
        <v>151</v>
      </c>
      <c r="AN309">
        <v>0.47499999999999998</v>
      </c>
      <c r="AO309">
        <v>0.50331125827814505</v>
      </c>
      <c r="AP309">
        <v>0.488745980707395</v>
      </c>
      <c r="AQ309">
        <v>127</v>
      </c>
      <c r="AR309">
        <v>0.36440677966101598</v>
      </c>
      <c r="AS309">
        <v>0.33858267716535401</v>
      </c>
      <c r="AT309">
        <v>0.35102040816326502</v>
      </c>
      <c r="AU309">
        <v>76</v>
      </c>
      <c r="AV309">
        <v>75</v>
      </c>
      <c r="AW309">
        <v>84</v>
      </c>
      <c r="AX309">
        <v>43</v>
      </c>
      <c r="AY309">
        <v>1000</v>
      </c>
      <c r="AZ309">
        <v>0.35613708556680501</v>
      </c>
      <c r="BA309">
        <v>0.50534098997088295</v>
      </c>
      <c r="BB309">
        <v>0.34948277236630299</v>
      </c>
      <c r="BC309">
        <v>0.49177494003259598</v>
      </c>
      <c r="BD309">
        <v>0.34711554630722902</v>
      </c>
      <c r="BE309">
        <v>0.48936685983539202</v>
      </c>
      <c r="BF309">
        <v>-0.30224203029926899</v>
      </c>
      <c r="BG309">
        <v>-1.61798209422504E-2</v>
      </c>
      <c r="BH309">
        <v>1000</v>
      </c>
      <c r="BI309">
        <v>0.37130910196434302</v>
      </c>
      <c r="BJ309">
        <v>0.50286193058304396</v>
      </c>
      <c r="BK309">
        <v>10</v>
      </c>
    </row>
    <row r="310" spans="1:63" x14ac:dyDescent="0.3">
      <c r="A310" t="s">
        <v>1032</v>
      </c>
      <c r="B310" t="s">
        <v>109</v>
      </c>
      <c r="C310" t="s">
        <v>37</v>
      </c>
      <c r="D310" t="s">
        <v>66</v>
      </c>
      <c r="E310" t="s">
        <v>1005</v>
      </c>
      <c r="F310">
        <v>5</v>
      </c>
      <c r="G310" t="s">
        <v>24</v>
      </c>
      <c r="H310" t="s">
        <v>36</v>
      </c>
      <c r="I310" t="s">
        <v>27</v>
      </c>
      <c r="J310" t="s">
        <v>984</v>
      </c>
      <c r="K310" t="s">
        <v>111</v>
      </c>
      <c r="L310">
        <v>10</v>
      </c>
      <c r="M310">
        <v>278</v>
      </c>
      <c r="N310">
        <v>42</v>
      </c>
      <c r="O310">
        <v>42</v>
      </c>
      <c r="P310" t="b">
        <v>1</v>
      </c>
      <c r="Q310" t="s">
        <v>112</v>
      </c>
      <c r="R310">
        <v>0.47127525252525199</v>
      </c>
      <c r="S310">
        <v>42</v>
      </c>
      <c r="T310">
        <v>0</v>
      </c>
      <c r="U310" t="s">
        <v>1026</v>
      </c>
      <c r="V310" t="s">
        <v>986</v>
      </c>
      <c r="W310">
        <v>0.5</v>
      </c>
      <c r="X310" t="b">
        <v>0</v>
      </c>
      <c r="Y310">
        <v>342.59647970000498</v>
      </c>
      <c r="Z310">
        <v>70.359318999748197</v>
      </c>
      <c r="AA310">
        <v>7983.2461632000004</v>
      </c>
      <c r="AB310">
        <v>278</v>
      </c>
      <c r="AC310">
        <v>2</v>
      </c>
      <c r="AD310">
        <v>0.51079136690647398</v>
      </c>
      <c r="AE310">
        <v>0.503363404077801</v>
      </c>
      <c r="AF310">
        <v>0.50344091757802001</v>
      </c>
      <c r="AG310">
        <v>0.503363404077801</v>
      </c>
      <c r="AH310">
        <v>0.502447754908669</v>
      </c>
      <c r="AI310">
        <v>6.8038801321875604E-3</v>
      </c>
      <c r="AJ310" t="s">
        <v>1033</v>
      </c>
      <c r="AK310">
        <v>0.49502007613286703</v>
      </c>
      <c r="AL310">
        <v>0.456811387946572</v>
      </c>
      <c r="AM310">
        <v>151</v>
      </c>
      <c r="AN310">
        <v>0.54601226993865004</v>
      </c>
      <c r="AO310">
        <v>0.58940397350993301</v>
      </c>
      <c r="AP310">
        <v>0.56687898089171895</v>
      </c>
      <c r="AQ310">
        <v>127</v>
      </c>
      <c r="AR310">
        <v>0.46086956521739098</v>
      </c>
      <c r="AS310">
        <v>0.41732283464566899</v>
      </c>
      <c r="AT310">
        <v>0.43801652892561899</v>
      </c>
      <c r="AU310">
        <v>89</v>
      </c>
      <c r="AV310">
        <v>62</v>
      </c>
      <c r="AW310">
        <v>74</v>
      </c>
      <c r="AX310">
        <v>53</v>
      </c>
      <c r="AY310">
        <v>1000</v>
      </c>
      <c r="AZ310">
        <v>0.43368279569892398</v>
      </c>
      <c r="BA310">
        <v>0.59175273824700103</v>
      </c>
      <c r="BB310">
        <v>0.42400720353837501</v>
      </c>
      <c r="BC310">
        <v>0.57991886748120303</v>
      </c>
      <c r="BD310">
        <v>0.42223581840430002</v>
      </c>
      <c r="BE310">
        <v>0.57702815093926796</v>
      </c>
      <c r="BF310">
        <v>-0.15292608915681299</v>
      </c>
      <c r="BG310">
        <v>0.16094028480924499</v>
      </c>
      <c r="BH310">
        <v>1000</v>
      </c>
      <c r="BI310">
        <v>0.40995690491108699</v>
      </c>
      <c r="BJ310">
        <v>0.53576870663037901</v>
      </c>
      <c r="BK310">
        <v>8</v>
      </c>
    </row>
    <row r="311" spans="1:63" x14ac:dyDescent="0.3">
      <c r="A311" t="s">
        <v>1034</v>
      </c>
      <c r="B311" t="s">
        <v>109</v>
      </c>
      <c r="C311" t="s">
        <v>37</v>
      </c>
      <c r="D311" t="s">
        <v>66</v>
      </c>
      <c r="E311" t="s">
        <v>1009</v>
      </c>
      <c r="F311">
        <v>6</v>
      </c>
      <c r="G311" t="s">
        <v>24</v>
      </c>
      <c r="H311" t="s">
        <v>36</v>
      </c>
      <c r="I311" t="s">
        <v>32</v>
      </c>
      <c r="J311" t="s">
        <v>984</v>
      </c>
      <c r="K311" t="s">
        <v>111</v>
      </c>
      <c r="L311">
        <v>10</v>
      </c>
      <c r="M311">
        <v>278</v>
      </c>
      <c r="N311">
        <v>42</v>
      </c>
      <c r="O311">
        <v>42</v>
      </c>
      <c r="P311" t="b">
        <v>1</v>
      </c>
      <c r="Q311" t="s">
        <v>112</v>
      </c>
      <c r="R311">
        <v>0.51345386639504198</v>
      </c>
      <c r="S311">
        <v>42</v>
      </c>
      <c r="T311">
        <v>0</v>
      </c>
      <c r="U311" t="s">
        <v>998</v>
      </c>
      <c r="V311" t="s">
        <v>986</v>
      </c>
      <c r="W311">
        <v>0.61904761904761896</v>
      </c>
      <c r="X311" t="b">
        <v>0</v>
      </c>
      <c r="Y311">
        <v>353.35575509991003</v>
      </c>
      <c r="Z311">
        <v>75.709051099780396</v>
      </c>
      <c r="AA311">
        <v>8094.1990252999803</v>
      </c>
      <c r="AB311">
        <v>278</v>
      </c>
      <c r="AC311">
        <v>2</v>
      </c>
      <c r="AD311">
        <v>0.50359712230215803</v>
      </c>
      <c r="AE311">
        <v>0.50550138186368998</v>
      </c>
      <c r="AF311">
        <v>0.50547057298418396</v>
      </c>
      <c r="AG311">
        <v>0.50550138186368998</v>
      </c>
      <c r="AH311">
        <v>0.50336578293289103</v>
      </c>
      <c r="AI311">
        <v>1.09719115926424E-2</v>
      </c>
      <c r="AJ311" t="s">
        <v>1035</v>
      </c>
      <c r="AK311">
        <v>0.49976534390154798</v>
      </c>
      <c r="AL311">
        <v>0.449838717829734</v>
      </c>
      <c r="AM311">
        <v>151</v>
      </c>
      <c r="AN311">
        <v>0.54887218045112696</v>
      </c>
      <c r="AO311">
        <v>0.48344370860927099</v>
      </c>
      <c r="AP311">
        <v>0.51408450704225295</v>
      </c>
      <c r="AQ311">
        <v>127</v>
      </c>
      <c r="AR311">
        <v>0.46206896551724103</v>
      </c>
      <c r="AS311">
        <v>0.52755905511810997</v>
      </c>
      <c r="AT311">
        <v>0.49264705882352899</v>
      </c>
      <c r="AU311">
        <v>73</v>
      </c>
      <c r="AV311">
        <v>78</v>
      </c>
      <c r="AW311">
        <v>60</v>
      </c>
      <c r="AX311">
        <v>67</v>
      </c>
      <c r="AY311">
        <v>1000</v>
      </c>
      <c r="AZ311">
        <v>0.43969462727690101</v>
      </c>
      <c r="BA311">
        <v>0.57293198529411704</v>
      </c>
      <c r="BB311">
        <v>0.44325381254483398</v>
      </c>
      <c r="BC311">
        <v>0.57728563559615698</v>
      </c>
      <c r="BD311">
        <v>0.43647157099671502</v>
      </c>
      <c r="BE311">
        <v>0.57009469991546602</v>
      </c>
      <c r="BF311">
        <v>-0.11363046314229799</v>
      </c>
      <c r="BG311">
        <v>0.15133000929503301</v>
      </c>
      <c r="BH311">
        <v>1000</v>
      </c>
      <c r="BI311">
        <v>0.44959175897061299</v>
      </c>
      <c r="BJ311">
        <v>0.58335720791506296</v>
      </c>
      <c r="BK311">
        <v>3</v>
      </c>
    </row>
    <row r="312" spans="1:63" x14ac:dyDescent="0.3">
      <c r="A312" t="s">
        <v>1036</v>
      </c>
      <c r="B312" t="s">
        <v>109</v>
      </c>
      <c r="C312" t="s">
        <v>37</v>
      </c>
      <c r="D312" t="s">
        <v>66</v>
      </c>
      <c r="E312" t="s">
        <v>1012</v>
      </c>
      <c r="F312">
        <v>7</v>
      </c>
      <c r="G312" t="s">
        <v>24</v>
      </c>
      <c r="H312" t="s">
        <v>36</v>
      </c>
      <c r="I312" t="s">
        <v>33</v>
      </c>
      <c r="J312" t="s">
        <v>984</v>
      </c>
      <c r="K312" t="s">
        <v>111</v>
      </c>
      <c r="L312">
        <v>10</v>
      </c>
      <c r="M312">
        <v>278</v>
      </c>
      <c r="N312">
        <v>42</v>
      </c>
      <c r="O312">
        <v>42</v>
      </c>
      <c r="P312" t="b">
        <v>1</v>
      </c>
      <c r="Q312" t="s">
        <v>112</v>
      </c>
      <c r="R312">
        <v>0.45684205500381903</v>
      </c>
      <c r="S312">
        <v>42</v>
      </c>
      <c r="T312">
        <v>0</v>
      </c>
      <c r="U312" t="s">
        <v>1037</v>
      </c>
      <c r="V312" t="s">
        <v>986</v>
      </c>
      <c r="W312">
        <v>0.57142857142857095</v>
      </c>
      <c r="X312" t="b">
        <v>0</v>
      </c>
      <c r="Y312">
        <v>359.12894399993797</v>
      </c>
      <c r="Z312">
        <v>75.151641400239896</v>
      </c>
      <c r="AA312">
        <v>8205.3042941999702</v>
      </c>
      <c r="AB312">
        <v>278</v>
      </c>
      <c r="AC312">
        <v>2</v>
      </c>
      <c r="AD312">
        <v>0.5</v>
      </c>
      <c r="AE312">
        <v>0.49530687803097401</v>
      </c>
      <c r="AF312">
        <v>0.49528697109342201</v>
      </c>
      <c r="AG312">
        <v>0.49530687803097401</v>
      </c>
      <c r="AH312">
        <v>0.495238717262099</v>
      </c>
      <c r="AI312">
        <v>-9.4061298103119192E-3</v>
      </c>
      <c r="AJ312" t="s">
        <v>1038</v>
      </c>
      <c r="AK312">
        <v>0.477759816446785</v>
      </c>
      <c r="AL312">
        <v>0.47314384176514601</v>
      </c>
      <c r="AM312">
        <v>151</v>
      </c>
      <c r="AN312">
        <v>0.53896103896103897</v>
      </c>
      <c r="AO312">
        <v>0.54966887417218502</v>
      </c>
      <c r="AP312">
        <v>0.544262295081967</v>
      </c>
      <c r="AQ312">
        <v>127</v>
      </c>
      <c r="AR312">
        <v>0.45161290322580599</v>
      </c>
      <c r="AS312">
        <v>0.440944881889763</v>
      </c>
      <c r="AT312">
        <v>0.44621513944223101</v>
      </c>
      <c r="AU312">
        <v>83</v>
      </c>
      <c r="AV312">
        <v>68</v>
      </c>
      <c r="AW312">
        <v>71</v>
      </c>
      <c r="AX312">
        <v>56</v>
      </c>
      <c r="AY312">
        <v>1000</v>
      </c>
      <c r="AZ312">
        <v>0.41843168507672901</v>
      </c>
      <c r="BA312">
        <v>0.57403203971119099</v>
      </c>
      <c r="BB312">
        <v>0.41305029518062403</v>
      </c>
      <c r="BC312">
        <v>0.56587469036826898</v>
      </c>
      <c r="BD312">
        <v>0.412049892023298</v>
      </c>
      <c r="BE312">
        <v>0.56354279314642897</v>
      </c>
      <c r="BF312">
        <v>-0.17409608234938201</v>
      </c>
      <c r="BG312">
        <v>0.130173785125998</v>
      </c>
      <c r="BH312">
        <v>1000</v>
      </c>
      <c r="BI312">
        <v>0.38179351997209099</v>
      </c>
      <c r="BJ312">
        <v>0.53792735345109899</v>
      </c>
      <c r="BK312">
        <v>9</v>
      </c>
    </row>
    <row r="313" spans="1:63" x14ac:dyDescent="0.3">
      <c r="A313" t="s">
        <v>1039</v>
      </c>
      <c r="B313" t="s">
        <v>109</v>
      </c>
      <c r="C313" t="s">
        <v>37</v>
      </c>
      <c r="D313" t="s">
        <v>66</v>
      </c>
      <c r="E313" t="s">
        <v>1015</v>
      </c>
      <c r="F313">
        <v>8</v>
      </c>
      <c r="G313" t="s">
        <v>24</v>
      </c>
      <c r="H313" t="s">
        <v>36</v>
      </c>
      <c r="I313" t="s">
        <v>34</v>
      </c>
      <c r="J313" t="s">
        <v>984</v>
      </c>
      <c r="K313" t="s">
        <v>111</v>
      </c>
      <c r="L313">
        <v>10</v>
      </c>
      <c r="M313">
        <v>278</v>
      </c>
      <c r="N313">
        <v>42</v>
      </c>
      <c r="O313">
        <v>42</v>
      </c>
      <c r="P313" t="b">
        <v>1</v>
      </c>
      <c r="Q313" t="s">
        <v>112</v>
      </c>
      <c r="R313">
        <v>0.52150974025973995</v>
      </c>
      <c r="S313">
        <v>42</v>
      </c>
      <c r="T313">
        <v>0</v>
      </c>
      <c r="U313" t="s">
        <v>1040</v>
      </c>
      <c r="V313" t="s">
        <v>995</v>
      </c>
      <c r="W313">
        <v>0.69047619047619002</v>
      </c>
      <c r="X313" t="b">
        <v>0</v>
      </c>
      <c r="Y313">
        <v>327.30384110001597</v>
      </c>
      <c r="Z313">
        <v>75.940518299990799</v>
      </c>
      <c r="AA313">
        <v>8315.9644760999909</v>
      </c>
      <c r="AB313">
        <v>278</v>
      </c>
      <c r="AC313">
        <v>2</v>
      </c>
      <c r="AD313">
        <v>0.47482014388489202</v>
      </c>
      <c r="AE313">
        <v>0.474005318871564</v>
      </c>
      <c r="AF313">
        <v>0.47419371538023503</v>
      </c>
      <c r="AG313">
        <v>0.474005318871564</v>
      </c>
      <c r="AH313">
        <v>0.47348484848484801</v>
      </c>
      <c r="AI313">
        <v>-5.1800623154569403E-2</v>
      </c>
      <c r="AJ313" t="s">
        <v>876</v>
      </c>
      <c r="AK313">
        <v>0.50649215205715103</v>
      </c>
      <c r="AL313">
        <v>0.45386981371506802</v>
      </c>
      <c r="AM313">
        <v>151</v>
      </c>
      <c r="AN313">
        <v>0.51773049645390001</v>
      </c>
      <c r="AO313">
        <v>0.48344370860927099</v>
      </c>
      <c r="AP313">
        <v>0.5</v>
      </c>
      <c r="AQ313">
        <v>127</v>
      </c>
      <c r="AR313">
        <v>0.43065693430656898</v>
      </c>
      <c r="AS313">
        <v>0.464566929133858</v>
      </c>
      <c r="AT313">
        <v>0.44696969696969602</v>
      </c>
      <c r="AU313">
        <v>73</v>
      </c>
      <c r="AV313">
        <v>78</v>
      </c>
      <c r="AW313">
        <v>68</v>
      </c>
      <c r="AX313">
        <v>59</v>
      </c>
      <c r="AY313">
        <v>1000</v>
      </c>
      <c r="AZ313">
        <v>0.40546912799136497</v>
      </c>
      <c r="BA313">
        <v>0.54806890973794797</v>
      </c>
      <c r="BB313">
        <v>0.40258101143090402</v>
      </c>
      <c r="BC313">
        <v>0.54937574831913105</v>
      </c>
      <c r="BD313">
        <v>0.40063877139484499</v>
      </c>
      <c r="BE313">
        <v>0.54253659519388298</v>
      </c>
      <c r="BF313">
        <v>-0.19368156323215799</v>
      </c>
      <c r="BG313">
        <v>9.7564595657378295E-2</v>
      </c>
      <c r="BH313">
        <v>1000</v>
      </c>
      <c r="BI313">
        <v>0.44456202414414803</v>
      </c>
      <c r="BJ313">
        <v>0.59602455383602504</v>
      </c>
      <c r="BK313">
        <v>2</v>
      </c>
    </row>
    <row r="314" spans="1:63" x14ac:dyDescent="0.3">
      <c r="A314" t="s">
        <v>1041</v>
      </c>
      <c r="B314" t="s">
        <v>109</v>
      </c>
      <c r="C314" t="s">
        <v>37</v>
      </c>
      <c r="D314" t="s">
        <v>66</v>
      </c>
      <c r="E314" t="s">
        <v>1019</v>
      </c>
      <c r="F314">
        <v>9</v>
      </c>
      <c r="G314" t="s">
        <v>24</v>
      </c>
      <c r="H314" t="s">
        <v>36</v>
      </c>
      <c r="I314" t="s">
        <v>35</v>
      </c>
      <c r="J314" t="s">
        <v>984</v>
      </c>
      <c r="K314" t="s">
        <v>111</v>
      </c>
      <c r="L314">
        <v>10</v>
      </c>
      <c r="M314">
        <v>278</v>
      </c>
      <c r="N314">
        <v>42</v>
      </c>
      <c r="O314">
        <v>42</v>
      </c>
      <c r="P314" t="b">
        <v>1</v>
      </c>
      <c r="Q314" t="s">
        <v>112</v>
      </c>
      <c r="R314">
        <v>0.52334107885578396</v>
      </c>
      <c r="S314">
        <v>42</v>
      </c>
      <c r="T314">
        <v>0</v>
      </c>
      <c r="U314" t="s">
        <v>998</v>
      </c>
      <c r="V314" t="s">
        <v>986</v>
      </c>
      <c r="W314">
        <v>0.61904761904761896</v>
      </c>
      <c r="X314" t="b">
        <v>0</v>
      </c>
      <c r="Y314">
        <v>342.61067419999699</v>
      </c>
      <c r="Z314">
        <v>73.451509600214195</v>
      </c>
      <c r="AA314">
        <v>8427.1387345999792</v>
      </c>
      <c r="AB314">
        <v>278</v>
      </c>
      <c r="AC314">
        <v>2</v>
      </c>
      <c r="AD314">
        <v>0.49640287769784103</v>
      </c>
      <c r="AE314">
        <v>0.49324711894456902</v>
      </c>
      <c r="AF314">
        <v>0.49326257738931301</v>
      </c>
      <c r="AG314">
        <v>0.49324711894456902</v>
      </c>
      <c r="AH314">
        <v>0.493229166666666</v>
      </c>
      <c r="AI314">
        <v>-1.34902948092523E-2</v>
      </c>
      <c r="AJ314" t="s">
        <v>1042</v>
      </c>
      <c r="AK314">
        <v>0.479480627835427</v>
      </c>
      <c r="AL314">
        <v>0.42813049418625199</v>
      </c>
      <c r="AM314">
        <v>151</v>
      </c>
      <c r="AN314">
        <v>0.53691275167785202</v>
      </c>
      <c r="AO314">
        <v>0.52980132450331097</v>
      </c>
      <c r="AP314">
        <v>0.53333333333333299</v>
      </c>
      <c r="AQ314">
        <v>127</v>
      </c>
      <c r="AR314">
        <v>0.44961240310077499</v>
      </c>
      <c r="AS314">
        <v>0.45669291338582602</v>
      </c>
      <c r="AT314">
        <v>0.453125</v>
      </c>
      <c r="AU314">
        <v>80</v>
      </c>
      <c r="AV314">
        <v>71</v>
      </c>
      <c r="AW314">
        <v>69</v>
      </c>
      <c r="AX314">
        <v>58</v>
      </c>
      <c r="AY314">
        <v>1000</v>
      </c>
      <c r="AZ314">
        <v>0.41969919943489498</v>
      </c>
      <c r="BA314">
        <v>0.57496659298390196</v>
      </c>
      <c r="BB314">
        <v>0.41825903096330203</v>
      </c>
      <c r="BC314">
        <v>0.57622104137569796</v>
      </c>
      <c r="BD314">
        <v>0.416199585869584</v>
      </c>
      <c r="BE314">
        <v>0.56946087451387695</v>
      </c>
      <c r="BF314">
        <v>-0.164206805136906</v>
      </c>
      <c r="BG314">
        <v>0.148070227773556</v>
      </c>
      <c r="BH314">
        <v>1000</v>
      </c>
      <c r="BI314">
        <v>0.45195446389427901</v>
      </c>
      <c r="BJ314">
        <v>0.60176550606074997</v>
      </c>
      <c r="BK314">
        <v>1</v>
      </c>
    </row>
    <row r="315" spans="1:63" x14ac:dyDescent="0.3">
      <c r="A315" t="s">
        <v>0</v>
      </c>
      <c r="B315" t="s">
        <v>69</v>
      </c>
      <c r="C315" t="s">
        <v>2</v>
      </c>
      <c r="D315" t="s">
        <v>70</v>
      </c>
      <c r="E315" t="s">
        <v>71</v>
      </c>
      <c r="F315" t="s">
        <v>72</v>
      </c>
      <c r="G315" t="s">
        <v>1</v>
      </c>
      <c r="H315" t="s">
        <v>3</v>
      </c>
      <c r="I315" t="s">
        <v>4</v>
      </c>
      <c r="J315" t="s">
        <v>5</v>
      </c>
      <c r="K315" t="s">
        <v>73</v>
      </c>
      <c r="L315" t="s">
        <v>74</v>
      </c>
      <c r="M315" t="s">
        <v>75</v>
      </c>
      <c r="N315" t="s">
        <v>6</v>
      </c>
      <c r="O315" t="s">
        <v>7</v>
      </c>
      <c r="P315" t="s">
        <v>8</v>
      </c>
      <c r="Q315" t="s">
        <v>76</v>
      </c>
      <c r="R315" t="s">
        <v>77</v>
      </c>
      <c r="S315" t="s">
        <v>78</v>
      </c>
      <c r="T315" t="s">
        <v>79</v>
      </c>
      <c r="U315" t="s">
        <v>80</v>
      </c>
      <c r="V315" t="s">
        <v>81</v>
      </c>
      <c r="W315" t="s">
        <v>82</v>
      </c>
      <c r="X315" t="s">
        <v>9</v>
      </c>
      <c r="Y315" t="s">
        <v>83</v>
      </c>
      <c r="Z315" t="s">
        <v>84</v>
      </c>
      <c r="AA315" t="s">
        <v>85</v>
      </c>
      <c r="AB315" t="s">
        <v>10</v>
      </c>
      <c r="AC315" t="s">
        <v>282</v>
      </c>
      <c r="AD315" t="s">
        <v>283</v>
      </c>
      <c r="AE315" t="s">
        <v>284</v>
      </c>
      <c r="AF315" t="s">
        <v>285</v>
      </c>
      <c r="AG315" t="s">
        <v>19</v>
      </c>
      <c r="AH315" t="s">
        <v>286</v>
      </c>
      <c r="AI315" t="s">
        <v>287</v>
      </c>
      <c r="AJ315" t="s">
        <v>288</v>
      </c>
      <c r="AK315" t="s">
        <v>289</v>
      </c>
      <c r="AL315" t="s">
        <v>290</v>
      </c>
      <c r="AM315" t="s">
        <v>291</v>
      </c>
      <c r="AN315" t="s">
        <v>292</v>
      </c>
      <c r="AO315" t="s">
        <v>293</v>
      </c>
      <c r="AP315" t="s">
        <v>104</v>
      </c>
      <c r="AQ315" t="s">
        <v>105</v>
      </c>
      <c r="AR315" t="s">
        <v>106</v>
      </c>
      <c r="AS315" t="s">
        <v>107</v>
      </c>
    </row>
    <row r="316" spans="1:63" x14ac:dyDescent="0.3">
      <c r="A316" t="s">
        <v>1043</v>
      </c>
      <c r="B316" t="s">
        <v>109</v>
      </c>
      <c r="C316" t="s">
        <v>25</v>
      </c>
      <c r="D316" t="s">
        <v>68</v>
      </c>
      <c r="E316" t="s">
        <v>983</v>
      </c>
      <c r="F316">
        <v>0</v>
      </c>
      <c r="G316" t="s">
        <v>24</v>
      </c>
      <c r="H316" t="s">
        <v>26</v>
      </c>
      <c r="I316" t="s">
        <v>27</v>
      </c>
      <c r="J316" t="s">
        <v>984</v>
      </c>
      <c r="K316" t="s">
        <v>111</v>
      </c>
      <c r="L316">
        <v>10</v>
      </c>
      <c r="M316">
        <v>332</v>
      </c>
      <c r="N316">
        <v>42</v>
      </c>
      <c r="O316">
        <v>42</v>
      </c>
      <c r="P316" t="b">
        <v>1</v>
      </c>
      <c r="Q316" t="s">
        <v>248</v>
      </c>
      <c r="R316">
        <v>2.00608783867124</v>
      </c>
      <c r="S316">
        <v>42</v>
      </c>
      <c r="T316">
        <v>0</v>
      </c>
      <c r="U316" t="s">
        <v>1044</v>
      </c>
      <c r="V316" t="s">
        <v>986</v>
      </c>
      <c r="W316">
        <v>1</v>
      </c>
      <c r="X316" t="b">
        <v>0</v>
      </c>
      <c r="Y316">
        <v>2050.5611957000001</v>
      </c>
      <c r="Z316">
        <v>390.22324889998998</v>
      </c>
      <c r="AA316">
        <v>19280.487621699998</v>
      </c>
      <c r="AB316">
        <v>332</v>
      </c>
      <c r="AC316">
        <v>2.0039972791873799</v>
      </c>
      <c r="AD316">
        <v>2.2857720006901499</v>
      </c>
      <c r="AE316">
        <v>-3.43119493254562E-3</v>
      </c>
      <c r="AF316">
        <v>-1.2271446443893899E-2</v>
      </c>
      <c r="AG316">
        <v>1000</v>
      </c>
      <c r="AH316">
        <v>1.8437449137086299</v>
      </c>
      <c r="AI316">
        <v>2.18128371076312</v>
      </c>
      <c r="AJ316">
        <v>2.12105187113626</v>
      </c>
      <c r="AK316">
        <v>2.4591586423693199</v>
      </c>
      <c r="AL316">
        <v>-2.7958563881950199E-2</v>
      </c>
      <c r="AM316">
        <v>2.2912917483205401E-2</v>
      </c>
      <c r="AN316">
        <v>-0.101538520358586</v>
      </c>
      <c r="AO316">
        <v>8.2438994683003197E-2</v>
      </c>
      <c r="AP316">
        <v>1000</v>
      </c>
      <c r="AQ316">
        <v>1.84444634251109</v>
      </c>
      <c r="AR316">
        <v>2.1838320391700301</v>
      </c>
      <c r="AS316">
        <v>3</v>
      </c>
    </row>
    <row r="317" spans="1:63" x14ac:dyDescent="0.3">
      <c r="A317" t="s">
        <v>1045</v>
      </c>
      <c r="B317" t="s">
        <v>109</v>
      </c>
      <c r="C317" t="s">
        <v>25</v>
      </c>
      <c r="D317" t="s">
        <v>68</v>
      </c>
      <c r="E317" t="s">
        <v>989</v>
      </c>
      <c r="F317">
        <v>1</v>
      </c>
      <c r="G317" t="s">
        <v>24</v>
      </c>
      <c r="H317" t="s">
        <v>26</v>
      </c>
      <c r="I317" t="s">
        <v>32</v>
      </c>
      <c r="J317" t="s">
        <v>984</v>
      </c>
      <c r="K317" t="s">
        <v>111</v>
      </c>
      <c r="L317">
        <v>10</v>
      </c>
      <c r="M317">
        <v>332</v>
      </c>
      <c r="N317">
        <v>42</v>
      </c>
      <c r="O317">
        <v>42</v>
      </c>
      <c r="P317" t="b">
        <v>1</v>
      </c>
      <c r="Q317" t="s">
        <v>248</v>
      </c>
      <c r="R317">
        <v>2.01574779754394</v>
      </c>
      <c r="S317">
        <v>42</v>
      </c>
      <c r="T317">
        <v>0</v>
      </c>
      <c r="U317" t="s">
        <v>1044</v>
      </c>
      <c r="V317" t="s">
        <v>986</v>
      </c>
      <c r="W317">
        <v>1</v>
      </c>
      <c r="X317" t="b">
        <v>0</v>
      </c>
      <c r="Y317">
        <v>2054.8479450999998</v>
      </c>
      <c r="Z317">
        <v>421.46492219999402</v>
      </c>
      <c r="AA317">
        <v>19319.7048598</v>
      </c>
      <c r="AB317">
        <v>332</v>
      </c>
      <c r="AC317">
        <v>2.01358176082769</v>
      </c>
      <c r="AD317">
        <v>2.29358013490861</v>
      </c>
      <c r="AE317">
        <v>-1.0298290505905401E-2</v>
      </c>
      <c r="AF317">
        <v>4.3112260675054997E-2</v>
      </c>
      <c r="AG317">
        <v>1000</v>
      </c>
      <c r="AH317">
        <v>1.85209386464529</v>
      </c>
      <c r="AI317">
        <v>2.1819689827392899</v>
      </c>
      <c r="AJ317">
        <v>2.1355004815703298</v>
      </c>
      <c r="AK317">
        <v>2.4682841969360201</v>
      </c>
      <c r="AL317">
        <v>-3.9137723413996503E-2</v>
      </c>
      <c r="AM317">
        <v>1.52481298374968E-2</v>
      </c>
      <c r="AN317">
        <v>-2.6735428924414099E-2</v>
      </c>
      <c r="AO317">
        <v>0.111275223555068</v>
      </c>
      <c r="AP317">
        <v>1000</v>
      </c>
      <c r="AQ317">
        <v>1.8525936211782399</v>
      </c>
      <c r="AR317">
        <v>2.1822353405292998</v>
      </c>
      <c r="AS317">
        <v>8</v>
      </c>
    </row>
    <row r="318" spans="1:63" x14ac:dyDescent="0.3">
      <c r="A318" t="s">
        <v>1046</v>
      </c>
      <c r="B318" t="s">
        <v>109</v>
      </c>
      <c r="C318" t="s">
        <v>25</v>
      </c>
      <c r="D318" t="s">
        <v>68</v>
      </c>
      <c r="E318" t="s">
        <v>993</v>
      </c>
      <c r="F318">
        <v>2</v>
      </c>
      <c r="G318" t="s">
        <v>24</v>
      </c>
      <c r="H318" t="s">
        <v>26</v>
      </c>
      <c r="I318" t="s">
        <v>33</v>
      </c>
      <c r="J318" t="s">
        <v>984</v>
      </c>
      <c r="K318" t="s">
        <v>111</v>
      </c>
      <c r="L318">
        <v>10</v>
      </c>
      <c r="M318">
        <v>332</v>
      </c>
      <c r="N318">
        <v>42</v>
      </c>
      <c r="O318">
        <v>42</v>
      </c>
      <c r="P318" t="b">
        <v>1</v>
      </c>
      <c r="Q318" t="s">
        <v>248</v>
      </c>
      <c r="R318">
        <v>2.0204238327080102</v>
      </c>
      <c r="S318">
        <v>42</v>
      </c>
      <c r="T318">
        <v>0</v>
      </c>
      <c r="U318" t="s">
        <v>1044</v>
      </c>
      <c r="V318" t="s">
        <v>986</v>
      </c>
      <c r="W318">
        <v>1</v>
      </c>
      <c r="X318" t="b">
        <v>0</v>
      </c>
      <c r="Y318">
        <v>2017.8479718999899</v>
      </c>
      <c r="Z318">
        <v>359.45398549999999</v>
      </c>
      <c r="AA318">
        <v>19362.086308000002</v>
      </c>
      <c r="AB318">
        <v>332</v>
      </c>
      <c r="AC318">
        <v>2.01842230796511</v>
      </c>
      <c r="AD318">
        <v>2.2946238605351801</v>
      </c>
      <c r="AE318">
        <v>-1.12180003750559E-2</v>
      </c>
      <c r="AF318">
        <v>-5.4793173550328297E-2</v>
      </c>
      <c r="AG318">
        <v>1000</v>
      </c>
      <c r="AH318">
        <v>1.8498234766702699</v>
      </c>
      <c r="AI318">
        <v>2.1776882813331899</v>
      </c>
      <c r="AJ318">
        <v>2.1324891577137102</v>
      </c>
      <c r="AK318">
        <v>2.4548623056877501</v>
      </c>
      <c r="AL318">
        <v>-2.4863076083613302E-2</v>
      </c>
      <c r="AM318">
        <v>-2.4746502729680901E-3</v>
      </c>
      <c r="AN318">
        <v>-0.140774530006958</v>
      </c>
      <c r="AO318">
        <v>3.43738063749148E-2</v>
      </c>
      <c r="AP318">
        <v>1000</v>
      </c>
      <c r="AQ318">
        <v>1.8528619625947</v>
      </c>
      <c r="AR318">
        <v>2.1797696636511801</v>
      </c>
      <c r="AS318">
        <v>9</v>
      </c>
    </row>
    <row r="319" spans="1:63" x14ac:dyDescent="0.3">
      <c r="A319" t="s">
        <v>1047</v>
      </c>
      <c r="B319" t="s">
        <v>109</v>
      </c>
      <c r="C319" t="s">
        <v>25</v>
      </c>
      <c r="D319" t="s">
        <v>68</v>
      </c>
      <c r="E319" t="s">
        <v>997</v>
      </c>
      <c r="F319">
        <v>3</v>
      </c>
      <c r="G319" t="s">
        <v>24</v>
      </c>
      <c r="H319" t="s">
        <v>26</v>
      </c>
      <c r="I319" t="s">
        <v>34</v>
      </c>
      <c r="J319" t="s">
        <v>984</v>
      </c>
      <c r="K319" t="s">
        <v>111</v>
      </c>
      <c r="L319">
        <v>10</v>
      </c>
      <c r="M319">
        <v>332</v>
      </c>
      <c r="N319">
        <v>42</v>
      </c>
      <c r="O319">
        <v>42</v>
      </c>
      <c r="P319" t="b">
        <v>1</v>
      </c>
      <c r="Q319" t="s">
        <v>248</v>
      </c>
      <c r="R319">
        <v>2.03186988224904</v>
      </c>
      <c r="S319">
        <v>42</v>
      </c>
      <c r="T319">
        <v>0</v>
      </c>
      <c r="U319" t="s">
        <v>1044</v>
      </c>
      <c r="V319" t="s">
        <v>986</v>
      </c>
      <c r="W319">
        <v>1</v>
      </c>
      <c r="X319" t="b">
        <v>0</v>
      </c>
      <c r="Y319">
        <v>2065.8109039999899</v>
      </c>
      <c r="Z319">
        <v>405.54689989999599</v>
      </c>
      <c r="AA319">
        <v>19406.0459692</v>
      </c>
      <c r="AB319">
        <v>332</v>
      </c>
      <c r="AC319">
        <v>2.0301762277418298</v>
      </c>
      <c r="AD319">
        <v>2.31596258061907</v>
      </c>
      <c r="AE319">
        <v>-3.0112975150392501E-2</v>
      </c>
      <c r="AF319">
        <v>-7.6999420439857504E-3</v>
      </c>
      <c r="AG319">
        <v>1000</v>
      </c>
      <c r="AH319">
        <v>1.8740146457239699</v>
      </c>
      <c r="AI319">
        <v>2.20191062253065</v>
      </c>
      <c r="AJ319">
        <v>2.1578625472375501</v>
      </c>
      <c r="AK319">
        <v>2.4840188385469002</v>
      </c>
      <c r="AL319">
        <v>-6.6318121375792197E-2</v>
      </c>
      <c r="AM319">
        <v>-6.4548458226254598E-3</v>
      </c>
      <c r="AN319">
        <v>-7.5820783409310297E-2</v>
      </c>
      <c r="AO319">
        <v>6.94547108847091E-2</v>
      </c>
      <c r="AP319">
        <v>1000</v>
      </c>
      <c r="AQ319">
        <v>1.87410670664213</v>
      </c>
      <c r="AR319">
        <v>2.2022099545642901</v>
      </c>
      <c r="AS319">
        <v>10</v>
      </c>
    </row>
    <row r="320" spans="1:63" x14ac:dyDescent="0.3">
      <c r="A320" t="s">
        <v>1048</v>
      </c>
      <c r="B320" t="s">
        <v>109</v>
      </c>
      <c r="C320" t="s">
        <v>25</v>
      </c>
      <c r="D320" t="s">
        <v>68</v>
      </c>
      <c r="E320" t="s">
        <v>1001</v>
      </c>
      <c r="F320">
        <v>4</v>
      </c>
      <c r="G320" t="s">
        <v>24</v>
      </c>
      <c r="H320" t="s">
        <v>26</v>
      </c>
      <c r="I320" t="s">
        <v>35</v>
      </c>
      <c r="J320" t="s">
        <v>984</v>
      </c>
      <c r="K320" t="s">
        <v>111</v>
      </c>
      <c r="L320">
        <v>10</v>
      </c>
      <c r="M320">
        <v>332</v>
      </c>
      <c r="N320">
        <v>42</v>
      </c>
      <c r="O320">
        <v>42</v>
      </c>
      <c r="P320" t="b">
        <v>1</v>
      </c>
      <c r="Q320" t="s">
        <v>248</v>
      </c>
      <c r="R320">
        <v>2.0129572976852299</v>
      </c>
      <c r="S320">
        <v>42</v>
      </c>
      <c r="T320">
        <v>0</v>
      </c>
      <c r="U320" t="s">
        <v>1044</v>
      </c>
      <c r="V320" t="s">
        <v>986</v>
      </c>
      <c r="W320">
        <v>1</v>
      </c>
      <c r="X320" t="b">
        <v>0</v>
      </c>
      <c r="Y320">
        <v>2042.8469203</v>
      </c>
      <c r="Z320">
        <v>370.45331860000402</v>
      </c>
      <c r="AA320">
        <v>19445.138286500001</v>
      </c>
      <c r="AB320">
        <v>332</v>
      </c>
      <c r="AC320">
        <v>2.01072240142256</v>
      </c>
      <c r="AD320">
        <v>2.2872193860808498</v>
      </c>
      <c r="AE320">
        <v>-4.7023728778445798E-3</v>
      </c>
      <c r="AF320">
        <v>4.4533314828692203E-2</v>
      </c>
      <c r="AG320">
        <v>1000</v>
      </c>
      <c r="AH320">
        <v>1.8384880769465299</v>
      </c>
      <c r="AI320">
        <v>2.1881752690309701</v>
      </c>
      <c r="AJ320">
        <v>2.1147578626421999</v>
      </c>
      <c r="AK320">
        <v>2.4542396385159799</v>
      </c>
      <c r="AL320">
        <v>-2.5109942738635899E-2</v>
      </c>
      <c r="AM320">
        <v>1.1070048955584499E-2</v>
      </c>
      <c r="AN320">
        <v>-6.7227999321168505E-2</v>
      </c>
      <c r="AO320">
        <v>0.14366131239267099</v>
      </c>
      <c r="AP320">
        <v>1000</v>
      </c>
      <c r="AQ320">
        <v>1.84068732642705</v>
      </c>
      <c r="AR320">
        <v>2.18936117688096</v>
      </c>
      <c r="AS320">
        <v>7</v>
      </c>
    </row>
    <row r="321" spans="1:63" x14ac:dyDescent="0.3">
      <c r="A321" t="s">
        <v>1049</v>
      </c>
      <c r="B321" t="s">
        <v>109</v>
      </c>
      <c r="C321" t="s">
        <v>25</v>
      </c>
      <c r="D321" t="s">
        <v>68</v>
      </c>
      <c r="E321" t="s">
        <v>1005</v>
      </c>
      <c r="F321">
        <v>5</v>
      </c>
      <c r="G321" t="s">
        <v>24</v>
      </c>
      <c r="H321" t="s">
        <v>36</v>
      </c>
      <c r="I321" t="s">
        <v>27</v>
      </c>
      <c r="J321" t="s">
        <v>984</v>
      </c>
      <c r="K321" t="s">
        <v>111</v>
      </c>
      <c r="L321">
        <v>10</v>
      </c>
      <c r="M321">
        <v>332</v>
      </c>
      <c r="N321">
        <v>42</v>
      </c>
      <c r="O321">
        <v>42</v>
      </c>
      <c r="P321" t="b">
        <v>1</v>
      </c>
      <c r="Q321" t="s">
        <v>248</v>
      </c>
      <c r="R321">
        <v>2.0120151762654102</v>
      </c>
      <c r="S321">
        <v>42</v>
      </c>
      <c r="T321">
        <v>0</v>
      </c>
      <c r="U321" t="s">
        <v>1044</v>
      </c>
      <c r="V321" t="s">
        <v>986</v>
      </c>
      <c r="W321">
        <v>1</v>
      </c>
      <c r="X321" t="b">
        <v>0</v>
      </c>
      <c r="Y321">
        <v>1057.65083770001</v>
      </c>
      <c r="Z321">
        <v>241.638879499995</v>
      </c>
      <c r="AA321">
        <v>19475.066914700001</v>
      </c>
      <c r="AB321">
        <v>332</v>
      </c>
      <c r="AC321">
        <v>2.0104127791990698</v>
      </c>
      <c r="AD321">
        <v>2.2833079556977398</v>
      </c>
      <c r="AE321">
        <v>-1.26897845392726E-3</v>
      </c>
      <c r="AF321">
        <v>5.0707766989836797E-2</v>
      </c>
      <c r="AG321">
        <v>1000</v>
      </c>
      <c r="AH321">
        <v>1.85006281042905</v>
      </c>
      <c r="AI321">
        <v>2.1794615600123399</v>
      </c>
      <c r="AJ321">
        <v>2.1194138511668399</v>
      </c>
      <c r="AK321">
        <v>2.4497093410411201</v>
      </c>
      <c r="AL321">
        <v>-1.6513618751376202E-2</v>
      </c>
      <c r="AM321">
        <v>9.4607026889689302E-3</v>
      </c>
      <c r="AN321">
        <v>-2.5558970187544099E-2</v>
      </c>
      <c r="AO321">
        <v>0.13475318409374601</v>
      </c>
      <c r="AP321">
        <v>1000</v>
      </c>
      <c r="AQ321">
        <v>1.85325126623113</v>
      </c>
      <c r="AR321">
        <v>2.1794219071463599</v>
      </c>
      <c r="AS321">
        <v>5</v>
      </c>
    </row>
    <row r="322" spans="1:63" x14ac:dyDescent="0.3">
      <c r="A322" t="s">
        <v>1050</v>
      </c>
      <c r="B322" t="s">
        <v>109</v>
      </c>
      <c r="C322" t="s">
        <v>25</v>
      </c>
      <c r="D322" t="s">
        <v>68</v>
      </c>
      <c r="E322" t="s">
        <v>1009</v>
      </c>
      <c r="F322">
        <v>6</v>
      </c>
      <c r="G322" t="s">
        <v>24</v>
      </c>
      <c r="H322" t="s">
        <v>36</v>
      </c>
      <c r="I322" t="s">
        <v>32</v>
      </c>
      <c r="J322" t="s">
        <v>984</v>
      </c>
      <c r="K322" t="s">
        <v>111</v>
      </c>
      <c r="L322">
        <v>10</v>
      </c>
      <c r="M322">
        <v>332</v>
      </c>
      <c r="N322">
        <v>42</v>
      </c>
      <c r="O322">
        <v>42</v>
      </c>
      <c r="P322" t="b">
        <v>1</v>
      </c>
      <c r="Q322" t="s">
        <v>248</v>
      </c>
      <c r="R322">
        <v>2.0069344157264299</v>
      </c>
      <c r="S322">
        <v>42</v>
      </c>
      <c r="T322">
        <v>0</v>
      </c>
      <c r="U322" t="s">
        <v>1044</v>
      </c>
      <c r="V322" t="s">
        <v>986</v>
      </c>
      <c r="W322">
        <v>1</v>
      </c>
      <c r="X322" t="b">
        <v>0</v>
      </c>
      <c r="Y322">
        <v>1067.38121110002</v>
      </c>
      <c r="Z322">
        <v>240.85369610000001</v>
      </c>
      <c r="AA322">
        <v>19508.979702299999</v>
      </c>
      <c r="AB322">
        <v>332</v>
      </c>
      <c r="AC322">
        <v>2.0049614446708901</v>
      </c>
      <c r="AD322">
        <v>2.2785207859591901</v>
      </c>
      <c r="AE322">
        <v>2.92512930800525E-3</v>
      </c>
      <c r="AF322">
        <v>8.5205155809433206E-2</v>
      </c>
      <c r="AG322">
        <v>1000</v>
      </c>
      <c r="AH322">
        <v>1.8466249592702</v>
      </c>
      <c r="AI322">
        <v>2.1749413208689701</v>
      </c>
      <c r="AJ322">
        <v>2.1203272379751801</v>
      </c>
      <c r="AK322">
        <v>2.4388930569734502</v>
      </c>
      <c r="AL322">
        <v>-1.6878800878648501E-2</v>
      </c>
      <c r="AM322">
        <v>1.55307792217817E-2</v>
      </c>
      <c r="AN322">
        <v>-2.5733477111005602E-2</v>
      </c>
      <c r="AO322">
        <v>0.18131569217860499</v>
      </c>
      <c r="AP322">
        <v>1000</v>
      </c>
      <c r="AQ322">
        <v>1.8512045035936999</v>
      </c>
      <c r="AR322">
        <v>2.17753937087801</v>
      </c>
      <c r="AS322">
        <v>4</v>
      </c>
    </row>
    <row r="323" spans="1:63" x14ac:dyDescent="0.3">
      <c r="A323" t="s">
        <v>1051</v>
      </c>
      <c r="B323" t="s">
        <v>109</v>
      </c>
      <c r="C323" t="s">
        <v>25</v>
      </c>
      <c r="D323" t="s">
        <v>68</v>
      </c>
      <c r="E323" t="s">
        <v>1012</v>
      </c>
      <c r="F323">
        <v>7</v>
      </c>
      <c r="G323" t="s">
        <v>24</v>
      </c>
      <c r="H323" t="s">
        <v>36</v>
      </c>
      <c r="I323" t="s">
        <v>33</v>
      </c>
      <c r="J323" t="s">
        <v>984</v>
      </c>
      <c r="K323" t="s">
        <v>111</v>
      </c>
      <c r="L323">
        <v>10</v>
      </c>
      <c r="M323">
        <v>332</v>
      </c>
      <c r="N323">
        <v>42</v>
      </c>
      <c r="O323">
        <v>42</v>
      </c>
      <c r="P323" t="b">
        <v>1</v>
      </c>
      <c r="Q323" t="s">
        <v>248</v>
      </c>
      <c r="R323">
        <v>2.0047841010923499</v>
      </c>
      <c r="S323">
        <v>42</v>
      </c>
      <c r="T323">
        <v>0</v>
      </c>
      <c r="U323" t="s">
        <v>1044</v>
      </c>
      <c r="V323" t="s">
        <v>986</v>
      </c>
      <c r="W323">
        <v>1</v>
      </c>
      <c r="X323" t="b">
        <v>0</v>
      </c>
      <c r="Y323">
        <v>1063.6551726</v>
      </c>
      <c r="Z323">
        <v>245.56550359999699</v>
      </c>
      <c r="AA323">
        <v>19548.740667800001</v>
      </c>
      <c r="AB323">
        <v>332</v>
      </c>
      <c r="AC323">
        <v>2.0035274553011599</v>
      </c>
      <c r="AD323">
        <v>2.27107507887261</v>
      </c>
      <c r="AE323">
        <v>9.4309269215158108E-3</v>
      </c>
      <c r="AF323">
        <v>8.6792380283388607E-2</v>
      </c>
      <c r="AG323">
        <v>1000</v>
      </c>
      <c r="AH323">
        <v>1.85737088034186</v>
      </c>
      <c r="AI323">
        <v>2.16166095850074</v>
      </c>
      <c r="AJ323">
        <v>2.12509252615967</v>
      </c>
      <c r="AK323">
        <v>2.4238758295853899</v>
      </c>
      <c r="AL323">
        <v>-8.7247599106209297E-3</v>
      </c>
      <c r="AM323">
        <v>2.1604715298746999E-2</v>
      </c>
      <c r="AN323">
        <v>1.6279131030313601E-3</v>
      </c>
      <c r="AO323">
        <v>0.17090212946667899</v>
      </c>
      <c r="AP323">
        <v>1000</v>
      </c>
      <c r="AQ323">
        <v>1.8590039327445</v>
      </c>
      <c r="AR323">
        <v>2.1616584096534699</v>
      </c>
      <c r="AS323">
        <v>2</v>
      </c>
    </row>
    <row r="324" spans="1:63" x14ac:dyDescent="0.3">
      <c r="A324" t="s">
        <v>1052</v>
      </c>
      <c r="B324" t="s">
        <v>109</v>
      </c>
      <c r="C324" t="s">
        <v>25</v>
      </c>
      <c r="D324" t="s">
        <v>68</v>
      </c>
      <c r="E324" t="s">
        <v>1015</v>
      </c>
      <c r="F324">
        <v>8</v>
      </c>
      <c r="G324" t="s">
        <v>24</v>
      </c>
      <c r="H324" t="s">
        <v>36</v>
      </c>
      <c r="I324" t="s">
        <v>34</v>
      </c>
      <c r="J324" t="s">
        <v>984</v>
      </c>
      <c r="K324" t="s">
        <v>111</v>
      </c>
      <c r="L324">
        <v>10</v>
      </c>
      <c r="M324">
        <v>332</v>
      </c>
      <c r="N324">
        <v>42</v>
      </c>
      <c r="O324">
        <v>42</v>
      </c>
      <c r="P324" t="b">
        <v>1</v>
      </c>
      <c r="Q324" t="s">
        <v>248</v>
      </c>
      <c r="R324">
        <v>2.01208771217842</v>
      </c>
      <c r="S324">
        <v>42</v>
      </c>
      <c r="T324">
        <v>0</v>
      </c>
      <c r="U324" t="s">
        <v>1044</v>
      </c>
      <c r="V324" t="s">
        <v>986</v>
      </c>
      <c r="W324">
        <v>1</v>
      </c>
      <c r="X324" t="b">
        <v>0</v>
      </c>
      <c r="Y324">
        <v>1069.81750420002</v>
      </c>
      <c r="Z324">
        <v>249.077654899999</v>
      </c>
      <c r="AA324">
        <v>19584.885504900001</v>
      </c>
      <c r="AB324">
        <v>332</v>
      </c>
      <c r="AC324">
        <v>2.0103914112929799</v>
      </c>
      <c r="AD324">
        <v>2.2836601671495198</v>
      </c>
      <c r="AE324">
        <v>-1.57790358098508E-3</v>
      </c>
      <c r="AF324">
        <v>6.6394642447760194E-2</v>
      </c>
      <c r="AG324">
        <v>1000</v>
      </c>
      <c r="AH324">
        <v>1.8600426268719401</v>
      </c>
      <c r="AI324">
        <v>2.16298837400022</v>
      </c>
      <c r="AJ324">
        <v>2.1323683230649002</v>
      </c>
      <c r="AK324">
        <v>2.4288458354145699</v>
      </c>
      <c r="AL324">
        <v>-2.8135208857209801E-2</v>
      </c>
      <c r="AM324">
        <v>1.55615495944925E-2</v>
      </c>
      <c r="AN324">
        <v>-1.4012899472722299E-2</v>
      </c>
      <c r="AO324">
        <v>0.135796994031159</v>
      </c>
      <c r="AP324">
        <v>1000</v>
      </c>
      <c r="AQ324">
        <v>1.85995440694193</v>
      </c>
      <c r="AR324">
        <v>2.1641378860869902</v>
      </c>
      <c r="AS324">
        <v>6</v>
      </c>
    </row>
    <row r="325" spans="1:63" x14ac:dyDescent="0.3">
      <c r="A325" t="s">
        <v>1053</v>
      </c>
      <c r="B325" t="s">
        <v>109</v>
      </c>
      <c r="C325" t="s">
        <v>25</v>
      </c>
      <c r="D325" t="s">
        <v>68</v>
      </c>
      <c r="E325" t="s">
        <v>1019</v>
      </c>
      <c r="F325">
        <v>9</v>
      </c>
      <c r="G325" t="s">
        <v>24</v>
      </c>
      <c r="H325" t="s">
        <v>36</v>
      </c>
      <c r="I325" t="s">
        <v>35</v>
      </c>
      <c r="J325" t="s">
        <v>984</v>
      </c>
      <c r="K325" t="s">
        <v>111</v>
      </c>
      <c r="L325">
        <v>10</v>
      </c>
      <c r="M325">
        <v>332</v>
      </c>
      <c r="N325">
        <v>42</v>
      </c>
      <c r="O325">
        <v>42</v>
      </c>
      <c r="P325" t="b">
        <v>1</v>
      </c>
      <c r="Q325" t="s">
        <v>248</v>
      </c>
      <c r="R325">
        <v>1.9891265806427301</v>
      </c>
      <c r="S325">
        <v>42</v>
      </c>
      <c r="T325">
        <v>0</v>
      </c>
      <c r="U325" t="s">
        <v>1044</v>
      </c>
      <c r="V325" t="s">
        <v>986</v>
      </c>
      <c r="W325">
        <v>1</v>
      </c>
      <c r="X325" t="b">
        <v>0</v>
      </c>
      <c r="Y325">
        <v>1070.79917349998</v>
      </c>
      <c r="Z325">
        <v>247.58209660000401</v>
      </c>
      <c r="AA325">
        <v>19615.3727463</v>
      </c>
      <c r="AB325">
        <v>332</v>
      </c>
      <c r="AC325">
        <v>1.98841307105788</v>
      </c>
      <c r="AD325">
        <v>2.26219430108263</v>
      </c>
      <c r="AE325">
        <v>1.71627927947034E-2</v>
      </c>
      <c r="AF325">
        <v>0.116707341156123</v>
      </c>
      <c r="AG325">
        <v>1000</v>
      </c>
      <c r="AH325">
        <v>1.82635625818048</v>
      </c>
      <c r="AI325">
        <v>2.1433025942371402</v>
      </c>
      <c r="AJ325">
        <v>2.10626519595982</v>
      </c>
      <c r="AK325">
        <v>2.4155171593163498</v>
      </c>
      <c r="AL325">
        <v>-1.10061166722466E-2</v>
      </c>
      <c r="AM325">
        <v>3.9901773623907101E-2</v>
      </c>
      <c r="AN325">
        <v>3.4147752606393099E-2</v>
      </c>
      <c r="AO325">
        <v>0.19615690765746199</v>
      </c>
      <c r="AP325">
        <v>1000</v>
      </c>
      <c r="AQ325">
        <v>1.8286568216227601</v>
      </c>
      <c r="AR325">
        <v>2.1453474413654199</v>
      </c>
      <c r="AS325">
        <v>1</v>
      </c>
    </row>
    <row r="326" spans="1:63" x14ac:dyDescent="0.3">
      <c r="A326" t="s">
        <v>1054</v>
      </c>
      <c r="B326" t="s">
        <v>109</v>
      </c>
      <c r="C326" t="s">
        <v>37</v>
      </c>
      <c r="D326" t="s">
        <v>68</v>
      </c>
      <c r="E326" t="s">
        <v>983</v>
      </c>
      <c r="F326">
        <v>0</v>
      </c>
      <c r="G326" t="s">
        <v>24</v>
      </c>
      <c r="H326" t="s">
        <v>26</v>
      </c>
      <c r="I326" t="s">
        <v>27</v>
      </c>
      <c r="J326" t="s">
        <v>984</v>
      </c>
      <c r="K326" t="s">
        <v>111</v>
      </c>
      <c r="L326">
        <v>10</v>
      </c>
      <c r="M326">
        <v>332</v>
      </c>
      <c r="N326">
        <v>42</v>
      </c>
      <c r="O326">
        <v>42</v>
      </c>
      <c r="P326" t="b">
        <v>1</v>
      </c>
      <c r="Q326" t="s">
        <v>248</v>
      </c>
      <c r="R326">
        <v>1.73742882465281</v>
      </c>
      <c r="S326">
        <v>42</v>
      </c>
      <c r="T326">
        <v>0</v>
      </c>
      <c r="U326" t="s">
        <v>1055</v>
      </c>
      <c r="V326" t="s">
        <v>986</v>
      </c>
      <c r="W326">
        <v>0.66666666666666596</v>
      </c>
      <c r="X326" t="b">
        <v>0</v>
      </c>
      <c r="Y326">
        <v>1951.72922589994</v>
      </c>
      <c r="Z326">
        <v>394.35868689998</v>
      </c>
      <c r="AA326">
        <v>18620.963698799998</v>
      </c>
      <c r="AB326">
        <v>332</v>
      </c>
      <c r="AC326">
        <v>1.7351630980558701</v>
      </c>
      <c r="AD326">
        <v>2.0360198196770001</v>
      </c>
      <c r="AE326">
        <v>-4.0149521049313901E-2</v>
      </c>
      <c r="AF326">
        <v>-9.2772890193026605E-2</v>
      </c>
      <c r="AG326">
        <v>1000</v>
      </c>
      <c r="AH326">
        <v>1.5956394003883101</v>
      </c>
      <c r="AI326">
        <v>1.86811537243041</v>
      </c>
      <c r="AJ326">
        <v>1.8997506242668301</v>
      </c>
      <c r="AK326">
        <v>2.1655365936504598</v>
      </c>
      <c r="AL326">
        <v>-0.11774241411726501</v>
      </c>
      <c r="AM326">
        <v>5.59826011841203E-3</v>
      </c>
      <c r="AN326">
        <v>-0.29924509265608201</v>
      </c>
      <c r="AO326">
        <v>0.11929317997495099</v>
      </c>
      <c r="AP326">
        <v>1000</v>
      </c>
      <c r="AQ326">
        <v>1.59462718365238</v>
      </c>
      <c r="AR326">
        <v>1.8700457880602599</v>
      </c>
      <c r="AS326">
        <v>8</v>
      </c>
    </row>
    <row r="327" spans="1:63" x14ac:dyDescent="0.3">
      <c r="A327" t="s">
        <v>1056</v>
      </c>
      <c r="B327" t="s">
        <v>109</v>
      </c>
      <c r="C327" t="s">
        <v>37</v>
      </c>
      <c r="D327" t="s">
        <v>68</v>
      </c>
      <c r="E327" t="s">
        <v>989</v>
      </c>
      <c r="F327">
        <v>1</v>
      </c>
      <c r="G327" t="s">
        <v>24</v>
      </c>
      <c r="H327" t="s">
        <v>26</v>
      </c>
      <c r="I327" t="s">
        <v>32</v>
      </c>
      <c r="J327" t="s">
        <v>984</v>
      </c>
      <c r="K327" t="s">
        <v>111</v>
      </c>
      <c r="L327">
        <v>10</v>
      </c>
      <c r="M327">
        <v>332</v>
      </c>
      <c r="N327">
        <v>42</v>
      </c>
      <c r="O327">
        <v>42</v>
      </c>
      <c r="P327" t="b">
        <v>1</v>
      </c>
      <c r="Q327" t="s">
        <v>248</v>
      </c>
      <c r="R327">
        <v>1.6984548276310201</v>
      </c>
      <c r="S327">
        <v>42</v>
      </c>
      <c r="T327">
        <v>0</v>
      </c>
      <c r="U327" t="s">
        <v>998</v>
      </c>
      <c r="V327" t="s">
        <v>986</v>
      </c>
      <c r="W327">
        <v>0.61904761904761896</v>
      </c>
      <c r="X327" t="b">
        <v>0</v>
      </c>
      <c r="Y327">
        <v>1925.64618889999</v>
      </c>
      <c r="Z327">
        <v>399.01666739999899</v>
      </c>
      <c r="AA327">
        <v>18651.158109600001</v>
      </c>
      <c r="AB327">
        <v>332</v>
      </c>
      <c r="AC327">
        <v>1.69656963590032</v>
      </c>
      <c r="AD327">
        <v>2.0013891152891499</v>
      </c>
      <c r="AE327">
        <v>-5.0665927598067999E-3</v>
      </c>
      <c r="AF327">
        <v>-2.1754325228563898E-2</v>
      </c>
      <c r="AG327">
        <v>1000</v>
      </c>
      <c r="AH327">
        <v>1.5606712190636001</v>
      </c>
      <c r="AI327">
        <v>1.84126150811626</v>
      </c>
      <c r="AJ327">
        <v>1.8653539993225901</v>
      </c>
      <c r="AK327">
        <v>2.1412029517238</v>
      </c>
      <c r="AL327">
        <v>-8.2075660695825503E-2</v>
      </c>
      <c r="AM327">
        <v>3.4130761402571201E-2</v>
      </c>
      <c r="AN327">
        <v>-0.242962355793788</v>
      </c>
      <c r="AO327">
        <v>0.20111741915009901</v>
      </c>
      <c r="AP327">
        <v>1000</v>
      </c>
      <c r="AQ327">
        <v>1.56171051742602</v>
      </c>
      <c r="AR327">
        <v>1.8480261333997301</v>
      </c>
      <c r="AS327">
        <v>1</v>
      </c>
    </row>
    <row r="328" spans="1:63" x14ac:dyDescent="0.3">
      <c r="A328" t="s">
        <v>1057</v>
      </c>
      <c r="B328" t="s">
        <v>109</v>
      </c>
      <c r="C328" t="s">
        <v>37</v>
      </c>
      <c r="D328" t="s">
        <v>68</v>
      </c>
      <c r="E328" t="s">
        <v>993</v>
      </c>
      <c r="F328">
        <v>2</v>
      </c>
      <c r="G328" t="s">
        <v>24</v>
      </c>
      <c r="H328" t="s">
        <v>26</v>
      </c>
      <c r="I328" t="s">
        <v>33</v>
      </c>
      <c r="J328" t="s">
        <v>984</v>
      </c>
      <c r="K328" t="s">
        <v>111</v>
      </c>
      <c r="L328">
        <v>10</v>
      </c>
      <c r="M328">
        <v>332</v>
      </c>
      <c r="N328">
        <v>42</v>
      </c>
      <c r="O328">
        <v>42</v>
      </c>
      <c r="P328" t="b">
        <v>1</v>
      </c>
      <c r="Q328" t="s">
        <v>248</v>
      </c>
      <c r="R328">
        <v>1.7236531531956101</v>
      </c>
      <c r="S328">
        <v>42</v>
      </c>
      <c r="T328">
        <v>0</v>
      </c>
      <c r="U328" t="s">
        <v>1058</v>
      </c>
      <c r="V328" t="s">
        <v>986</v>
      </c>
      <c r="W328">
        <v>0.80952380952380898</v>
      </c>
      <c r="X328" t="b">
        <v>0</v>
      </c>
      <c r="Y328">
        <v>1959.6244756999999</v>
      </c>
      <c r="Z328">
        <v>370.919483099991</v>
      </c>
      <c r="AA328">
        <v>18683.930380900001</v>
      </c>
      <c r="AB328">
        <v>332</v>
      </c>
      <c r="AC328">
        <v>1.7237917797884399</v>
      </c>
      <c r="AD328">
        <v>2.02574370628093</v>
      </c>
      <c r="AE328">
        <v>-2.9676419991850601E-2</v>
      </c>
      <c r="AF328">
        <v>-0.12806310380916699</v>
      </c>
      <c r="AG328">
        <v>1000</v>
      </c>
      <c r="AH328">
        <v>1.56241616770932</v>
      </c>
      <c r="AI328">
        <v>1.86211612317207</v>
      </c>
      <c r="AJ328">
        <v>1.86781216264243</v>
      </c>
      <c r="AK328">
        <v>2.1585755018462298</v>
      </c>
      <c r="AL328">
        <v>-0.105197891994182</v>
      </c>
      <c r="AM328">
        <v>2.83048899892515E-3</v>
      </c>
      <c r="AN328">
        <v>-0.30827536584495102</v>
      </c>
      <c r="AO328">
        <v>5.4193271030488301E-2</v>
      </c>
      <c r="AP328">
        <v>1000</v>
      </c>
      <c r="AQ328">
        <v>1.5622244390290601</v>
      </c>
      <c r="AR328">
        <v>1.8638263002964901</v>
      </c>
      <c r="AS328">
        <v>3</v>
      </c>
    </row>
    <row r="329" spans="1:63" x14ac:dyDescent="0.3">
      <c r="A329" t="s">
        <v>1059</v>
      </c>
      <c r="B329" t="s">
        <v>109</v>
      </c>
      <c r="C329" t="s">
        <v>37</v>
      </c>
      <c r="D329" t="s">
        <v>68</v>
      </c>
      <c r="E329" t="s">
        <v>997</v>
      </c>
      <c r="F329">
        <v>3</v>
      </c>
      <c r="G329" t="s">
        <v>24</v>
      </c>
      <c r="H329" t="s">
        <v>26</v>
      </c>
      <c r="I329" t="s">
        <v>34</v>
      </c>
      <c r="J329" t="s">
        <v>984</v>
      </c>
      <c r="K329" t="s">
        <v>111</v>
      </c>
      <c r="L329">
        <v>10</v>
      </c>
      <c r="M329">
        <v>332</v>
      </c>
      <c r="N329">
        <v>42</v>
      </c>
      <c r="O329">
        <v>42</v>
      </c>
      <c r="P329" t="b">
        <v>1</v>
      </c>
      <c r="Q329" t="s">
        <v>248</v>
      </c>
      <c r="R329">
        <v>1.7335719225414901</v>
      </c>
      <c r="S329">
        <v>42</v>
      </c>
      <c r="T329">
        <v>0</v>
      </c>
      <c r="U329" t="s">
        <v>1016</v>
      </c>
      <c r="V329" t="s">
        <v>986</v>
      </c>
      <c r="W329">
        <v>0.64285714285714202</v>
      </c>
      <c r="X329" t="b">
        <v>0</v>
      </c>
      <c r="Y329">
        <v>1957.7232876000201</v>
      </c>
      <c r="Z329">
        <v>380.87428700000601</v>
      </c>
      <c r="AA329">
        <v>18713.803376799999</v>
      </c>
      <c r="AB329">
        <v>332</v>
      </c>
      <c r="AC329">
        <v>1.7320670847080299</v>
      </c>
      <c r="AD329">
        <v>2.0239997715983802</v>
      </c>
      <c r="AE329">
        <v>-2.7904314790762701E-2</v>
      </c>
      <c r="AF329">
        <v>-0.13670245103861201</v>
      </c>
      <c r="AG329">
        <v>1000</v>
      </c>
      <c r="AH329">
        <v>1.6039495548645599</v>
      </c>
      <c r="AI329">
        <v>1.8799486940390799</v>
      </c>
      <c r="AJ329">
        <v>1.88880257912595</v>
      </c>
      <c r="AK329">
        <v>2.16132748311894</v>
      </c>
      <c r="AL329">
        <v>-9.2667489912211895E-2</v>
      </c>
      <c r="AM329">
        <v>-3.34734223054339E-3</v>
      </c>
      <c r="AN329">
        <v>-0.323465659806077</v>
      </c>
      <c r="AO329">
        <v>6.5763506834219401E-2</v>
      </c>
      <c r="AP329">
        <v>1000</v>
      </c>
      <c r="AQ329">
        <v>1.60564188883742</v>
      </c>
      <c r="AR329">
        <v>1.8815411720961199</v>
      </c>
      <c r="AS329">
        <v>7</v>
      </c>
    </row>
    <row r="330" spans="1:63" x14ac:dyDescent="0.3">
      <c r="A330" t="s">
        <v>1060</v>
      </c>
      <c r="B330" t="s">
        <v>109</v>
      </c>
      <c r="C330" t="s">
        <v>37</v>
      </c>
      <c r="D330" t="s">
        <v>68</v>
      </c>
      <c r="E330" t="s">
        <v>1001</v>
      </c>
      <c r="F330">
        <v>4</v>
      </c>
      <c r="G330" t="s">
        <v>24</v>
      </c>
      <c r="H330" t="s">
        <v>26</v>
      </c>
      <c r="I330" t="s">
        <v>35</v>
      </c>
      <c r="J330" t="s">
        <v>984</v>
      </c>
      <c r="K330" t="s">
        <v>111</v>
      </c>
      <c r="L330">
        <v>10</v>
      </c>
      <c r="M330">
        <v>332</v>
      </c>
      <c r="N330">
        <v>42</v>
      </c>
      <c r="O330">
        <v>42</v>
      </c>
      <c r="P330" t="b">
        <v>1</v>
      </c>
      <c r="Q330" t="s">
        <v>248</v>
      </c>
      <c r="R330">
        <v>1.7179670272809999</v>
      </c>
      <c r="S330">
        <v>42</v>
      </c>
      <c r="T330">
        <v>0</v>
      </c>
      <c r="U330" t="s">
        <v>1037</v>
      </c>
      <c r="V330" t="s">
        <v>986</v>
      </c>
      <c r="W330">
        <v>0.57142857142857095</v>
      </c>
      <c r="X330" t="b">
        <v>0</v>
      </c>
      <c r="Y330">
        <v>1957.6597084999901</v>
      </c>
      <c r="Z330">
        <v>415.00711499998903</v>
      </c>
      <c r="AA330">
        <v>18743.184685299999</v>
      </c>
      <c r="AB330">
        <v>332</v>
      </c>
      <c r="AC330">
        <v>1.71515210935717</v>
      </c>
      <c r="AD330">
        <v>2.01401626961515</v>
      </c>
      <c r="AE330">
        <v>-1.77889227533869E-2</v>
      </c>
      <c r="AF330">
        <v>-3.9881300718265199E-2</v>
      </c>
      <c r="AG330">
        <v>1000</v>
      </c>
      <c r="AH330">
        <v>1.57611759641398</v>
      </c>
      <c r="AI330">
        <v>1.8562473222853499</v>
      </c>
      <c r="AJ330">
        <v>1.8791011084023801</v>
      </c>
      <c r="AK330">
        <v>2.1513515219245898</v>
      </c>
      <c r="AL330">
        <v>-9.2965098138127394E-2</v>
      </c>
      <c r="AM330">
        <v>8.8637815910100597E-3</v>
      </c>
      <c r="AN330">
        <v>-0.21626367182311301</v>
      </c>
      <c r="AO330">
        <v>0.129462940943007</v>
      </c>
      <c r="AP330">
        <v>1000</v>
      </c>
      <c r="AQ330">
        <v>1.5767296011240699</v>
      </c>
      <c r="AR330">
        <v>1.8641549069597501</v>
      </c>
      <c r="AS330">
        <v>2</v>
      </c>
    </row>
    <row r="331" spans="1:63" x14ac:dyDescent="0.3">
      <c r="A331" t="s">
        <v>1061</v>
      </c>
      <c r="B331" t="s">
        <v>109</v>
      </c>
      <c r="C331" t="s">
        <v>37</v>
      </c>
      <c r="D331" t="s">
        <v>68</v>
      </c>
      <c r="E331" t="s">
        <v>1005</v>
      </c>
      <c r="F331">
        <v>5</v>
      </c>
      <c r="G331" t="s">
        <v>24</v>
      </c>
      <c r="H331" t="s">
        <v>36</v>
      </c>
      <c r="I331" t="s">
        <v>27</v>
      </c>
      <c r="J331" t="s">
        <v>984</v>
      </c>
      <c r="K331" t="s">
        <v>111</v>
      </c>
      <c r="L331">
        <v>10</v>
      </c>
      <c r="M331">
        <v>332</v>
      </c>
      <c r="N331">
        <v>42</v>
      </c>
      <c r="O331">
        <v>42</v>
      </c>
      <c r="P331" t="b">
        <v>1</v>
      </c>
      <c r="Q331" t="s">
        <v>248</v>
      </c>
      <c r="R331">
        <v>1.7302306259975899</v>
      </c>
      <c r="S331">
        <v>42</v>
      </c>
      <c r="T331">
        <v>0</v>
      </c>
      <c r="U331" t="s">
        <v>1044</v>
      </c>
      <c r="V331" t="s">
        <v>986</v>
      </c>
      <c r="W331">
        <v>1</v>
      </c>
      <c r="X331" t="b">
        <v>0</v>
      </c>
      <c r="Y331">
        <v>1060.6765368000399</v>
      </c>
      <c r="Z331">
        <v>214.24448969998701</v>
      </c>
      <c r="AA331">
        <v>18773.287256799998</v>
      </c>
      <c r="AB331">
        <v>332</v>
      </c>
      <c r="AC331">
        <v>1.7280003536178401</v>
      </c>
      <c r="AD331">
        <v>2.0295454639747699</v>
      </c>
      <c r="AE331">
        <v>-3.3544879293081399E-2</v>
      </c>
      <c r="AF331">
        <v>-0.135403371339577</v>
      </c>
      <c r="AG331">
        <v>1000</v>
      </c>
      <c r="AH331">
        <v>1.5798807003858699</v>
      </c>
      <c r="AI331">
        <v>1.8778969679611199</v>
      </c>
      <c r="AJ331">
        <v>1.87976358968395</v>
      </c>
      <c r="AK331">
        <v>2.1715870432403701</v>
      </c>
      <c r="AL331">
        <v>-0.119142744454516</v>
      </c>
      <c r="AM331">
        <v>-2.3426187517268399E-3</v>
      </c>
      <c r="AN331">
        <v>-0.32198404336208197</v>
      </c>
      <c r="AO331">
        <v>7.1788745688056904E-2</v>
      </c>
      <c r="AP331">
        <v>1000</v>
      </c>
      <c r="AQ331">
        <v>1.57932901998766</v>
      </c>
      <c r="AR331">
        <v>1.8800288254914601</v>
      </c>
      <c r="AS331">
        <v>5</v>
      </c>
    </row>
    <row r="332" spans="1:63" x14ac:dyDescent="0.3">
      <c r="A332" t="s">
        <v>1062</v>
      </c>
      <c r="B332" t="s">
        <v>109</v>
      </c>
      <c r="C332" t="s">
        <v>37</v>
      </c>
      <c r="D332" t="s">
        <v>68</v>
      </c>
      <c r="E332" t="s">
        <v>1009</v>
      </c>
      <c r="F332">
        <v>6</v>
      </c>
      <c r="G332" t="s">
        <v>24</v>
      </c>
      <c r="H332" t="s">
        <v>36</v>
      </c>
      <c r="I332" t="s">
        <v>32</v>
      </c>
      <c r="J332" t="s">
        <v>984</v>
      </c>
      <c r="K332" t="s">
        <v>111</v>
      </c>
      <c r="L332">
        <v>10</v>
      </c>
      <c r="M332">
        <v>332</v>
      </c>
      <c r="N332">
        <v>42</v>
      </c>
      <c r="O332">
        <v>42</v>
      </c>
      <c r="P332" t="b">
        <v>1</v>
      </c>
      <c r="Q332" t="s">
        <v>248</v>
      </c>
      <c r="R332">
        <v>1.7589944451033599</v>
      </c>
      <c r="S332">
        <v>42</v>
      </c>
      <c r="T332">
        <v>0</v>
      </c>
      <c r="U332" t="s">
        <v>1044</v>
      </c>
      <c r="V332" t="s">
        <v>986</v>
      </c>
      <c r="W332">
        <v>1</v>
      </c>
      <c r="X332" t="b">
        <v>0</v>
      </c>
      <c r="Y332">
        <v>1055.58338339998</v>
      </c>
      <c r="Z332">
        <v>214.03872400002001</v>
      </c>
      <c r="AA332">
        <v>18803.240100300001</v>
      </c>
      <c r="AB332">
        <v>332</v>
      </c>
      <c r="AC332">
        <v>1.7569470879543201</v>
      </c>
      <c r="AD332">
        <v>2.07003991143685</v>
      </c>
      <c r="AE332">
        <v>-7.5199883574347703E-2</v>
      </c>
      <c r="AF332">
        <v>-0.42114246065549998</v>
      </c>
      <c r="AG332">
        <v>1000</v>
      </c>
      <c r="AH332">
        <v>1.6166398274401801</v>
      </c>
      <c r="AI332">
        <v>1.9072035645143299</v>
      </c>
      <c r="AJ332">
        <v>1.92797287989466</v>
      </c>
      <c r="AK332">
        <v>2.2123034859545898</v>
      </c>
      <c r="AL332">
        <v>-0.17262341355121799</v>
      </c>
      <c r="AM332">
        <v>-3.6652057629036498E-2</v>
      </c>
      <c r="AN332">
        <v>-0.55750804150369504</v>
      </c>
      <c r="AO332">
        <v>-0.22179286890855801</v>
      </c>
      <c r="AP332">
        <v>1000</v>
      </c>
      <c r="AQ332">
        <v>1.6161055153121699</v>
      </c>
      <c r="AR332">
        <v>1.9108228105823599</v>
      </c>
      <c r="AS332">
        <v>9</v>
      </c>
    </row>
    <row r="333" spans="1:63" x14ac:dyDescent="0.3">
      <c r="A333" t="s">
        <v>1063</v>
      </c>
      <c r="B333" t="s">
        <v>109</v>
      </c>
      <c r="C333" t="s">
        <v>37</v>
      </c>
      <c r="D333" t="s">
        <v>68</v>
      </c>
      <c r="E333" t="s">
        <v>1012</v>
      </c>
      <c r="F333">
        <v>7</v>
      </c>
      <c r="G333" t="s">
        <v>24</v>
      </c>
      <c r="H333" t="s">
        <v>36</v>
      </c>
      <c r="I333" t="s">
        <v>33</v>
      </c>
      <c r="J333" t="s">
        <v>984</v>
      </c>
      <c r="K333" t="s">
        <v>111</v>
      </c>
      <c r="L333">
        <v>10</v>
      </c>
      <c r="M333">
        <v>332</v>
      </c>
      <c r="N333">
        <v>42</v>
      </c>
      <c r="O333">
        <v>42</v>
      </c>
      <c r="P333" t="b">
        <v>1</v>
      </c>
      <c r="Q333" t="s">
        <v>248</v>
      </c>
      <c r="R333">
        <v>1.7307832686403699</v>
      </c>
      <c r="S333">
        <v>42</v>
      </c>
      <c r="T333">
        <v>0</v>
      </c>
      <c r="U333" t="s">
        <v>1044</v>
      </c>
      <c r="V333" t="s">
        <v>986</v>
      </c>
      <c r="W333">
        <v>1</v>
      </c>
      <c r="X333" t="b">
        <v>0</v>
      </c>
      <c r="Y333">
        <v>1056.6937261999999</v>
      </c>
      <c r="Z333">
        <v>214.80003569998999</v>
      </c>
      <c r="AA333">
        <v>18833.148920700001</v>
      </c>
      <c r="AB333">
        <v>332</v>
      </c>
      <c r="AC333">
        <v>1.7298103326774501</v>
      </c>
      <c r="AD333">
        <v>2.0251148566052599</v>
      </c>
      <c r="AE333">
        <v>-2.9037236291037102E-2</v>
      </c>
      <c r="AF333">
        <v>-0.21348654413399301</v>
      </c>
      <c r="AG333">
        <v>1000</v>
      </c>
      <c r="AH333">
        <v>1.5852307365515801</v>
      </c>
      <c r="AI333">
        <v>1.87607964504653</v>
      </c>
      <c r="AJ333">
        <v>1.8746042041834701</v>
      </c>
      <c r="AK333">
        <v>2.16912786429066</v>
      </c>
      <c r="AL333">
        <v>-0.10666697118851499</v>
      </c>
      <c r="AM333">
        <v>-5.4894673417851102E-3</v>
      </c>
      <c r="AN333">
        <v>-0.38563973006087998</v>
      </c>
      <c r="AO333">
        <v>-9.5336387978809303E-3</v>
      </c>
      <c r="AP333">
        <v>1000</v>
      </c>
      <c r="AQ333">
        <v>1.5838341114252701</v>
      </c>
      <c r="AR333">
        <v>1.8823901973799899</v>
      </c>
      <c r="AS333">
        <v>6</v>
      </c>
    </row>
    <row r="334" spans="1:63" x14ac:dyDescent="0.3">
      <c r="A334" t="s">
        <v>1064</v>
      </c>
      <c r="B334" t="s">
        <v>109</v>
      </c>
      <c r="C334" t="s">
        <v>37</v>
      </c>
      <c r="D334" t="s">
        <v>68</v>
      </c>
      <c r="E334" t="s">
        <v>1015</v>
      </c>
      <c r="F334">
        <v>8</v>
      </c>
      <c r="G334" t="s">
        <v>24</v>
      </c>
      <c r="H334" t="s">
        <v>36</v>
      </c>
      <c r="I334" t="s">
        <v>34</v>
      </c>
      <c r="J334" t="s">
        <v>984</v>
      </c>
      <c r="K334" t="s">
        <v>111</v>
      </c>
      <c r="L334">
        <v>10</v>
      </c>
      <c r="M334">
        <v>332</v>
      </c>
      <c r="N334">
        <v>42</v>
      </c>
      <c r="O334">
        <v>42</v>
      </c>
      <c r="P334" t="b">
        <v>1</v>
      </c>
      <c r="Q334" t="s">
        <v>248</v>
      </c>
      <c r="R334">
        <v>1.7690474723809899</v>
      </c>
      <c r="S334">
        <v>42</v>
      </c>
      <c r="T334">
        <v>0</v>
      </c>
      <c r="U334" t="s">
        <v>1044</v>
      </c>
      <c r="V334" t="s">
        <v>986</v>
      </c>
      <c r="W334">
        <v>1</v>
      </c>
      <c r="X334" t="b">
        <v>0</v>
      </c>
      <c r="Y334">
        <v>1056.6116583999601</v>
      </c>
      <c r="Z334">
        <v>210.945824999991</v>
      </c>
      <c r="AA334">
        <v>18863.058376100002</v>
      </c>
      <c r="AB334">
        <v>332</v>
      </c>
      <c r="AC334">
        <v>1.7678433620786</v>
      </c>
      <c r="AD334">
        <v>2.0663373306232198</v>
      </c>
      <c r="AE334">
        <v>-7.1357006813149701E-2</v>
      </c>
      <c r="AF334">
        <v>-0.30778653895952401</v>
      </c>
      <c r="AG334">
        <v>1000</v>
      </c>
      <c r="AH334">
        <v>1.61606080771531</v>
      </c>
      <c r="AI334">
        <v>1.92214720832996</v>
      </c>
      <c r="AJ334">
        <v>1.90895535185225</v>
      </c>
      <c r="AK334">
        <v>2.21343366589615</v>
      </c>
      <c r="AL334">
        <v>-0.156407206975821</v>
      </c>
      <c r="AM334">
        <v>-3.7772947105396998E-2</v>
      </c>
      <c r="AN334">
        <v>-0.47147733433835598</v>
      </c>
      <c r="AO334">
        <v>-0.11382795011307199</v>
      </c>
      <c r="AP334">
        <v>1000</v>
      </c>
      <c r="AQ334">
        <v>1.6128319523932899</v>
      </c>
      <c r="AR334">
        <v>1.92503377309749</v>
      </c>
      <c r="AS334">
        <v>10</v>
      </c>
    </row>
    <row r="335" spans="1:63" x14ac:dyDescent="0.3">
      <c r="A335" t="s">
        <v>1065</v>
      </c>
      <c r="B335" t="s">
        <v>109</v>
      </c>
      <c r="C335" t="s">
        <v>37</v>
      </c>
      <c r="D335" t="s">
        <v>68</v>
      </c>
      <c r="E335" t="s">
        <v>1019</v>
      </c>
      <c r="F335">
        <v>9</v>
      </c>
      <c r="G335" t="s">
        <v>24</v>
      </c>
      <c r="H335" t="s">
        <v>36</v>
      </c>
      <c r="I335" t="s">
        <v>35</v>
      </c>
      <c r="J335" t="s">
        <v>984</v>
      </c>
      <c r="K335" t="s">
        <v>111</v>
      </c>
      <c r="L335">
        <v>10</v>
      </c>
      <c r="M335">
        <v>332</v>
      </c>
      <c r="N335">
        <v>42</v>
      </c>
      <c r="O335">
        <v>42</v>
      </c>
      <c r="P335" t="b">
        <v>1</v>
      </c>
      <c r="Q335" t="s">
        <v>248</v>
      </c>
      <c r="R335">
        <v>1.7286830581978001</v>
      </c>
      <c r="S335">
        <v>42</v>
      </c>
      <c r="T335">
        <v>0</v>
      </c>
      <c r="U335" t="s">
        <v>1044</v>
      </c>
      <c r="V335" t="s">
        <v>986</v>
      </c>
      <c r="W335">
        <v>1</v>
      </c>
      <c r="X335" t="b">
        <v>0</v>
      </c>
      <c r="Y335">
        <v>1045.98888619997</v>
      </c>
      <c r="Z335">
        <v>220.965829900025</v>
      </c>
      <c r="AA335">
        <v>18893.411988</v>
      </c>
      <c r="AB335">
        <v>332</v>
      </c>
      <c r="AC335">
        <v>1.72560300956289</v>
      </c>
      <c r="AD335">
        <v>2.0281491306035799</v>
      </c>
      <c r="AE335">
        <v>-3.2123204561035103E-2</v>
      </c>
      <c r="AF335">
        <v>-0.18788406100134999</v>
      </c>
      <c r="AG335">
        <v>1000</v>
      </c>
      <c r="AH335">
        <v>1.5898238880498201</v>
      </c>
      <c r="AI335">
        <v>1.88373874131353</v>
      </c>
      <c r="AJ335">
        <v>1.88444876073917</v>
      </c>
      <c r="AK335">
        <v>2.18293504913049</v>
      </c>
      <c r="AL335">
        <v>-0.101989157363596</v>
      </c>
      <c r="AM335">
        <v>-1.2395827575362599E-2</v>
      </c>
      <c r="AN335">
        <v>-0.35636886732530498</v>
      </c>
      <c r="AO335">
        <v>-1.26566587708622E-2</v>
      </c>
      <c r="AP335">
        <v>1000</v>
      </c>
      <c r="AQ335">
        <v>1.5902388645373999</v>
      </c>
      <c r="AR335">
        <v>1.8873797731866799</v>
      </c>
      <c r="AS335">
        <v>4</v>
      </c>
    </row>
    <row r="336" spans="1:63" x14ac:dyDescent="0.3">
      <c r="A336" t="s">
        <v>0</v>
      </c>
      <c r="B336" t="s">
        <v>69</v>
      </c>
      <c r="C336" t="s">
        <v>2</v>
      </c>
      <c r="D336" t="s">
        <v>70</v>
      </c>
      <c r="E336" t="s">
        <v>71</v>
      </c>
      <c r="F336" t="s">
        <v>72</v>
      </c>
      <c r="G336" t="s">
        <v>1</v>
      </c>
      <c r="H336" t="s">
        <v>3</v>
      </c>
      <c r="I336" t="s">
        <v>4</v>
      </c>
      <c r="J336" t="s">
        <v>5</v>
      </c>
      <c r="K336" t="s">
        <v>73</v>
      </c>
      <c r="L336" t="s">
        <v>74</v>
      </c>
      <c r="M336" t="s">
        <v>75</v>
      </c>
      <c r="N336" t="s">
        <v>6</v>
      </c>
      <c r="O336" t="s">
        <v>7</v>
      </c>
      <c r="P336" t="s">
        <v>8</v>
      </c>
      <c r="Q336" t="s">
        <v>76</v>
      </c>
      <c r="R336" t="s">
        <v>77</v>
      </c>
      <c r="S336" t="s">
        <v>78</v>
      </c>
      <c r="T336" t="s">
        <v>79</v>
      </c>
      <c r="U336" t="s">
        <v>80</v>
      </c>
      <c r="V336" t="s">
        <v>81</v>
      </c>
      <c r="W336" t="s">
        <v>82</v>
      </c>
      <c r="X336" t="s">
        <v>9</v>
      </c>
      <c r="Y336" t="s">
        <v>83</v>
      </c>
      <c r="Z336" t="s">
        <v>84</v>
      </c>
      <c r="AA336" t="s">
        <v>85</v>
      </c>
      <c r="AB336" t="s">
        <v>10</v>
      </c>
      <c r="AC336" t="s">
        <v>86</v>
      </c>
      <c r="AD336" t="s">
        <v>11</v>
      </c>
      <c r="AE336" t="s">
        <v>87</v>
      </c>
      <c r="AF336" t="s">
        <v>88</v>
      </c>
      <c r="AG336" t="s">
        <v>89</v>
      </c>
      <c r="AH336" t="s">
        <v>90</v>
      </c>
      <c r="AI336" t="s">
        <v>12</v>
      </c>
      <c r="AJ336" t="s">
        <v>91</v>
      </c>
      <c r="AK336" t="s">
        <v>17</v>
      </c>
      <c r="AL336" t="s">
        <v>18</v>
      </c>
      <c r="AM336" t="s">
        <v>92</v>
      </c>
      <c r="AN336" t="s">
        <v>93</v>
      </c>
      <c r="AO336" t="s">
        <v>94</v>
      </c>
      <c r="AP336" t="s">
        <v>95</v>
      </c>
      <c r="AQ336" t="s">
        <v>380</v>
      </c>
      <c r="AR336" t="s">
        <v>381</v>
      </c>
      <c r="AS336" t="s">
        <v>382</v>
      </c>
      <c r="AT336" t="s">
        <v>383</v>
      </c>
      <c r="AU336" t="s">
        <v>96</v>
      </c>
      <c r="AV336" t="s">
        <v>97</v>
      </c>
      <c r="AW336" t="s">
        <v>98</v>
      </c>
      <c r="AX336" t="s">
        <v>99</v>
      </c>
      <c r="AY336" t="s">
        <v>19</v>
      </c>
      <c r="AZ336" t="s">
        <v>20</v>
      </c>
      <c r="BA336" t="s">
        <v>21</v>
      </c>
      <c r="BB336" t="s">
        <v>100</v>
      </c>
      <c r="BC336" t="s">
        <v>101</v>
      </c>
      <c r="BD336" t="s">
        <v>102</v>
      </c>
      <c r="BE336" t="s">
        <v>103</v>
      </c>
      <c r="BF336" t="s">
        <v>22</v>
      </c>
      <c r="BG336" t="s">
        <v>23</v>
      </c>
      <c r="BH336" t="s">
        <v>104</v>
      </c>
      <c r="BI336" t="s">
        <v>105</v>
      </c>
      <c r="BJ336" t="s">
        <v>106</v>
      </c>
      <c r="BK336" t="s">
        <v>107</v>
      </c>
    </row>
    <row r="337" spans="1:63" x14ac:dyDescent="0.3">
      <c r="A337" t="s">
        <v>1066</v>
      </c>
      <c r="B337" t="s">
        <v>109</v>
      </c>
      <c r="C337" t="s">
        <v>25</v>
      </c>
      <c r="D337" t="s">
        <v>67</v>
      </c>
      <c r="E337" t="s">
        <v>983</v>
      </c>
      <c r="F337">
        <v>0</v>
      </c>
      <c r="G337" t="s">
        <v>24</v>
      </c>
      <c r="H337" t="s">
        <v>26</v>
      </c>
      <c r="I337" t="s">
        <v>27</v>
      </c>
      <c r="J337" t="s">
        <v>984</v>
      </c>
      <c r="K337" t="s">
        <v>111</v>
      </c>
      <c r="L337">
        <v>10</v>
      </c>
      <c r="M337">
        <v>332</v>
      </c>
      <c r="N337">
        <v>42</v>
      </c>
      <c r="O337">
        <v>42</v>
      </c>
      <c r="P337" t="b">
        <v>1</v>
      </c>
      <c r="Q337" t="s">
        <v>112</v>
      </c>
      <c r="R337">
        <v>0.32691128227071697</v>
      </c>
      <c r="S337">
        <v>42</v>
      </c>
      <c r="T337">
        <v>0</v>
      </c>
      <c r="U337" t="s">
        <v>990</v>
      </c>
      <c r="V337" t="s">
        <v>986</v>
      </c>
      <c r="W337">
        <v>0.52380952380952295</v>
      </c>
      <c r="X337" t="b">
        <v>0</v>
      </c>
      <c r="Y337">
        <v>804.76041040074699</v>
      </c>
      <c r="Z337">
        <v>173.963710599986</v>
      </c>
      <c r="AA337">
        <v>9034.4941603000007</v>
      </c>
      <c r="AB337">
        <v>332</v>
      </c>
      <c r="AC337">
        <v>3</v>
      </c>
      <c r="AD337">
        <v>0.30120481927710802</v>
      </c>
      <c r="AE337">
        <v>0.304055990780221</v>
      </c>
      <c r="AF337">
        <v>0.30089408879030299</v>
      </c>
      <c r="AG337">
        <v>0.304055990780221</v>
      </c>
      <c r="AH337">
        <v>0.29673159945786698</v>
      </c>
      <c r="AI337">
        <v>-4.5397665835666901E-2</v>
      </c>
      <c r="AJ337" t="s">
        <v>1067</v>
      </c>
      <c r="AK337">
        <v>0.46345832835152301</v>
      </c>
      <c r="AM337">
        <v>104</v>
      </c>
      <c r="AN337">
        <v>0.29931972789115602</v>
      </c>
      <c r="AO337">
        <v>0.42307692307692302</v>
      </c>
      <c r="AP337">
        <v>0.35059760956175301</v>
      </c>
      <c r="AQ337">
        <v>109</v>
      </c>
      <c r="AR337">
        <v>0.292682926829268</v>
      </c>
      <c r="AS337">
        <v>0.22018348623853201</v>
      </c>
      <c r="AT337">
        <v>0.25130890052355997</v>
      </c>
      <c r="AU337">
        <v>119</v>
      </c>
      <c r="AV337">
        <v>0.31067961165048502</v>
      </c>
      <c r="AW337">
        <v>0.26890756302521002</v>
      </c>
      <c r="AX337">
        <v>0.28828828828828801</v>
      </c>
      <c r="AY337">
        <v>1000</v>
      </c>
      <c r="AZ337">
        <v>0.25981580015331202</v>
      </c>
      <c r="BA337">
        <v>0.345345345345345</v>
      </c>
      <c r="BB337">
        <v>0.26297527129798598</v>
      </c>
      <c r="BC337">
        <v>0.34900449030822001</v>
      </c>
      <c r="BD337">
        <v>0.25118360661615102</v>
      </c>
      <c r="BE337">
        <v>0.33861677981286398</v>
      </c>
      <c r="BF337">
        <v>-0.10965740718931</v>
      </c>
      <c r="BG337">
        <v>2.2078091970783201E-2</v>
      </c>
      <c r="BH337">
        <v>1000</v>
      </c>
      <c r="BI337">
        <v>0.27154918969721598</v>
      </c>
      <c r="BJ337">
        <v>0.38440083823507998</v>
      </c>
      <c r="BK337">
        <v>7</v>
      </c>
    </row>
    <row r="338" spans="1:63" x14ac:dyDescent="0.3">
      <c r="A338" t="s">
        <v>1068</v>
      </c>
      <c r="B338" t="s">
        <v>109</v>
      </c>
      <c r="C338" t="s">
        <v>25</v>
      </c>
      <c r="D338" t="s">
        <v>67</v>
      </c>
      <c r="E338" t="s">
        <v>989</v>
      </c>
      <c r="F338">
        <v>1</v>
      </c>
      <c r="G338" t="s">
        <v>24</v>
      </c>
      <c r="H338" t="s">
        <v>26</v>
      </c>
      <c r="I338" t="s">
        <v>32</v>
      </c>
      <c r="J338" t="s">
        <v>984</v>
      </c>
      <c r="K338" t="s">
        <v>111</v>
      </c>
      <c r="L338">
        <v>10</v>
      </c>
      <c r="M338">
        <v>332</v>
      </c>
      <c r="N338">
        <v>42</v>
      </c>
      <c r="O338">
        <v>42</v>
      </c>
      <c r="P338" t="b">
        <v>1</v>
      </c>
      <c r="Q338" t="s">
        <v>112</v>
      </c>
      <c r="R338">
        <v>0.36678790472115202</v>
      </c>
      <c r="S338">
        <v>42</v>
      </c>
      <c r="T338">
        <v>0</v>
      </c>
      <c r="U338" t="s">
        <v>1069</v>
      </c>
      <c r="V338" t="s">
        <v>995</v>
      </c>
      <c r="W338">
        <v>0.57142857142857095</v>
      </c>
      <c r="X338" t="b">
        <v>0</v>
      </c>
      <c r="Y338">
        <v>978.36143589968503</v>
      </c>
      <c r="Z338">
        <v>255.04250749997999</v>
      </c>
      <c r="AA338">
        <v>9135.1119457000095</v>
      </c>
      <c r="AB338">
        <v>332</v>
      </c>
      <c r="AC338">
        <v>3</v>
      </c>
      <c r="AD338">
        <v>0.37048192771084298</v>
      </c>
      <c r="AE338">
        <v>0.37244647329644598</v>
      </c>
      <c r="AF338">
        <v>0.371246379907895</v>
      </c>
      <c r="AG338">
        <v>0.37244647329644598</v>
      </c>
      <c r="AH338">
        <v>0.370774268264982</v>
      </c>
      <c r="AI338">
        <v>5.7089109980592398E-2</v>
      </c>
      <c r="AJ338" t="s">
        <v>1070</v>
      </c>
      <c r="AK338">
        <v>0.54516113800755095</v>
      </c>
      <c r="AM338">
        <v>104</v>
      </c>
      <c r="AN338">
        <v>0.38392857142857101</v>
      </c>
      <c r="AO338">
        <v>0.41346153846153799</v>
      </c>
      <c r="AP338">
        <v>0.39814814814814797</v>
      </c>
      <c r="AQ338">
        <v>109</v>
      </c>
      <c r="AR338">
        <v>0.34745762711864397</v>
      </c>
      <c r="AS338">
        <v>0.37614678899082499</v>
      </c>
      <c r="AT338">
        <v>0.36123348017621099</v>
      </c>
      <c r="AU338">
        <v>119</v>
      </c>
      <c r="AV338">
        <v>0.38235294117647001</v>
      </c>
      <c r="AW338">
        <v>0.32773109243697401</v>
      </c>
      <c r="AX338">
        <v>0.35294117647058798</v>
      </c>
      <c r="AY338">
        <v>1000</v>
      </c>
      <c r="AZ338">
        <v>0.32628398791540703</v>
      </c>
      <c r="BA338">
        <v>0.40854705132872199</v>
      </c>
      <c r="BB338">
        <v>0.32670759834414398</v>
      </c>
      <c r="BC338">
        <v>0.41293760802365898</v>
      </c>
      <c r="BD338">
        <v>0.323612591898016</v>
      </c>
      <c r="BE338">
        <v>0.40698878803279898</v>
      </c>
      <c r="BF338">
        <v>-1.18165597598302E-2</v>
      </c>
      <c r="BG338">
        <v>0.117244236356776</v>
      </c>
      <c r="BH338">
        <v>1000</v>
      </c>
      <c r="BI338">
        <v>0.32039114507102301</v>
      </c>
      <c r="BJ338">
        <v>0.40991859204852599</v>
      </c>
      <c r="BK338">
        <v>2</v>
      </c>
    </row>
    <row r="339" spans="1:63" x14ac:dyDescent="0.3">
      <c r="A339" t="s">
        <v>1071</v>
      </c>
      <c r="B339" t="s">
        <v>109</v>
      </c>
      <c r="C339" t="s">
        <v>25</v>
      </c>
      <c r="D339" t="s">
        <v>67</v>
      </c>
      <c r="E339" t="s">
        <v>993</v>
      </c>
      <c r="F339">
        <v>2</v>
      </c>
      <c r="G339" t="s">
        <v>24</v>
      </c>
      <c r="H339" t="s">
        <v>26</v>
      </c>
      <c r="I339" t="s">
        <v>33</v>
      </c>
      <c r="J339" t="s">
        <v>984</v>
      </c>
      <c r="K339" t="s">
        <v>111</v>
      </c>
      <c r="L339">
        <v>10</v>
      </c>
      <c r="M339">
        <v>332</v>
      </c>
      <c r="N339">
        <v>42</v>
      </c>
      <c r="O339">
        <v>42</v>
      </c>
      <c r="P339" t="b">
        <v>1</v>
      </c>
      <c r="Q339" t="s">
        <v>112</v>
      </c>
      <c r="R339">
        <v>0.31693410355156099</v>
      </c>
      <c r="S339">
        <v>42</v>
      </c>
      <c r="T339">
        <v>0</v>
      </c>
      <c r="U339" t="s">
        <v>994</v>
      </c>
      <c r="V339" t="s">
        <v>995</v>
      </c>
      <c r="W339">
        <v>0.54761904761904701</v>
      </c>
      <c r="X339" t="b">
        <v>0</v>
      </c>
      <c r="Y339">
        <v>923.108543299546</v>
      </c>
      <c r="Z339">
        <v>225.67698789999099</v>
      </c>
      <c r="AA339">
        <v>9235.4810691000293</v>
      </c>
      <c r="AB339">
        <v>332</v>
      </c>
      <c r="AC339">
        <v>3</v>
      </c>
      <c r="AD339">
        <v>0.33734939759036098</v>
      </c>
      <c r="AE339">
        <v>0.33473018706423902</v>
      </c>
      <c r="AF339">
        <v>0.33537367635252302</v>
      </c>
      <c r="AG339">
        <v>0.33473018706423902</v>
      </c>
      <c r="AH339">
        <v>0.33435960806340798</v>
      </c>
      <c r="AI339">
        <v>1.9988696420594298E-3</v>
      </c>
      <c r="AJ339" t="s">
        <v>1072</v>
      </c>
      <c r="AK339">
        <v>0.49979614426351199</v>
      </c>
      <c r="AM339">
        <v>104</v>
      </c>
      <c r="AN339">
        <v>0.33695652173912999</v>
      </c>
      <c r="AO339">
        <v>0.29807692307692302</v>
      </c>
      <c r="AP339">
        <v>0.31632653061224397</v>
      </c>
      <c r="AQ339">
        <v>109</v>
      </c>
      <c r="AR339">
        <v>0.302752293577981</v>
      </c>
      <c r="AS339">
        <v>0.302752293577981</v>
      </c>
      <c r="AT339">
        <v>0.302752293577981</v>
      </c>
      <c r="AU339">
        <v>119</v>
      </c>
      <c r="AV339">
        <v>0.36641221374045801</v>
      </c>
      <c r="AW339">
        <v>0.40336134453781503</v>
      </c>
      <c r="AX339">
        <v>0.38400000000000001</v>
      </c>
      <c r="AY339">
        <v>1000</v>
      </c>
      <c r="AZ339">
        <v>0.29357386145140901</v>
      </c>
      <c r="BA339">
        <v>0.38095238095237999</v>
      </c>
      <c r="BB339">
        <v>0.29066660136671402</v>
      </c>
      <c r="BC339">
        <v>0.37498079381770699</v>
      </c>
      <c r="BD339">
        <v>0.290196021319099</v>
      </c>
      <c r="BE339">
        <v>0.372768936836606</v>
      </c>
      <c r="BF339">
        <v>-5.9847479576962397E-2</v>
      </c>
      <c r="BG339">
        <v>6.3573422209003999E-2</v>
      </c>
      <c r="BH339">
        <v>1000</v>
      </c>
      <c r="BI339">
        <v>0.27845487724222401</v>
      </c>
      <c r="BJ339">
        <v>0.36053019228578098</v>
      </c>
      <c r="BK339">
        <v>9</v>
      </c>
    </row>
    <row r="340" spans="1:63" x14ac:dyDescent="0.3">
      <c r="A340" t="s">
        <v>1073</v>
      </c>
      <c r="B340" t="s">
        <v>109</v>
      </c>
      <c r="C340" t="s">
        <v>25</v>
      </c>
      <c r="D340" t="s">
        <v>67</v>
      </c>
      <c r="E340" t="s">
        <v>997</v>
      </c>
      <c r="F340">
        <v>3</v>
      </c>
      <c r="G340" t="s">
        <v>24</v>
      </c>
      <c r="H340" t="s">
        <v>26</v>
      </c>
      <c r="I340" t="s">
        <v>34</v>
      </c>
      <c r="J340" t="s">
        <v>984</v>
      </c>
      <c r="K340" t="s">
        <v>111</v>
      </c>
      <c r="L340">
        <v>10</v>
      </c>
      <c r="M340">
        <v>332</v>
      </c>
      <c r="N340">
        <v>42</v>
      </c>
      <c r="O340">
        <v>42</v>
      </c>
      <c r="P340" t="b">
        <v>1</v>
      </c>
      <c r="Q340" t="s">
        <v>112</v>
      </c>
      <c r="R340">
        <v>0.32208672086720802</v>
      </c>
      <c r="S340">
        <v>42</v>
      </c>
      <c r="T340">
        <v>0</v>
      </c>
      <c r="U340" t="s">
        <v>985</v>
      </c>
      <c r="V340" t="s">
        <v>986</v>
      </c>
      <c r="W340">
        <v>0.59523809523809501</v>
      </c>
      <c r="X340" t="b">
        <v>0</v>
      </c>
      <c r="Y340">
        <v>821.19918320060196</v>
      </c>
      <c r="Z340">
        <v>191.98920569999601</v>
      </c>
      <c r="AA340">
        <v>9335.8471796000304</v>
      </c>
      <c r="AB340">
        <v>332</v>
      </c>
      <c r="AC340">
        <v>3</v>
      </c>
      <c r="AD340">
        <v>0.34036144578313199</v>
      </c>
      <c r="AE340">
        <v>0.33804651006485797</v>
      </c>
      <c r="AF340">
        <v>0.33303146406594603</v>
      </c>
      <c r="AG340">
        <v>0.33804651006485797</v>
      </c>
      <c r="AH340">
        <v>0.33387098308305502</v>
      </c>
      <c r="AI340">
        <v>7.24815161534285E-3</v>
      </c>
      <c r="AJ340" t="s">
        <v>1074</v>
      </c>
      <c r="AK340">
        <v>0.49602310705098601</v>
      </c>
      <c r="AM340">
        <v>104</v>
      </c>
      <c r="AN340">
        <v>0.34545454545454501</v>
      </c>
      <c r="AO340">
        <v>0.36538461538461497</v>
      </c>
      <c r="AP340">
        <v>0.355140186915887</v>
      </c>
      <c r="AQ340">
        <v>109</v>
      </c>
      <c r="AR340">
        <v>0.27586206896551702</v>
      </c>
      <c r="AS340">
        <v>0.22018348623853201</v>
      </c>
      <c r="AT340">
        <v>0.24489795918367299</v>
      </c>
      <c r="AU340">
        <v>119</v>
      </c>
      <c r="AV340">
        <v>0.37777777777777699</v>
      </c>
      <c r="AW340">
        <v>0.42857142857142799</v>
      </c>
      <c r="AX340">
        <v>0.40157480314960597</v>
      </c>
      <c r="AY340">
        <v>1000</v>
      </c>
      <c r="AZ340">
        <v>0.29481936343638399</v>
      </c>
      <c r="BA340">
        <v>0.39641072891072798</v>
      </c>
      <c r="BB340">
        <v>0.29138393382407601</v>
      </c>
      <c r="BC340">
        <v>0.38922058170356899</v>
      </c>
      <c r="BD340">
        <v>0.28304022174024601</v>
      </c>
      <c r="BE340">
        <v>0.38762452267706399</v>
      </c>
      <c r="BF340">
        <v>-6.4902135002802702E-2</v>
      </c>
      <c r="BG340">
        <v>8.5325588498175398E-2</v>
      </c>
      <c r="BH340">
        <v>1000</v>
      </c>
      <c r="BI340">
        <v>0.27558724636925802</v>
      </c>
      <c r="BJ340">
        <v>0.37396341067211802</v>
      </c>
      <c r="BK340">
        <v>8</v>
      </c>
    </row>
    <row r="341" spans="1:63" x14ac:dyDescent="0.3">
      <c r="A341" t="s">
        <v>1075</v>
      </c>
      <c r="B341" t="s">
        <v>109</v>
      </c>
      <c r="C341" t="s">
        <v>25</v>
      </c>
      <c r="D341" t="s">
        <v>67</v>
      </c>
      <c r="E341" t="s">
        <v>1001</v>
      </c>
      <c r="F341">
        <v>4</v>
      </c>
      <c r="G341" t="s">
        <v>24</v>
      </c>
      <c r="H341" t="s">
        <v>26</v>
      </c>
      <c r="I341" t="s">
        <v>35</v>
      </c>
      <c r="J341" t="s">
        <v>984</v>
      </c>
      <c r="K341" t="s">
        <v>111</v>
      </c>
      <c r="L341">
        <v>10</v>
      </c>
      <c r="M341">
        <v>332</v>
      </c>
      <c r="N341">
        <v>42</v>
      </c>
      <c r="O341">
        <v>42</v>
      </c>
      <c r="P341" t="b">
        <v>1</v>
      </c>
      <c r="Q341" t="s">
        <v>112</v>
      </c>
      <c r="R341">
        <v>0.329646270146912</v>
      </c>
      <c r="S341">
        <v>42</v>
      </c>
      <c r="T341">
        <v>0</v>
      </c>
      <c r="U341" t="s">
        <v>985</v>
      </c>
      <c r="V341" t="s">
        <v>986</v>
      </c>
      <c r="W341">
        <v>0.59523809523809501</v>
      </c>
      <c r="X341" t="b">
        <v>0</v>
      </c>
      <c r="Y341">
        <v>817.06288950034605</v>
      </c>
      <c r="Z341">
        <v>174.39923169987699</v>
      </c>
      <c r="AA341">
        <v>9436.0609090000507</v>
      </c>
      <c r="AB341">
        <v>332</v>
      </c>
      <c r="AC341">
        <v>3</v>
      </c>
      <c r="AD341">
        <v>0.32530120481927699</v>
      </c>
      <c r="AE341">
        <v>0.324113802189895</v>
      </c>
      <c r="AF341">
        <v>0.32333748314140398</v>
      </c>
      <c r="AG341">
        <v>0.324113802189895</v>
      </c>
      <c r="AH341">
        <v>0.32365487192937398</v>
      </c>
      <c r="AI341">
        <v>-1.33842170023083E-2</v>
      </c>
      <c r="AJ341" t="s">
        <v>1076</v>
      </c>
      <c r="AK341">
        <v>0.47731353391063303</v>
      </c>
      <c r="AM341">
        <v>104</v>
      </c>
      <c r="AN341">
        <v>0.32407407407407401</v>
      </c>
      <c r="AO341">
        <v>0.33653846153846101</v>
      </c>
      <c r="AP341">
        <v>0.330188679245283</v>
      </c>
      <c r="AQ341">
        <v>109</v>
      </c>
      <c r="AR341">
        <v>0.27619047619047599</v>
      </c>
      <c r="AS341">
        <v>0.26605504587155898</v>
      </c>
      <c r="AT341">
        <v>0.27102803738317699</v>
      </c>
      <c r="AU341">
        <v>119</v>
      </c>
      <c r="AV341">
        <v>0.369747899159663</v>
      </c>
      <c r="AW341">
        <v>0.369747899159663</v>
      </c>
      <c r="AX341">
        <v>0.369747899159663</v>
      </c>
      <c r="AY341">
        <v>1000</v>
      </c>
      <c r="AZ341">
        <v>0.27793727735942603</v>
      </c>
      <c r="BA341">
        <v>0.37612906851285699</v>
      </c>
      <c r="BB341">
        <v>0.27711491373701402</v>
      </c>
      <c r="BC341">
        <v>0.37486991961569799</v>
      </c>
      <c r="BD341">
        <v>0.27488650478501298</v>
      </c>
      <c r="BE341">
        <v>0.371144809517025</v>
      </c>
      <c r="BF341">
        <v>-8.3808582850415703E-2</v>
      </c>
      <c r="BG341">
        <v>6.2950655452276197E-2</v>
      </c>
      <c r="BH341">
        <v>1000</v>
      </c>
      <c r="BI341">
        <v>0.28279387705374498</v>
      </c>
      <c r="BJ341">
        <v>0.37485142635291002</v>
      </c>
      <c r="BK341">
        <v>6</v>
      </c>
    </row>
    <row r="342" spans="1:63" x14ac:dyDescent="0.3">
      <c r="A342" t="s">
        <v>1077</v>
      </c>
      <c r="B342" t="s">
        <v>109</v>
      </c>
      <c r="C342" t="s">
        <v>25</v>
      </c>
      <c r="D342" t="s">
        <v>67</v>
      </c>
      <c r="E342" t="s">
        <v>1005</v>
      </c>
      <c r="F342">
        <v>5</v>
      </c>
      <c r="G342" t="s">
        <v>24</v>
      </c>
      <c r="H342" t="s">
        <v>36</v>
      </c>
      <c r="I342" t="s">
        <v>27</v>
      </c>
      <c r="J342" t="s">
        <v>984</v>
      </c>
      <c r="K342" t="s">
        <v>111</v>
      </c>
      <c r="L342">
        <v>10</v>
      </c>
      <c r="M342">
        <v>332</v>
      </c>
      <c r="N342">
        <v>42</v>
      </c>
      <c r="O342">
        <v>42</v>
      </c>
      <c r="P342" t="b">
        <v>1</v>
      </c>
      <c r="Q342" t="s">
        <v>112</v>
      </c>
      <c r="R342">
        <v>0.31280487804877999</v>
      </c>
      <c r="S342">
        <v>42</v>
      </c>
      <c r="T342">
        <v>0</v>
      </c>
      <c r="U342" t="s">
        <v>1037</v>
      </c>
      <c r="V342" t="s">
        <v>986</v>
      </c>
      <c r="W342">
        <v>0.57142857142857095</v>
      </c>
      <c r="X342" t="b">
        <v>0</v>
      </c>
      <c r="Y342">
        <v>418.17004659911601</v>
      </c>
      <c r="Z342">
        <v>98.761766799900201</v>
      </c>
      <c r="AA342">
        <v>9536.4400604000493</v>
      </c>
      <c r="AB342">
        <v>332</v>
      </c>
      <c r="AC342">
        <v>3</v>
      </c>
      <c r="AD342">
        <v>0.31927710843373402</v>
      </c>
      <c r="AE342">
        <v>0.31998056809173903</v>
      </c>
      <c r="AF342">
        <v>0.31964462746892303</v>
      </c>
      <c r="AG342">
        <v>0.31998056809173903</v>
      </c>
      <c r="AH342">
        <v>0.31898251910671799</v>
      </c>
      <c r="AI342">
        <v>-2.2762426557905301E-2</v>
      </c>
      <c r="AJ342" t="s">
        <v>1078</v>
      </c>
      <c r="AK342">
        <v>0.47464187489897602</v>
      </c>
      <c r="AM342">
        <v>104</v>
      </c>
      <c r="AN342">
        <v>0.33333333333333298</v>
      </c>
      <c r="AO342">
        <v>0.36538461538461497</v>
      </c>
      <c r="AP342">
        <v>0.34862385321100903</v>
      </c>
      <c r="AQ342">
        <v>109</v>
      </c>
      <c r="AR342">
        <v>0.31914893617021201</v>
      </c>
      <c r="AS342">
        <v>0.27522935779816499</v>
      </c>
      <c r="AT342">
        <v>0.29556650246305399</v>
      </c>
      <c r="AU342">
        <v>119</v>
      </c>
      <c r="AV342">
        <v>0.30645161290322498</v>
      </c>
      <c r="AW342">
        <v>0.31932773109243601</v>
      </c>
      <c r="AX342">
        <v>0.31275720164609</v>
      </c>
      <c r="AY342">
        <v>1000</v>
      </c>
      <c r="AZ342">
        <v>0.27792468969533701</v>
      </c>
      <c r="BA342">
        <v>0.366386311684819</v>
      </c>
      <c r="BB342">
        <v>0.277059409987711</v>
      </c>
      <c r="BC342">
        <v>0.36810471029671998</v>
      </c>
      <c r="BD342">
        <v>0.27420666962834001</v>
      </c>
      <c r="BE342">
        <v>0.36547702322150899</v>
      </c>
      <c r="BF342">
        <v>-9.0781236010979205E-2</v>
      </c>
      <c r="BG342">
        <v>4.9234538165145197E-2</v>
      </c>
      <c r="BH342">
        <v>1000</v>
      </c>
      <c r="BI342">
        <v>0.267906509640503</v>
      </c>
      <c r="BJ342">
        <v>0.364147002864108</v>
      </c>
      <c r="BK342">
        <v>10</v>
      </c>
    </row>
    <row r="343" spans="1:63" x14ac:dyDescent="0.3">
      <c r="A343" t="s">
        <v>1079</v>
      </c>
      <c r="B343" t="s">
        <v>109</v>
      </c>
      <c r="C343" t="s">
        <v>25</v>
      </c>
      <c r="D343" t="s">
        <v>67</v>
      </c>
      <c r="E343" t="s">
        <v>1009</v>
      </c>
      <c r="F343">
        <v>6</v>
      </c>
      <c r="G343" t="s">
        <v>24</v>
      </c>
      <c r="H343" t="s">
        <v>36</v>
      </c>
      <c r="I343" t="s">
        <v>32</v>
      </c>
      <c r="J343" t="s">
        <v>984</v>
      </c>
      <c r="K343" t="s">
        <v>111</v>
      </c>
      <c r="L343">
        <v>10</v>
      </c>
      <c r="M343">
        <v>332</v>
      </c>
      <c r="N343">
        <v>42</v>
      </c>
      <c r="O343">
        <v>42</v>
      </c>
      <c r="P343" t="b">
        <v>1</v>
      </c>
      <c r="Q343" t="s">
        <v>112</v>
      </c>
      <c r="R343">
        <v>0.358736271573242</v>
      </c>
      <c r="S343">
        <v>42</v>
      </c>
      <c r="T343">
        <v>0</v>
      </c>
      <c r="U343" t="s">
        <v>985</v>
      </c>
      <c r="V343" t="s">
        <v>986</v>
      </c>
      <c r="W343">
        <v>0.59523809523809501</v>
      </c>
      <c r="X343" t="b">
        <v>0</v>
      </c>
      <c r="Y343">
        <v>456.25179489981298</v>
      </c>
      <c r="Z343">
        <v>107.116931900032</v>
      </c>
      <c r="AA343">
        <v>9636.6680800000304</v>
      </c>
      <c r="AB343">
        <v>332</v>
      </c>
      <c r="AC343">
        <v>3</v>
      </c>
      <c r="AD343">
        <v>0.38253012048192703</v>
      </c>
      <c r="AE343">
        <v>0.37979496668109702</v>
      </c>
      <c r="AF343">
        <v>0.38229101866003101</v>
      </c>
      <c r="AG343">
        <v>0.37979496668109702</v>
      </c>
      <c r="AH343">
        <v>0.37984265558969199</v>
      </c>
      <c r="AI343">
        <v>6.9798283937731201E-2</v>
      </c>
      <c r="AJ343" t="s">
        <v>1080</v>
      </c>
      <c r="AK343">
        <v>0.53719583423592598</v>
      </c>
      <c r="AM343">
        <v>104</v>
      </c>
      <c r="AN343">
        <v>0.40449438202247101</v>
      </c>
      <c r="AO343">
        <v>0.34615384615384598</v>
      </c>
      <c r="AP343">
        <v>0.37305699481865201</v>
      </c>
      <c r="AQ343">
        <v>109</v>
      </c>
      <c r="AR343">
        <v>0.33636363636363598</v>
      </c>
      <c r="AS343">
        <v>0.33944954128440302</v>
      </c>
      <c r="AT343">
        <v>0.33789954337899503</v>
      </c>
      <c r="AU343">
        <v>119</v>
      </c>
      <c r="AV343">
        <v>0.406015037593984</v>
      </c>
      <c r="AW343">
        <v>0.45378151260504201</v>
      </c>
      <c r="AX343">
        <v>0.42857142857142799</v>
      </c>
      <c r="AY343">
        <v>1000</v>
      </c>
      <c r="AZ343">
        <v>0.33734939759036098</v>
      </c>
      <c r="BA343">
        <v>0.43073326239088</v>
      </c>
      <c r="BB343">
        <v>0.33333895231935601</v>
      </c>
      <c r="BC343">
        <v>0.42789686210771999</v>
      </c>
      <c r="BD343">
        <v>0.33263415146728198</v>
      </c>
      <c r="BE343">
        <v>0.42674779162583898</v>
      </c>
      <c r="BF343">
        <v>1.51522348314231E-3</v>
      </c>
      <c r="BG343">
        <v>0.14265467953439401</v>
      </c>
      <c r="BH343">
        <v>1000</v>
      </c>
      <c r="BI343">
        <v>0.31151563805346599</v>
      </c>
      <c r="BJ343">
        <v>0.405262487091755</v>
      </c>
      <c r="BK343">
        <v>4</v>
      </c>
    </row>
    <row r="344" spans="1:63" x14ac:dyDescent="0.3">
      <c r="A344" t="s">
        <v>1081</v>
      </c>
      <c r="B344" t="s">
        <v>109</v>
      </c>
      <c r="C344" t="s">
        <v>25</v>
      </c>
      <c r="D344" t="s">
        <v>67</v>
      </c>
      <c r="E344" t="s">
        <v>1012</v>
      </c>
      <c r="F344">
        <v>7</v>
      </c>
      <c r="G344" t="s">
        <v>24</v>
      </c>
      <c r="H344" t="s">
        <v>36</v>
      </c>
      <c r="I344" t="s">
        <v>33</v>
      </c>
      <c r="J344" t="s">
        <v>984</v>
      </c>
      <c r="K344" t="s">
        <v>111</v>
      </c>
      <c r="L344">
        <v>10</v>
      </c>
      <c r="M344">
        <v>332</v>
      </c>
      <c r="N344">
        <v>42</v>
      </c>
      <c r="O344">
        <v>42</v>
      </c>
      <c r="P344" t="b">
        <v>1</v>
      </c>
      <c r="Q344" t="s">
        <v>112</v>
      </c>
      <c r="R344">
        <v>0.34935815147625099</v>
      </c>
      <c r="S344">
        <v>42</v>
      </c>
      <c r="T344">
        <v>0</v>
      </c>
      <c r="U344" t="s">
        <v>1082</v>
      </c>
      <c r="V344" t="s">
        <v>986</v>
      </c>
      <c r="W344">
        <v>0.54761904761904701</v>
      </c>
      <c r="X344" t="b">
        <v>0</v>
      </c>
      <c r="Y344">
        <v>480.46423680020899</v>
      </c>
      <c r="Z344">
        <v>114.76307639974399</v>
      </c>
      <c r="AA344">
        <v>9737.1347813000302</v>
      </c>
      <c r="AB344">
        <v>332</v>
      </c>
      <c r="AC344">
        <v>3</v>
      </c>
      <c r="AD344">
        <v>0.37048192771084298</v>
      </c>
      <c r="AE344">
        <v>0.36774663994037898</v>
      </c>
      <c r="AF344">
        <v>0.36660954741361501</v>
      </c>
      <c r="AG344">
        <v>0.36774663994037898</v>
      </c>
      <c r="AH344">
        <v>0.365781039969372</v>
      </c>
      <c r="AI344">
        <v>5.1400736635966497E-2</v>
      </c>
      <c r="AJ344" t="s">
        <v>1083</v>
      </c>
      <c r="AK344">
        <v>0.49624473590385298</v>
      </c>
      <c r="AM344">
        <v>104</v>
      </c>
      <c r="AN344">
        <v>0.402061855670103</v>
      </c>
      <c r="AO344">
        <v>0.375</v>
      </c>
      <c r="AP344">
        <v>0.38805970149253699</v>
      </c>
      <c r="AQ344">
        <v>109</v>
      </c>
      <c r="AR344">
        <v>0.30208333333333298</v>
      </c>
      <c r="AS344">
        <v>0.26605504587155898</v>
      </c>
      <c r="AT344">
        <v>0.28292682926829199</v>
      </c>
      <c r="AU344">
        <v>119</v>
      </c>
      <c r="AV344">
        <v>0.39568345323741</v>
      </c>
      <c r="AW344">
        <v>0.46218487394957902</v>
      </c>
      <c r="AX344">
        <v>0.42635658914728602</v>
      </c>
      <c r="AY344">
        <v>1000</v>
      </c>
      <c r="AZ344">
        <v>0.32432227682227599</v>
      </c>
      <c r="BA344">
        <v>0.42215568862275399</v>
      </c>
      <c r="BB344">
        <v>0.31936487523699902</v>
      </c>
      <c r="BC344">
        <v>0.42254520445292998</v>
      </c>
      <c r="BD344">
        <v>0.31773515002418601</v>
      </c>
      <c r="BE344">
        <v>0.41790580632104202</v>
      </c>
      <c r="BF344">
        <v>-1.8757425176535801E-2</v>
      </c>
      <c r="BG344">
        <v>0.13208021193416</v>
      </c>
      <c r="BH344">
        <v>1000</v>
      </c>
      <c r="BI344">
        <v>0.307246020076612</v>
      </c>
      <c r="BJ344">
        <v>0.39666021339954199</v>
      </c>
      <c r="BK344">
        <v>5</v>
      </c>
    </row>
    <row r="345" spans="1:63" x14ac:dyDescent="0.3">
      <c r="A345" t="s">
        <v>1084</v>
      </c>
      <c r="B345" t="s">
        <v>109</v>
      </c>
      <c r="C345" t="s">
        <v>25</v>
      </c>
      <c r="D345" t="s">
        <v>67</v>
      </c>
      <c r="E345" t="s">
        <v>1015</v>
      </c>
      <c r="F345">
        <v>8</v>
      </c>
      <c r="G345" t="s">
        <v>24</v>
      </c>
      <c r="H345" t="s">
        <v>36</v>
      </c>
      <c r="I345" t="s">
        <v>34</v>
      </c>
      <c r="J345" t="s">
        <v>984</v>
      </c>
      <c r="K345" t="s">
        <v>111</v>
      </c>
      <c r="L345">
        <v>10</v>
      </c>
      <c r="M345">
        <v>332</v>
      </c>
      <c r="N345">
        <v>42</v>
      </c>
      <c r="O345">
        <v>42</v>
      </c>
      <c r="P345" t="b">
        <v>1</v>
      </c>
      <c r="Q345" t="s">
        <v>112</v>
      </c>
      <c r="R345">
        <v>0.360861503351875</v>
      </c>
      <c r="S345">
        <v>42</v>
      </c>
      <c r="T345">
        <v>0</v>
      </c>
      <c r="U345" t="s">
        <v>998</v>
      </c>
      <c r="V345" t="s">
        <v>986</v>
      </c>
      <c r="W345">
        <v>0.61904761904761896</v>
      </c>
      <c r="X345" t="b">
        <v>0</v>
      </c>
      <c r="Y345">
        <v>418.12653349974403</v>
      </c>
      <c r="Z345">
        <v>102.33992629993</v>
      </c>
      <c r="AA345">
        <v>9837.7159058000507</v>
      </c>
      <c r="AB345">
        <v>332</v>
      </c>
      <c r="AC345">
        <v>3</v>
      </c>
      <c r="AD345">
        <v>0.35542168674698699</v>
      </c>
      <c r="AE345">
        <v>0.35667905129588801</v>
      </c>
      <c r="AF345">
        <v>0.35409274821039499</v>
      </c>
      <c r="AG345">
        <v>0.35667905129588801</v>
      </c>
      <c r="AH345">
        <v>0.354450374325949</v>
      </c>
      <c r="AI345">
        <v>3.4114760852115997E-2</v>
      </c>
      <c r="AJ345" t="s">
        <v>1085</v>
      </c>
      <c r="AK345">
        <v>0.50649569483487</v>
      </c>
      <c r="AM345">
        <v>104</v>
      </c>
      <c r="AN345">
        <v>0.378151260504201</v>
      </c>
      <c r="AO345">
        <v>0.43269230769230699</v>
      </c>
      <c r="AP345">
        <v>0.40358744394618801</v>
      </c>
      <c r="AQ345">
        <v>109</v>
      </c>
      <c r="AR345">
        <v>0.29523809523809502</v>
      </c>
      <c r="AS345">
        <v>0.28440366972476999</v>
      </c>
      <c r="AT345">
        <v>0.289719626168224</v>
      </c>
      <c r="AU345">
        <v>119</v>
      </c>
      <c r="AV345">
        <v>0.38888888888888801</v>
      </c>
      <c r="AW345">
        <v>0.35294117647058798</v>
      </c>
      <c r="AX345">
        <v>0.370044052863436</v>
      </c>
      <c r="AY345">
        <v>1000</v>
      </c>
      <c r="AZ345">
        <v>0.307909381428151</v>
      </c>
      <c r="BA345">
        <v>0.40123072755488998</v>
      </c>
      <c r="BB345">
        <v>0.309521200860779</v>
      </c>
      <c r="BC345">
        <v>0.40270048242504197</v>
      </c>
      <c r="BD345">
        <v>0.30693835410856102</v>
      </c>
      <c r="BE345">
        <v>0.39942529511144298</v>
      </c>
      <c r="BF345">
        <v>-3.6017308156002598E-2</v>
      </c>
      <c r="BG345">
        <v>0.103145196043847</v>
      </c>
      <c r="BH345">
        <v>1000</v>
      </c>
      <c r="BI345">
        <v>0.31366600387560101</v>
      </c>
      <c r="BJ345">
        <v>0.40844726242592</v>
      </c>
      <c r="BK345">
        <v>3</v>
      </c>
    </row>
    <row r="346" spans="1:63" x14ac:dyDescent="0.3">
      <c r="A346" t="s">
        <v>1086</v>
      </c>
      <c r="B346" t="s">
        <v>109</v>
      </c>
      <c r="C346" t="s">
        <v>25</v>
      </c>
      <c r="D346" t="s">
        <v>67</v>
      </c>
      <c r="E346" t="s">
        <v>1019</v>
      </c>
      <c r="F346">
        <v>9</v>
      </c>
      <c r="G346" t="s">
        <v>24</v>
      </c>
      <c r="H346" t="s">
        <v>36</v>
      </c>
      <c r="I346" t="s">
        <v>35</v>
      </c>
      <c r="J346" t="s">
        <v>984</v>
      </c>
      <c r="K346" t="s">
        <v>111</v>
      </c>
      <c r="L346">
        <v>10</v>
      </c>
      <c r="M346">
        <v>332</v>
      </c>
      <c r="N346">
        <v>42</v>
      </c>
      <c r="O346">
        <v>42</v>
      </c>
      <c r="P346" t="b">
        <v>1</v>
      </c>
      <c r="Q346" t="s">
        <v>112</v>
      </c>
      <c r="R346">
        <v>0.39645913564398799</v>
      </c>
      <c r="S346">
        <v>42</v>
      </c>
      <c r="T346">
        <v>0</v>
      </c>
      <c r="U346" t="s">
        <v>998</v>
      </c>
      <c r="V346" t="s">
        <v>986</v>
      </c>
      <c r="W346">
        <v>0.61904761904761896</v>
      </c>
      <c r="X346" t="b">
        <v>0</v>
      </c>
      <c r="Y346">
        <v>423.92520100047102</v>
      </c>
      <c r="Z346">
        <v>98.896866300259703</v>
      </c>
      <c r="AA346">
        <v>9938.1463993000198</v>
      </c>
      <c r="AB346">
        <v>332</v>
      </c>
      <c r="AC346">
        <v>3</v>
      </c>
      <c r="AD346">
        <v>0.40361445783132499</v>
      </c>
      <c r="AE346">
        <v>0.403075944562722</v>
      </c>
      <c r="AF346">
        <v>0.400343404546944</v>
      </c>
      <c r="AG346">
        <v>0.403075944562722</v>
      </c>
      <c r="AH346">
        <v>0.40120581492561502</v>
      </c>
      <c r="AI346">
        <v>0.104556025594186</v>
      </c>
      <c r="AJ346" t="s">
        <v>1087</v>
      </c>
      <c r="AK346">
        <v>0.54012429843547305</v>
      </c>
      <c r="AM346">
        <v>104</v>
      </c>
      <c r="AN346">
        <v>0.41592920353982299</v>
      </c>
      <c r="AO346">
        <v>0.45192307692307598</v>
      </c>
      <c r="AP346">
        <v>0.43317972350230399</v>
      </c>
      <c r="AQ346">
        <v>109</v>
      </c>
      <c r="AR346">
        <v>0.34343434343434298</v>
      </c>
      <c r="AS346">
        <v>0.31192660550458701</v>
      </c>
      <c r="AT346">
        <v>0.32692307692307598</v>
      </c>
      <c r="AU346">
        <v>119</v>
      </c>
      <c r="AV346">
        <v>0.44166666666666599</v>
      </c>
      <c r="AW346">
        <v>0.44537815126050401</v>
      </c>
      <c r="AX346">
        <v>0.44351464435146398</v>
      </c>
      <c r="AY346">
        <v>1000</v>
      </c>
      <c r="AZ346">
        <v>0.35384146341463402</v>
      </c>
      <c r="BA346">
        <v>0.459007552730956</v>
      </c>
      <c r="BB346">
        <v>0.35493531240190201</v>
      </c>
      <c r="BC346">
        <v>0.45788703600348801</v>
      </c>
      <c r="BD346">
        <v>0.351658879904162</v>
      </c>
      <c r="BE346">
        <v>0.456758957752605</v>
      </c>
      <c r="BF346">
        <v>3.1566142996363601E-2</v>
      </c>
      <c r="BG346">
        <v>0.188641870229182</v>
      </c>
      <c r="BH346">
        <v>1000</v>
      </c>
      <c r="BI346">
        <v>0.34137248609328102</v>
      </c>
      <c r="BJ346">
        <v>0.45036362564796401</v>
      </c>
      <c r="BK346">
        <v>1</v>
      </c>
    </row>
    <row r="347" spans="1:63" x14ac:dyDescent="0.3">
      <c r="A347" t="s">
        <v>1088</v>
      </c>
      <c r="B347" t="s">
        <v>109</v>
      </c>
      <c r="C347" t="s">
        <v>37</v>
      </c>
      <c r="D347" t="s">
        <v>67</v>
      </c>
      <c r="E347" t="s">
        <v>983</v>
      </c>
      <c r="F347">
        <v>0</v>
      </c>
      <c r="G347" t="s">
        <v>24</v>
      </c>
      <c r="H347" t="s">
        <v>26</v>
      </c>
      <c r="I347" t="s">
        <v>27</v>
      </c>
      <c r="J347" t="s">
        <v>984</v>
      </c>
      <c r="K347" t="s">
        <v>111</v>
      </c>
      <c r="L347">
        <v>10</v>
      </c>
      <c r="M347">
        <v>332</v>
      </c>
      <c r="N347">
        <v>42</v>
      </c>
      <c r="O347">
        <v>42</v>
      </c>
      <c r="P347" t="b">
        <v>1</v>
      </c>
      <c r="Q347" t="s">
        <v>112</v>
      </c>
      <c r="R347">
        <v>0.321738798967863</v>
      </c>
      <c r="S347">
        <v>42</v>
      </c>
      <c r="T347">
        <v>0</v>
      </c>
      <c r="U347" t="s">
        <v>994</v>
      </c>
      <c r="V347" t="s">
        <v>995</v>
      </c>
      <c r="W347">
        <v>0.54761904761904701</v>
      </c>
      <c r="X347" t="b">
        <v>0</v>
      </c>
      <c r="Y347">
        <v>769.78480360045796</v>
      </c>
      <c r="Z347">
        <v>178.451758600131</v>
      </c>
      <c r="AA347">
        <v>8715.0696531000394</v>
      </c>
      <c r="AB347">
        <v>332</v>
      </c>
      <c r="AC347">
        <v>3</v>
      </c>
      <c r="AD347">
        <v>0.30120481927710802</v>
      </c>
      <c r="AE347">
        <v>0.31970022881565402</v>
      </c>
      <c r="AF347">
        <v>0.31128953771289503</v>
      </c>
      <c r="AG347">
        <v>0.31970022881565402</v>
      </c>
      <c r="AH347">
        <v>0.299009994868705</v>
      </c>
      <c r="AI347">
        <v>-2.42811521651384E-2</v>
      </c>
      <c r="AJ347" t="s">
        <v>1089</v>
      </c>
      <c r="AK347">
        <v>0.47304114765181199</v>
      </c>
      <c r="AM347">
        <v>103</v>
      </c>
      <c r="AN347">
        <v>0.31386861313868603</v>
      </c>
      <c r="AO347">
        <v>0.41747572815533901</v>
      </c>
      <c r="AP347">
        <v>0.358333333333333</v>
      </c>
      <c r="AQ347">
        <v>148</v>
      </c>
      <c r="AR347">
        <v>0.38666666666666599</v>
      </c>
      <c r="AS347">
        <v>0.195945945945945</v>
      </c>
      <c r="AT347">
        <v>0.26008968609865402</v>
      </c>
      <c r="AU347">
        <v>81</v>
      </c>
      <c r="AV347">
        <v>0.233333333333333</v>
      </c>
      <c r="AW347">
        <v>0.34567901234567899</v>
      </c>
      <c r="AX347">
        <v>0.27860696517412897</v>
      </c>
      <c r="AY347">
        <v>1000</v>
      </c>
      <c r="AZ347">
        <v>0.24467624724422299</v>
      </c>
      <c r="BA347">
        <v>0.35928731660545898</v>
      </c>
      <c r="BB347">
        <v>0.25403362546210301</v>
      </c>
      <c r="BC347">
        <v>0.38708773161168503</v>
      </c>
      <c r="BD347">
        <v>0.241118525636665</v>
      </c>
      <c r="BE347">
        <v>0.35466159246715601</v>
      </c>
      <c r="BF347">
        <v>-0.110961931013803</v>
      </c>
      <c r="BG347">
        <v>6.6741552933532705E-2</v>
      </c>
      <c r="BH347">
        <v>1000</v>
      </c>
      <c r="BI347">
        <v>0.26005131206445897</v>
      </c>
      <c r="BJ347">
        <v>0.39142549231292501</v>
      </c>
      <c r="BK347">
        <v>4</v>
      </c>
    </row>
    <row r="348" spans="1:63" x14ac:dyDescent="0.3">
      <c r="A348" t="s">
        <v>1090</v>
      </c>
      <c r="B348" t="s">
        <v>109</v>
      </c>
      <c r="C348" t="s">
        <v>37</v>
      </c>
      <c r="D348" t="s">
        <v>67</v>
      </c>
      <c r="E348" t="s">
        <v>989</v>
      </c>
      <c r="F348">
        <v>1</v>
      </c>
      <c r="G348" t="s">
        <v>24</v>
      </c>
      <c r="H348" t="s">
        <v>26</v>
      </c>
      <c r="I348" t="s">
        <v>32</v>
      </c>
      <c r="J348" t="s">
        <v>984</v>
      </c>
      <c r="K348" t="s">
        <v>111</v>
      </c>
      <c r="L348">
        <v>10</v>
      </c>
      <c r="M348">
        <v>332</v>
      </c>
      <c r="N348">
        <v>42</v>
      </c>
      <c r="O348">
        <v>42</v>
      </c>
      <c r="P348" t="b">
        <v>1</v>
      </c>
      <c r="Q348" t="s">
        <v>112</v>
      </c>
      <c r="R348">
        <v>0.29956417624520998</v>
      </c>
      <c r="S348">
        <v>42</v>
      </c>
      <c r="T348">
        <v>0</v>
      </c>
      <c r="U348" t="s">
        <v>994</v>
      </c>
      <c r="V348" t="s">
        <v>995</v>
      </c>
      <c r="W348">
        <v>0.54761904761904701</v>
      </c>
      <c r="X348" t="b">
        <v>0</v>
      </c>
      <c r="Y348">
        <v>929.11244720040099</v>
      </c>
      <c r="Z348">
        <v>256.94315069954598</v>
      </c>
      <c r="AA348">
        <v>8814.7928541000001</v>
      </c>
      <c r="AB348">
        <v>332</v>
      </c>
      <c r="AC348">
        <v>3</v>
      </c>
      <c r="AD348">
        <v>0.34036144578313199</v>
      </c>
      <c r="AE348">
        <v>0.32050983021856799</v>
      </c>
      <c r="AF348">
        <v>0.32160364145658199</v>
      </c>
      <c r="AG348">
        <v>0.32050983021856799</v>
      </c>
      <c r="AH348">
        <v>0.32059276022590699</v>
      </c>
      <c r="AI348">
        <v>-1.32891606379432E-2</v>
      </c>
      <c r="AJ348" t="s">
        <v>1091</v>
      </c>
      <c r="AK348">
        <v>0.51010004127994302</v>
      </c>
      <c r="AM348">
        <v>103</v>
      </c>
      <c r="AN348">
        <v>0.29464285714285698</v>
      </c>
      <c r="AO348">
        <v>0.32038834951456302</v>
      </c>
      <c r="AP348">
        <v>0.30697674418604598</v>
      </c>
      <c r="AQ348">
        <v>148</v>
      </c>
      <c r="AR348">
        <v>0.45588235294117602</v>
      </c>
      <c r="AS348">
        <v>0.41891891891891803</v>
      </c>
      <c r="AT348">
        <v>0.43661971830985902</v>
      </c>
      <c r="AU348">
        <v>81</v>
      </c>
      <c r="AV348">
        <v>0.214285714285714</v>
      </c>
      <c r="AW348">
        <v>0.22222222222222199</v>
      </c>
      <c r="AX348">
        <v>0.218181818181818</v>
      </c>
      <c r="AY348">
        <v>1000</v>
      </c>
      <c r="AZ348">
        <v>0.28133609578979402</v>
      </c>
      <c r="BA348">
        <v>0.40786882048211298</v>
      </c>
      <c r="BB348">
        <v>0.26570953675450798</v>
      </c>
      <c r="BC348">
        <v>0.37861322598441199</v>
      </c>
      <c r="BD348">
        <v>0.26264598552981</v>
      </c>
      <c r="BE348">
        <v>0.37567188742047603</v>
      </c>
      <c r="BF348">
        <v>-9.7395067786707701E-2</v>
      </c>
      <c r="BG348">
        <v>7.6999530767251703E-2</v>
      </c>
      <c r="BH348">
        <v>1000</v>
      </c>
      <c r="BI348">
        <v>0.25091178445888201</v>
      </c>
      <c r="BJ348">
        <v>0.346082027339839</v>
      </c>
      <c r="BK348">
        <v>7</v>
      </c>
    </row>
    <row r="349" spans="1:63" x14ac:dyDescent="0.3">
      <c r="A349" t="s">
        <v>1092</v>
      </c>
      <c r="B349" t="s">
        <v>109</v>
      </c>
      <c r="C349" t="s">
        <v>37</v>
      </c>
      <c r="D349" t="s">
        <v>67</v>
      </c>
      <c r="E349" t="s">
        <v>993</v>
      </c>
      <c r="F349">
        <v>2</v>
      </c>
      <c r="G349" t="s">
        <v>24</v>
      </c>
      <c r="H349" t="s">
        <v>26</v>
      </c>
      <c r="I349" t="s">
        <v>33</v>
      </c>
      <c r="J349" t="s">
        <v>984</v>
      </c>
      <c r="K349" t="s">
        <v>111</v>
      </c>
      <c r="L349">
        <v>10</v>
      </c>
      <c r="M349">
        <v>332</v>
      </c>
      <c r="N349">
        <v>42</v>
      </c>
      <c r="O349">
        <v>42</v>
      </c>
      <c r="P349" t="b">
        <v>1</v>
      </c>
      <c r="Q349" t="s">
        <v>112</v>
      </c>
      <c r="R349">
        <v>0.37097867307842602</v>
      </c>
      <c r="S349">
        <v>42</v>
      </c>
      <c r="T349">
        <v>0</v>
      </c>
      <c r="U349" t="s">
        <v>1002</v>
      </c>
      <c r="V349" t="s">
        <v>995</v>
      </c>
      <c r="W349">
        <v>0.64285714285714202</v>
      </c>
      <c r="X349" t="b">
        <v>0</v>
      </c>
      <c r="Y349">
        <v>943.17456459969901</v>
      </c>
      <c r="Z349">
        <v>256.385786400467</v>
      </c>
      <c r="AA349">
        <v>8915.5083571000105</v>
      </c>
      <c r="AB349">
        <v>332</v>
      </c>
      <c r="AC349">
        <v>3</v>
      </c>
      <c r="AD349">
        <v>0.358433734939759</v>
      </c>
      <c r="AE349">
        <v>0.36006610709954801</v>
      </c>
      <c r="AF349">
        <v>0.352388292843342</v>
      </c>
      <c r="AG349">
        <v>0.36006610709954801</v>
      </c>
      <c r="AH349">
        <v>0.34987353806788901</v>
      </c>
      <c r="AI349">
        <v>3.5140856494298899E-2</v>
      </c>
      <c r="AJ349" t="s">
        <v>1093</v>
      </c>
      <c r="AK349">
        <v>0.48599130248315803</v>
      </c>
      <c r="AM349">
        <v>103</v>
      </c>
      <c r="AN349">
        <v>0.36764705882352899</v>
      </c>
      <c r="AO349">
        <v>0.485436893203883</v>
      </c>
      <c r="AP349">
        <v>0.418410041841004</v>
      </c>
      <c r="AQ349">
        <v>148</v>
      </c>
      <c r="AR349">
        <v>0.43396226415094302</v>
      </c>
      <c r="AS349">
        <v>0.31081081081081002</v>
      </c>
      <c r="AT349">
        <v>0.36220472440944801</v>
      </c>
      <c r="AU349">
        <v>81</v>
      </c>
      <c r="AV349">
        <v>0.25555555555555498</v>
      </c>
      <c r="AW349">
        <v>0.28395061728394999</v>
      </c>
      <c r="AX349">
        <v>0.26900584795321603</v>
      </c>
      <c r="AY349">
        <v>1000</v>
      </c>
      <c r="AZ349">
        <v>0.29514968966776101</v>
      </c>
      <c r="BA349">
        <v>0.42169847052882098</v>
      </c>
      <c r="BB349">
        <v>0.296560911152632</v>
      </c>
      <c r="BC349">
        <v>0.42003272099821598</v>
      </c>
      <c r="BD349">
        <v>0.284706933032986</v>
      </c>
      <c r="BE349">
        <v>0.40450008859463199</v>
      </c>
      <c r="BF349">
        <v>-5.9562840950051703E-2</v>
      </c>
      <c r="BG349">
        <v>0.123239238122928</v>
      </c>
      <c r="BH349">
        <v>1000</v>
      </c>
      <c r="BI349">
        <v>0.309473189649216</v>
      </c>
      <c r="BJ349">
        <v>0.42810515826373402</v>
      </c>
      <c r="BK349">
        <v>1</v>
      </c>
    </row>
    <row r="350" spans="1:63" x14ac:dyDescent="0.3">
      <c r="A350" t="s">
        <v>1094</v>
      </c>
      <c r="B350" t="s">
        <v>109</v>
      </c>
      <c r="C350" t="s">
        <v>37</v>
      </c>
      <c r="D350" t="s">
        <v>67</v>
      </c>
      <c r="E350" t="s">
        <v>997</v>
      </c>
      <c r="F350">
        <v>3</v>
      </c>
      <c r="G350" t="s">
        <v>24</v>
      </c>
      <c r="H350" t="s">
        <v>26</v>
      </c>
      <c r="I350" t="s">
        <v>34</v>
      </c>
      <c r="J350" t="s">
        <v>984</v>
      </c>
      <c r="K350" t="s">
        <v>111</v>
      </c>
      <c r="L350">
        <v>10</v>
      </c>
      <c r="M350">
        <v>332</v>
      </c>
      <c r="N350">
        <v>42</v>
      </c>
      <c r="O350">
        <v>42</v>
      </c>
      <c r="P350" t="b">
        <v>1</v>
      </c>
      <c r="Q350" t="s">
        <v>112</v>
      </c>
      <c r="R350">
        <v>0.28971557588552599</v>
      </c>
      <c r="S350">
        <v>42</v>
      </c>
      <c r="T350">
        <v>0</v>
      </c>
      <c r="U350" t="s">
        <v>994</v>
      </c>
      <c r="V350" t="s">
        <v>995</v>
      </c>
      <c r="W350">
        <v>0.54761904761904701</v>
      </c>
      <c r="X350" t="b">
        <v>0</v>
      </c>
      <c r="Y350">
        <v>820.16046110016703</v>
      </c>
      <c r="Z350">
        <v>185.96244580013399</v>
      </c>
      <c r="AA350">
        <v>9014.6729239000106</v>
      </c>
      <c r="AB350">
        <v>332</v>
      </c>
      <c r="AC350">
        <v>3</v>
      </c>
      <c r="AD350">
        <v>0.328313253012048</v>
      </c>
      <c r="AE350">
        <v>0.32408271270191402</v>
      </c>
      <c r="AF350">
        <v>0.32358495954987099</v>
      </c>
      <c r="AG350">
        <v>0.32408271270191402</v>
      </c>
      <c r="AH350">
        <v>0.31855928097490399</v>
      </c>
      <c r="AI350">
        <v>-1.20501385843459E-2</v>
      </c>
      <c r="AJ350" t="s">
        <v>1095</v>
      </c>
      <c r="AK350">
        <v>0.49281620468912501</v>
      </c>
      <c r="AM350">
        <v>103</v>
      </c>
      <c r="AN350">
        <v>0.31578947368421001</v>
      </c>
      <c r="AO350">
        <v>0.40776699029126201</v>
      </c>
      <c r="AP350">
        <v>0.35593220338983</v>
      </c>
      <c r="AQ350">
        <v>148</v>
      </c>
      <c r="AR350">
        <v>0.43518518518518501</v>
      </c>
      <c r="AS350">
        <v>0.31756756756756699</v>
      </c>
      <c r="AT350">
        <v>0.3671875</v>
      </c>
      <c r="AU350">
        <v>81</v>
      </c>
      <c r="AV350">
        <v>0.219780219780219</v>
      </c>
      <c r="AW350">
        <v>0.24691358024691301</v>
      </c>
      <c r="AX350">
        <v>0.232558139534883</v>
      </c>
      <c r="AY350">
        <v>1000</v>
      </c>
      <c r="AZ350">
        <v>0.280111517498565</v>
      </c>
      <c r="BA350">
        <v>0.37879579375847999</v>
      </c>
      <c r="BB350">
        <v>0.27118656592625801</v>
      </c>
      <c r="BC350">
        <v>0.37706822139089802</v>
      </c>
      <c r="BD350">
        <v>0.26739329687602098</v>
      </c>
      <c r="BE350">
        <v>0.36710087142443798</v>
      </c>
      <c r="BF350">
        <v>-8.8054453216775797E-2</v>
      </c>
      <c r="BG350">
        <v>6.5654290007789801E-2</v>
      </c>
      <c r="BH350">
        <v>1000</v>
      </c>
      <c r="BI350">
        <v>0.24095526392554001</v>
      </c>
      <c r="BJ350">
        <v>0.342935391977013</v>
      </c>
      <c r="BK350">
        <v>8</v>
      </c>
    </row>
    <row r="351" spans="1:63" x14ac:dyDescent="0.3">
      <c r="A351" t="s">
        <v>1096</v>
      </c>
      <c r="B351" t="s">
        <v>109</v>
      </c>
      <c r="C351" t="s">
        <v>37</v>
      </c>
      <c r="D351" t="s">
        <v>67</v>
      </c>
      <c r="E351" t="s">
        <v>1001</v>
      </c>
      <c r="F351">
        <v>4</v>
      </c>
      <c r="G351" t="s">
        <v>24</v>
      </c>
      <c r="H351" t="s">
        <v>26</v>
      </c>
      <c r="I351" t="s">
        <v>35</v>
      </c>
      <c r="J351" t="s">
        <v>984</v>
      </c>
      <c r="K351" t="s">
        <v>111</v>
      </c>
      <c r="L351">
        <v>10</v>
      </c>
      <c r="M351">
        <v>332</v>
      </c>
      <c r="N351">
        <v>42</v>
      </c>
      <c r="O351">
        <v>42</v>
      </c>
      <c r="P351" t="b">
        <v>1</v>
      </c>
      <c r="Q351" t="s">
        <v>112</v>
      </c>
      <c r="R351">
        <v>0.26821565407772302</v>
      </c>
      <c r="S351">
        <v>42</v>
      </c>
      <c r="T351">
        <v>0</v>
      </c>
      <c r="U351" t="s">
        <v>994</v>
      </c>
      <c r="V351" t="s">
        <v>995</v>
      </c>
      <c r="W351">
        <v>0.54761904761904701</v>
      </c>
      <c r="X351" t="b">
        <v>0</v>
      </c>
      <c r="Y351">
        <v>793.36607660067898</v>
      </c>
      <c r="Z351">
        <v>185.42989470012199</v>
      </c>
      <c r="AA351">
        <v>9114.0417629000094</v>
      </c>
      <c r="AB351">
        <v>332</v>
      </c>
      <c r="AC351">
        <v>3</v>
      </c>
      <c r="AD351">
        <v>0.28915662650602397</v>
      </c>
      <c r="AE351">
        <v>0.28077862112382002</v>
      </c>
      <c r="AF351">
        <v>0.27612414467253099</v>
      </c>
      <c r="AG351">
        <v>0.28077862112382002</v>
      </c>
      <c r="AH351">
        <v>0.276170823281086</v>
      </c>
      <c r="AI351">
        <v>-8.0475172737298706E-2</v>
      </c>
      <c r="AJ351" t="s">
        <v>1097</v>
      </c>
      <c r="AK351">
        <v>0.45010903578522599</v>
      </c>
      <c r="AM351">
        <v>103</v>
      </c>
      <c r="AN351">
        <v>0.33064516129032201</v>
      </c>
      <c r="AO351">
        <v>0.39805825242718401</v>
      </c>
      <c r="AP351">
        <v>0.36123348017621099</v>
      </c>
      <c r="AQ351">
        <v>148</v>
      </c>
      <c r="AR351">
        <v>0.35</v>
      </c>
      <c r="AS351">
        <v>0.28378378378378299</v>
      </c>
      <c r="AT351">
        <v>0.31343283582089498</v>
      </c>
      <c r="AU351">
        <v>81</v>
      </c>
      <c r="AV351">
        <v>0.14772727272727201</v>
      </c>
      <c r="AW351">
        <v>0.16049382716049301</v>
      </c>
      <c r="AX351">
        <v>0.15384615384615299</v>
      </c>
      <c r="AY351">
        <v>1000</v>
      </c>
      <c r="AZ351">
        <v>0.22656904051250301</v>
      </c>
      <c r="BA351">
        <v>0.361466524781761</v>
      </c>
      <c r="BB351">
        <v>0.219829930068592</v>
      </c>
      <c r="BC351">
        <v>0.34293563756166501</v>
      </c>
      <c r="BD351">
        <v>0.21565240098996799</v>
      </c>
      <c r="BE351">
        <v>0.33205733390952402</v>
      </c>
      <c r="BF351">
        <v>-0.17380916956755399</v>
      </c>
      <c r="BG351">
        <v>1.2971574142576501E-2</v>
      </c>
      <c r="BH351">
        <v>1000</v>
      </c>
      <c r="BI351">
        <v>0.21645534987499199</v>
      </c>
      <c r="BJ351">
        <v>0.32365046526740698</v>
      </c>
      <c r="BK351">
        <v>10</v>
      </c>
    </row>
    <row r="352" spans="1:63" x14ac:dyDescent="0.3">
      <c r="A352" t="s">
        <v>1098</v>
      </c>
      <c r="B352" t="s">
        <v>109</v>
      </c>
      <c r="C352" t="s">
        <v>37</v>
      </c>
      <c r="D352" t="s">
        <v>67</v>
      </c>
      <c r="E352" t="s">
        <v>1005</v>
      </c>
      <c r="F352">
        <v>5</v>
      </c>
      <c r="G352" t="s">
        <v>24</v>
      </c>
      <c r="H352" t="s">
        <v>36</v>
      </c>
      <c r="I352" t="s">
        <v>27</v>
      </c>
      <c r="J352" t="s">
        <v>984</v>
      </c>
      <c r="K352" t="s">
        <v>111</v>
      </c>
      <c r="L352">
        <v>10</v>
      </c>
      <c r="M352">
        <v>332</v>
      </c>
      <c r="N352">
        <v>42</v>
      </c>
      <c r="O352">
        <v>42</v>
      </c>
      <c r="P352" t="b">
        <v>1</v>
      </c>
      <c r="Q352" t="s">
        <v>112</v>
      </c>
      <c r="R352">
        <v>0.32775236531394097</v>
      </c>
      <c r="S352">
        <v>42</v>
      </c>
      <c r="T352">
        <v>0</v>
      </c>
      <c r="U352" t="s">
        <v>1006</v>
      </c>
      <c r="V352" t="s">
        <v>995</v>
      </c>
      <c r="W352">
        <v>0.52380952380952295</v>
      </c>
      <c r="X352" t="b">
        <v>0</v>
      </c>
      <c r="Y352">
        <v>399.89052230032303</v>
      </c>
      <c r="Z352">
        <v>86.045437500113593</v>
      </c>
      <c r="AA352">
        <v>9213.3796534000394</v>
      </c>
      <c r="AB352">
        <v>332</v>
      </c>
      <c r="AC352">
        <v>3</v>
      </c>
      <c r="AD352">
        <v>0.313253012048192</v>
      </c>
      <c r="AE352">
        <v>0.31503833931018299</v>
      </c>
      <c r="AF352">
        <v>0.31486254295532601</v>
      </c>
      <c r="AG352">
        <v>0.31503833931018299</v>
      </c>
      <c r="AH352">
        <v>0.30948886744982301</v>
      </c>
      <c r="AI352">
        <v>-3.0528198110937699E-2</v>
      </c>
      <c r="AJ352" t="s">
        <v>1099</v>
      </c>
      <c r="AK352">
        <v>0.49975241089186301</v>
      </c>
      <c r="AM352">
        <v>103</v>
      </c>
      <c r="AN352">
        <v>0.31958762886597902</v>
      </c>
      <c r="AO352">
        <v>0.30097087378640702</v>
      </c>
      <c r="AP352">
        <v>0.31</v>
      </c>
      <c r="AQ352">
        <v>148</v>
      </c>
      <c r="AR352">
        <v>0.4</v>
      </c>
      <c r="AS352">
        <v>0.31081081081081002</v>
      </c>
      <c r="AT352">
        <v>0.34980988593155798</v>
      </c>
      <c r="AU352">
        <v>81</v>
      </c>
      <c r="AV352">
        <v>0.22500000000000001</v>
      </c>
      <c r="AW352">
        <v>0.33333333333333298</v>
      </c>
      <c r="AX352">
        <v>0.26865671641791</v>
      </c>
      <c r="AY352">
        <v>1000</v>
      </c>
      <c r="AZ352">
        <v>0.26565635677036498</v>
      </c>
      <c r="BA352">
        <v>0.36363636363636298</v>
      </c>
      <c r="BB352">
        <v>0.26570349727534898</v>
      </c>
      <c r="BC352">
        <v>0.36420568459623198</v>
      </c>
      <c r="BD352">
        <v>0.26016491007973302</v>
      </c>
      <c r="BE352">
        <v>0.355017296670115</v>
      </c>
      <c r="BF352">
        <v>-0.105854461830689</v>
      </c>
      <c r="BG352">
        <v>4.74399081091538E-2</v>
      </c>
      <c r="BH352">
        <v>1000</v>
      </c>
      <c r="BI352">
        <v>0.276104798316337</v>
      </c>
      <c r="BJ352">
        <v>0.38007377943452703</v>
      </c>
      <c r="BK352">
        <v>2</v>
      </c>
    </row>
    <row r="353" spans="1:63" x14ac:dyDescent="0.3">
      <c r="A353" t="s">
        <v>1100</v>
      </c>
      <c r="B353" t="s">
        <v>109</v>
      </c>
      <c r="C353" t="s">
        <v>37</v>
      </c>
      <c r="D353" t="s">
        <v>67</v>
      </c>
      <c r="E353" t="s">
        <v>1009</v>
      </c>
      <c r="F353">
        <v>6</v>
      </c>
      <c r="G353" t="s">
        <v>24</v>
      </c>
      <c r="H353" t="s">
        <v>36</v>
      </c>
      <c r="I353" t="s">
        <v>32</v>
      </c>
      <c r="J353" t="s">
        <v>984</v>
      </c>
      <c r="K353" t="s">
        <v>111</v>
      </c>
      <c r="L353">
        <v>10</v>
      </c>
      <c r="M353">
        <v>332</v>
      </c>
      <c r="N353">
        <v>42</v>
      </c>
      <c r="O353">
        <v>42</v>
      </c>
      <c r="P353" t="b">
        <v>1</v>
      </c>
      <c r="Q353" t="s">
        <v>112</v>
      </c>
      <c r="R353">
        <v>0.27126886386738602</v>
      </c>
      <c r="S353">
        <v>42</v>
      </c>
      <c r="T353">
        <v>0</v>
      </c>
      <c r="U353" t="s">
        <v>1026</v>
      </c>
      <c r="V353" t="s">
        <v>995</v>
      </c>
      <c r="W353">
        <v>0.5</v>
      </c>
      <c r="X353" t="b">
        <v>0</v>
      </c>
      <c r="Y353">
        <v>413.69260700029503</v>
      </c>
      <c r="Z353">
        <v>101.80762779997799</v>
      </c>
      <c r="AA353">
        <v>9312.6352497999906</v>
      </c>
      <c r="AB353">
        <v>332</v>
      </c>
      <c r="AC353">
        <v>3</v>
      </c>
      <c r="AD353">
        <v>0.28012048192771</v>
      </c>
      <c r="AE353">
        <v>0.27064982998100501</v>
      </c>
      <c r="AF353">
        <v>0.27662481889914597</v>
      </c>
      <c r="AG353">
        <v>0.27064982998100501</v>
      </c>
      <c r="AH353">
        <v>0.27011470515497499</v>
      </c>
      <c r="AI353">
        <v>-8.6305455373326206E-2</v>
      </c>
      <c r="AJ353" t="s">
        <v>1101</v>
      </c>
      <c r="AK353">
        <v>0.43642874938093801</v>
      </c>
      <c r="AM353">
        <v>103</v>
      </c>
      <c r="AN353">
        <v>0.24390243902438999</v>
      </c>
      <c r="AO353">
        <v>0.29126213592233002</v>
      </c>
      <c r="AP353">
        <v>0.26548672566371601</v>
      </c>
      <c r="AQ353">
        <v>148</v>
      </c>
      <c r="AR353">
        <v>0.41071428571428498</v>
      </c>
      <c r="AS353">
        <v>0.31081081081081002</v>
      </c>
      <c r="AT353">
        <v>0.35384615384615298</v>
      </c>
      <c r="AU353">
        <v>81</v>
      </c>
      <c r="AV353">
        <v>0.17525773195876199</v>
      </c>
      <c r="AW353">
        <v>0.209876543209876</v>
      </c>
      <c r="AX353">
        <v>0.19101123595505601</v>
      </c>
      <c r="AY353">
        <v>1000</v>
      </c>
      <c r="AZ353">
        <v>0.228881393838828</v>
      </c>
      <c r="BA353">
        <v>0.33437107547822198</v>
      </c>
      <c r="BB353">
        <v>0.22516741124589101</v>
      </c>
      <c r="BC353">
        <v>0.317144466391861</v>
      </c>
      <c r="BD353">
        <v>0.22309024385214599</v>
      </c>
      <c r="BE353">
        <v>0.31295007039869199</v>
      </c>
      <c r="BF353">
        <v>-0.155839814431214</v>
      </c>
      <c r="BG353">
        <v>-1.6310868113395799E-2</v>
      </c>
      <c r="BH353">
        <v>1000</v>
      </c>
      <c r="BI353">
        <v>0.224342087487095</v>
      </c>
      <c r="BJ353">
        <v>0.32324371500516702</v>
      </c>
      <c r="BK353">
        <v>9</v>
      </c>
    </row>
    <row r="354" spans="1:63" x14ac:dyDescent="0.3">
      <c r="A354" t="s">
        <v>1102</v>
      </c>
      <c r="B354" t="s">
        <v>109</v>
      </c>
      <c r="C354" t="s">
        <v>37</v>
      </c>
      <c r="D354" t="s">
        <v>67</v>
      </c>
      <c r="E354" t="s">
        <v>1012</v>
      </c>
      <c r="F354">
        <v>7</v>
      </c>
      <c r="G354" t="s">
        <v>24</v>
      </c>
      <c r="H354" t="s">
        <v>36</v>
      </c>
      <c r="I354" t="s">
        <v>33</v>
      </c>
      <c r="J354" t="s">
        <v>984</v>
      </c>
      <c r="K354" t="s">
        <v>111</v>
      </c>
      <c r="L354">
        <v>10</v>
      </c>
      <c r="M354">
        <v>332</v>
      </c>
      <c r="N354">
        <v>42</v>
      </c>
      <c r="O354">
        <v>42</v>
      </c>
      <c r="P354" t="b">
        <v>1</v>
      </c>
      <c r="Q354" t="s">
        <v>112</v>
      </c>
      <c r="R354">
        <v>0.31062113926030099</v>
      </c>
      <c r="S354">
        <v>42</v>
      </c>
      <c r="T354">
        <v>0</v>
      </c>
      <c r="U354" t="s">
        <v>985</v>
      </c>
      <c r="V354" t="s">
        <v>986</v>
      </c>
      <c r="W354">
        <v>0.59523809523809501</v>
      </c>
      <c r="X354" t="b">
        <v>0</v>
      </c>
      <c r="Y354">
        <v>392.76895430037899</v>
      </c>
      <c r="Z354">
        <v>100.41809390002101</v>
      </c>
      <c r="AA354">
        <v>9411.8652520999894</v>
      </c>
      <c r="AB354">
        <v>332</v>
      </c>
      <c r="AC354">
        <v>3</v>
      </c>
      <c r="AD354">
        <v>0.32530120481927699</v>
      </c>
      <c r="AE354">
        <v>0.31908850598170901</v>
      </c>
      <c r="AF354">
        <v>0.31707253245022998</v>
      </c>
      <c r="AG354">
        <v>0.31908850598170901</v>
      </c>
      <c r="AH354">
        <v>0.313044194862376</v>
      </c>
      <c r="AI354">
        <v>-2.2358010171855899E-2</v>
      </c>
      <c r="AJ354" t="s">
        <v>1103</v>
      </c>
      <c r="AK354">
        <v>0.46064856965800199</v>
      </c>
      <c r="AM354">
        <v>103</v>
      </c>
      <c r="AN354">
        <v>0.30935251798561098</v>
      </c>
      <c r="AO354">
        <v>0.41747572815533901</v>
      </c>
      <c r="AP354">
        <v>0.35537190082644599</v>
      </c>
      <c r="AQ354">
        <v>148</v>
      </c>
      <c r="AR354">
        <v>0.41964285714285698</v>
      </c>
      <c r="AS354">
        <v>0.31756756756756699</v>
      </c>
      <c r="AT354">
        <v>0.36153846153846098</v>
      </c>
      <c r="AU354">
        <v>81</v>
      </c>
      <c r="AV354">
        <v>0.22222222222222199</v>
      </c>
      <c r="AW354">
        <v>0.22222222222222199</v>
      </c>
      <c r="AX354">
        <v>0.22222222222222199</v>
      </c>
      <c r="AY354">
        <v>1000</v>
      </c>
      <c r="AZ354">
        <v>0.270510556148854</v>
      </c>
      <c r="BA354">
        <v>0.378388615888615</v>
      </c>
      <c r="BB354">
        <v>0.26583847679324701</v>
      </c>
      <c r="BC354">
        <v>0.37039287968714202</v>
      </c>
      <c r="BD354">
        <v>0.26059655798477399</v>
      </c>
      <c r="BE354">
        <v>0.362127113374763</v>
      </c>
      <c r="BF354">
        <v>-9.5707860448720594E-2</v>
      </c>
      <c r="BG354">
        <v>5.1159877878371403E-2</v>
      </c>
      <c r="BH354">
        <v>1000</v>
      </c>
      <c r="BI354">
        <v>0.25460594049447699</v>
      </c>
      <c r="BJ354">
        <v>0.360104401883165</v>
      </c>
      <c r="BK354">
        <v>6</v>
      </c>
    </row>
    <row r="355" spans="1:63" x14ac:dyDescent="0.3">
      <c r="A355" t="s">
        <v>1104</v>
      </c>
      <c r="B355" t="s">
        <v>109</v>
      </c>
      <c r="C355" t="s">
        <v>37</v>
      </c>
      <c r="D355" t="s">
        <v>67</v>
      </c>
      <c r="E355" t="s">
        <v>1015</v>
      </c>
      <c r="F355">
        <v>8</v>
      </c>
      <c r="G355" t="s">
        <v>24</v>
      </c>
      <c r="H355" t="s">
        <v>36</v>
      </c>
      <c r="I355" t="s">
        <v>34</v>
      </c>
      <c r="J355" t="s">
        <v>984</v>
      </c>
      <c r="K355" t="s">
        <v>111</v>
      </c>
      <c r="L355">
        <v>10</v>
      </c>
      <c r="M355">
        <v>332</v>
      </c>
      <c r="N355">
        <v>42</v>
      </c>
      <c r="O355">
        <v>42</v>
      </c>
      <c r="P355" t="b">
        <v>1</v>
      </c>
      <c r="Q355" t="s">
        <v>112</v>
      </c>
      <c r="R355">
        <v>0.31152337946672898</v>
      </c>
      <c r="S355">
        <v>42</v>
      </c>
      <c r="T355">
        <v>0</v>
      </c>
      <c r="U355" t="s">
        <v>1002</v>
      </c>
      <c r="V355" t="s">
        <v>995</v>
      </c>
      <c r="W355">
        <v>0.64285714285714202</v>
      </c>
      <c r="X355" t="b">
        <v>0</v>
      </c>
      <c r="Y355">
        <v>373.26789200003202</v>
      </c>
      <c r="Z355">
        <v>104.882234099903</v>
      </c>
      <c r="AA355">
        <v>9512.47522200003</v>
      </c>
      <c r="AB355">
        <v>332</v>
      </c>
      <c r="AC355">
        <v>3</v>
      </c>
      <c r="AD355">
        <v>0.36144578313253001</v>
      </c>
      <c r="AE355">
        <v>0.35117938866590398</v>
      </c>
      <c r="AF355">
        <v>0.35031891544496502</v>
      </c>
      <c r="AG355">
        <v>0.35117938866590398</v>
      </c>
      <c r="AH355">
        <v>0.349389432840856</v>
      </c>
      <c r="AI355">
        <v>2.5845424281828702E-2</v>
      </c>
      <c r="AJ355" t="s">
        <v>1105</v>
      </c>
      <c r="AK355">
        <v>0.51072846652471504</v>
      </c>
      <c r="AM355">
        <v>103</v>
      </c>
      <c r="AN355">
        <v>0.32352941176470501</v>
      </c>
      <c r="AO355">
        <v>0.32038834951456302</v>
      </c>
      <c r="AP355">
        <v>0.32195121951219502</v>
      </c>
      <c r="AQ355">
        <v>148</v>
      </c>
      <c r="AR355">
        <v>0.46212121212121199</v>
      </c>
      <c r="AS355">
        <v>0.412162162162162</v>
      </c>
      <c r="AT355">
        <v>0.435714285714285</v>
      </c>
      <c r="AU355">
        <v>81</v>
      </c>
      <c r="AV355">
        <v>0.265306122448979</v>
      </c>
      <c r="AW355">
        <v>0.32098765432098703</v>
      </c>
      <c r="AX355">
        <v>0.29050279329608902</v>
      </c>
      <c r="AY355">
        <v>1000</v>
      </c>
      <c r="AZ355">
        <v>0.30837758018705702</v>
      </c>
      <c r="BA355">
        <v>0.41993957703927398</v>
      </c>
      <c r="BB355">
        <v>0.29575644044107502</v>
      </c>
      <c r="BC355">
        <v>0.40820471885137499</v>
      </c>
      <c r="BD355">
        <v>0.29076578107138501</v>
      </c>
      <c r="BE355">
        <v>0.40263177920876198</v>
      </c>
      <c r="BF355">
        <v>-5.4588117475696502E-2</v>
      </c>
      <c r="BG355">
        <v>0.109982047019434</v>
      </c>
      <c r="BH355">
        <v>1000</v>
      </c>
      <c r="BI355">
        <v>0.26287649917286998</v>
      </c>
      <c r="BJ355">
        <v>0.36258280185995101</v>
      </c>
      <c r="BK355">
        <v>5</v>
      </c>
    </row>
    <row r="356" spans="1:63" x14ac:dyDescent="0.3">
      <c r="A356" t="s">
        <v>1106</v>
      </c>
      <c r="B356" t="s">
        <v>109</v>
      </c>
      <c r="C356" t="s">
        <v>37</v>
      </c>
      <c r="D356" t="s">
        <v>67</v>
      </c>
      <c r="E356" t="s">
        <v>1019</v>
      </c>
      <c r="F356">
        <v>9</v>
      </c>
      <c r="G356" t="s">
        <v>24</v>
      </c>
      <c r="H356" t="s">
        <v>36</v>
      </c>
      <c r="I356" t="s">
        <v>35</v>
      </c>
      <c r="J356" t="s">
        <v>984</v>
      </c>
      <c r="K356" t="s">
        <v>111</v>
      </c>
      <c r="L356">
        <v>10</v>
      </c>
      <c r="M356">
        <v>332</v>
      </c>
      <c r="N356">
        <v>42</v>
      </c>
      <c r="O356">
        <v>42</v>
      </c>
      <c r="P356" t="b">
        <v>1</v>
      </c>
      <c r="Q356" t="s">
        <v>112</v>
      </c>
      <c r="R356">
        <v>0.32298088200797498</v>
      </c>
      <c r="S356">
        <v>42</v>
      </c>
      <c r="T356">
        <v>0</v>
      </c>
      <c r="U356" t="s">
        <v>1040</v>
      </c>
      <c r="V356" t="s">
        <v>995</v>
      </c>
      <c r="W356">
        <v>0.69047619047619002</v>
      </c>
      <c r="X356" t="b">
        <v>0</v>
      </c>
      <c r="Y356">
        <v>377.15664779976902</v>
      </c>
      <c r="Z356">
        <v>100.558018400042</v>
      </c>
      <c r="AA356">
        <v>9612.8503604000398</v>
      </c>
      <c r="AB356">
        <v>332</v>
      </c>
      <c r="AC356">
        <v>3</v>
      </c>
      <c r="AD356">
        <v>0.298192771084337</v>
      </c>
      <c r="AE356">
        <v>0.29280926017711301</v>
      </c>
      <c r="AF356">
        <v>0.29324702854114598</v>
      </c>
      <c r="AG356">
        <v>0.29280926017711301</v>
      </c>
      <c r="AH356">
        <v>0.29061057621591802</v>
      </c>
      <c r="AI356">
        <v>-6.1451595296042001E-2</v>
      </c>
      <c r="AJ356" t="s">
        <v>1107</v>
      </c>
      <c r="AK356">
        <v>0.45201559062421398</v>
      </c>
      <c r="AM356">
        <v>103</v>
      </c>
      <c r="AN356">
        <v>0.31531531531531498</v>
      </c>
      <c r="AO356">
        <v>0.33980582524271802</v>
      </c>
      <c r="AP356">
        <v>0.32710280373831702</v>
      </c>
      <c r="AQ356">
        <v>148</v>
      </c>
      <c r="AR356">
        <v>0.378151260504201</v>
      </c>
      <c r="AS356">
        <v>0.304054054054054</v>
      </c>
      <c r="AT356">
        <v>0.33707865168539303</v>
      </c>
      <c r="AU356">
        <v>81</v>
      </c>
      <c r="AV356">
        <v>0.18627450980392099</v>
      </c>
      <c r="AW356">
        <v>0.234567901234567</v>
      </c>
      <c r="AX356">
        <v>0.207650273224043</v>
      </c>
      <c r="AY356">
        <v>1000</v>
      </c>
      <c r="AZ356">
        <v>0.24698795180722799</v>
      </c>
      <c r="BA356">
        <v>0.34926098988340898</v>
      </c>
      <c r="BB356">
        <v>0.24527055807003401</v>
      </c>
      <c r="BC356">
        <v>0.34147618669336</v>
      </c>
      <c r="BD356">
        <v>0.23982607627087099</v>
      </c>
      <c r="BE356">
        <v>0.335678006282845</v>
      </c>
      <c r="BF356">
        <v>-0.136682054039553</v>
      </c>
      <c r="BG356">
        <v>1.26224009072574E-2</v>
      </c>
      <c r="BH356">
        <v>1000</v>
      </c>
      <c r="BI356">
        <v>0.269114172824302</v>
      </c>
      <c r="BJ356">
        <v>0.373291912836267</v>
      </c>
      <c r="BK356">
        <v>3</v>
      </c>
    </row>
    <row r="357" spans="1:63" x14ac:dyDescent="0.3">
      <c r="A357" t="s">
        <v>0</v>
      </c>
      <c r="B357" t="s">
        <v>69</v>
      </c>
      <c r="C357" t="s">
        <v>2</v>
      </c>
      <c r="D357" t="s">
        <v>70</v>
      </c>
      <c r="E357" t="s">
        <v>71</v>
      </c>
      <c r="F357" t="s">
        <v>72</v>
      </c>
      <c r="G357" t="s">
        <v>1</v>
      </c>
      <c r="H357" t="s">
        <v>3</v>
      </c>
      <c r="I357" t="s">
        <v>4</v>
      </c>
      <c r="J357" t="s">
        <v>5</v>
      </c>
      <c r="K357" t="s">
        <v>73</v>
      </c>
      <c r="L357" t="s">
        <v>74</v>
      </c>
      <c r="M357" t="s">
        <v>75</v>
      </c>
      <c r="N357" t="s">
        <v>6</v>
      </c>
      <c r="O357" t="s">
        <v>7</v>
      </c>
      <c r="P357" t="s">
        <v>8</v>
      </c>
      <c r="Q357" t="s">
        <v>76</v>
      </c>
      <c r="R357" t="s">
        <v>77</v>
      </c>
      <c r="S357" t="s">
        <v>78</v>
      </c>
      <c r="T357" t="s">
        <v>79</v>
      </c>
      <c r="U357" t="s">
        <v>80</v>
      </c>
      <c r="V357" t="s">
        <v>81</v>
      </c>
      <c r="W357" t="s">
        <v>82</v>
      </c>
      <c r="X357" t="s">
        <v>9</v>
      </c>
      <c r="Y357" t="s">
        <v>83</v>
      </c>
      <c r="Z357" t="s">
        <v>84</v>
      </c>
      <c r="AA357" t="s">
        <v>85</v>
      </c>
      <c r="AB357" t="s">
        <v>10</v>
      </c>
      <c r="AC357" t="s">
        <v>282</v>
      </c>
      <c r="AD357" t="s">
        <v>283</v>
      </c>
      <c r="AE357" t="s">
        <v>284</v>
      </c>
      <c r="AF357" t="s">
        <v>285</v>
      </c>
      <c r="AG357" t="s">
        <v>19</v>
      </c>
      <c r="AH357" t="s">
        <v>286</v>
      </c>
      <c r="AI357" t="s">
        <v>287</v>
      </c>
      <c r="AJ357" t="s">
        <v>288</v>
      </c>
      <c r="AK357" t="s">
        <v>289</v>
      </c>
      <c r="AL357" t="s">
        <v>290</v>
      </c>
      <c r="AM357" t="s">
        <v>291</v>
      </c>
      <c r="AN357" t="s">
        <v>292</v>
      </c>
      <c r="AO357" t="s">
        <v>293</v>
      </c>
      <c r="AP357" t="s">
        <v>104</v>
      </c>
      <c r="AQ357" t="s">
        <v>105</v>
      </c>
      <c r="AR357" t="s">
        <v>106</v>
      </c>
      <c r="AS357" t="s">
        <v>107</v>
      </c>
    </row>
    <row r="358" spans="1:63" x14ac:dyDescent="0.3">
      <c r="A358" t="s">
        <v>1108</v>
      </c>
      <c r="B358" t="s">
        <v>109</v>
      </c>
      <c r="C358" t="s">
        <v>25</v>
      </c>
      <c r="D358" t="s">
        <v>68</v>
      </c>
      <c r="E358" t="s">
        <v>611</v>
      </c>
      <c r="F358">
        <v>0</v>
      </c>
      <c r="G358" t="s">
        <v>24</v>
      </c>
      <c r="H358" t="s">
        <v>26</v>
      </c>
      <c r="I358" t="s">
        <v>27</v>
      </c>
      <c r="J358" t="s">
        <v>31</v>
      </c>
      <c r="K358" t="s">
        <v>111</v>
      </c>
      <c r="L358">
        <v>10</v>
      </c>
      <c r="M358">
        <v>332</v>
      </c>
      <c r="N358">
        <v>42</v>
      </c>
      <c r="O358">
        <v>42</v>
      </c>
      <c r="P358" t="b">
        <v>1</v>
      </c>
      <c r="Q358" t="s">
        <v>248</v>
      </c>
      <c r="R358">
        <v>2.01492055549084</v>
      </c>
      <c r="S358">
        <v>42</v>
      </c>
      <c r="T358">
        <v>0</v>
      </c>
      <c r="U358" t="s">
        <v>1109</v>
      </c>
      <c r="V358" t="s">
        <v>1110</v>
      </c>
      <c r="W358">
        <v>0.38095238095237999</v>
      </c>
      <c r="X358" t="b">
        <v>0</v>
      </c>
      <c r="Y358">
        <v>720.04788539966103</v>
      </c>
      <c r="Z358">
        <v>41.443461600109003</v>
      </c>
      <c r="AA358">
        <v>15087.4421563999</v>
      </c>
      <c r="AB358">
        <v>332</v>
      </c>
      <c r="AC358">
        <v>2.0127691019352398</v>
      </c>
      <c r="AD358">
        <v>2.3486281731759799</v>
      </c>
      <c r="AE358">
        <v>-5.9376448282738303E-2</v>
      </c>
      <c r="AF358">
        <v>4.14988858917269E-2</v>
      </c>
      <c r="AG358">
        <v>1000</v>
      </c>
      <c r="AH358">
        <v>1.856544361141</v>
      </c>
      <c r="AI358">
        <v>2.1891588322334901</v>
      </c>
      <c r="AJ358">
        <v>2.2064371871027899</v>
      </c>
      <c r="AK358">
        <v>2.5137397357696001</v>
      </c>
      <c r="AL358">
        <v>-0.11159536302454701</v>
      </c>
      <c r="AM358">
        <v>-1.29642708088555E-2</v>
      </c>
      <c r="AN358">
        <v>-4.1970140509005598E-2</v>
      </c>
      <c r="AO358">
        <v>0.121113153351969</v>
      </c>
      <c r="AP358">
        <v>1000</v>
      </c>
      <c r="AQ358">
        <v>1.86235542850826</v>
      </c>
      <c r="AR358">
        <v>2.1889967967324302</v>
      </c>
      <c r="AS358">
        <v>7</v>
      </c>
    </row>
    <row r="359" spans="1:63" x14ac:dyDescent="0.3">
      <c r="A359" t="s">
        <v>1111</v>
      </c>
      <c r="B359" t="s">
        <v>109</v>
      </c>
      <c r="C359" t="s">
        <v>25</v>
      </c>
      <c r="D359" t="s">
        <v>68</v>
      </c>
      <c r="E359" t="s">
        <v>616</v>
      </c>
      <c r="F359">
        <v>1</v>
      </c>
      <c r="G359" t="s">
        <v>24</v>
      </c>
      <c r="H359" t="s">
        <v>26</v>
      </c>
      <c r="I359" t="s">
        <v>32</v>
      </c>
      <c r="J359" t="s">
        <v>31</v>
      </c>
      <c r="K359" t="s">
        <v>111</v>
      </c>
      <c r="L359">
        <v>10</v>
      </c>
      <c r="M359">
        <v>332</v>
      </c>
      <c r="N359">
        <v>42</v>
      </c>
      <c r="O359">
        <v>42</v>
      </c>
      <c r="P359" t="b">
        <v>1</v>
      </c>
      <c r="Q359" t="s">
        <v>248</v>
      </c>
      <c r="R359">
        <v>1.9982427690357001</v>
      </c>
      <c r="S359">
        <v>42</v>
      </c>
      <c r="T359">
        <v>0</v>
      </c>
      <c r="U359" t="s">
        <v>1112</v>
      </c>
      <c r="V359" t="s">
        <v>1113</v>
      </c>
      <c r="W359">
        <v>0.57142857142857095</v>
      </c>
      <c r="X359" t="b">
        <v>0</v>
      </c>
      <c r="Y359">
        <v>891.19010859861703</v>
      </c>
      <c r="Z359">
        <v>32.3510578000568</v>
      </c>
      <c r="AA359">
        <v>15160.5475218999</v>
      </c>
      <c r="AB359">
        <v>332</v>
      </c>
      <c r="AC359">
        <v>1.9958869931285099</v>
      </c>
      <c r="AD359">
        <v>2.2981694837534898</v>
      </c>
      <c r="AE359">
        <v>-1.43454568074787E-2</v>
      </c>
      <c r="AF359">
        <v>0.133604909734691</v>
      </c>
      <c r="AG359">
        <v>1000</v>
      </c>
      <c r="AH359">
        <v>1.8376941101044</v>
      </c>
      <c r="AI359">
        <v>2.1603558265778902</v>
      </c>
      <c r="AJ359">
        <v>2.1337955982249901</v>
      </c>
      <c r="AK359">
        <v>2.4528808098402899</v>
      </c>
      <c r="AL359">
        <v>-9.10223417197841E-2</v>
      </c>
      <c r="AM359">
        <v>6.1232890025848301E-2</v>
      </c>
      <c r="AN359">
        <v>8.5568976831108205E-3</v>
      </c>
      <c r="AO359">
        <v>0.25867317673450901</v>
      </c>
      <c r="AP359">
        <v>1000</v>
      </c>
      <c r="AQ359">
        <v>1.8405229434930599</v>
      </c>
      <c r="AR359">
        <v>2.1600573351520902</v>
      </c>
      <c r="AS359">
        <v>5</v>
      </c>
    </row>
    <row r="360" spans="1:63" x14ac:dyDescent="0.3">
      <c r="A360" t="s">
        <v>1114</v>
      </c>
      <c r="B360" t="s">
        <v>109</v>
      </c>
      <c r="C360" t="s">
        <v>25</v>
      </c>
      <c r="D360" t="s">
        <v>68</v>
      </c>
      <c r="E360" t="s">
        <v>621</v>
      </c>
      <c r="F360">
        <v>2</v>
      </c>
      <c r="G360" t="s">
        <v>24</v>
      </c>
      <c r="H360" t="s">
        <v>26</v>
      </c>
      <c r="I360" t="s">
        <v>33</v>
      </c>
      <c r="J360" t="s">
        <v>31</v>
      </c>
      <c r="K360" t="s">
        <v>111</v>
      </c>
      <c r="L360">
        <v>10</v>
      </c>
      <c r="M360">
        <v>332</v>
      </c>
      <c r="N360">
        <v>42</v>
      </c>
      <c r="O360">
        <v>42</v>
      </c>
      <c r="P360" t="b">
        <v>1</v>
      </c>
      <c r="Q360" t="s">
        <v>248</v>
      </c>
      <c r="R360">
        <v>2.03369899380959</v>
      </c>
      <c r="S360">
        <v>42</v>
      </c>
      <c r="T360">
        <v>0</v>
      </c>
      <c r="U360" t="s">
        <v>1115</v>
      </c>
      <c r="V360" t="s">
        <v>1113</v>
      </c>
      <c r="W360">
        <v>0.85714285714285698</v>
      </c>
      <c r="X360" t="b">
        <v>0</v>
      </c>
      <c r="Y360">
        <v>792.20066219998898</v>
      </c>
      <c r="Z360">
        <v>15.580158500233599</v>
      </c>
      <c r="AA360">
        <v>15233.9377001999</v>
      </c>
      <c r="AB360">
        <v>332</v>
      </c>
      <c r="AC360">
        <v>2.0296566684662798</v>
      </c>
      <c r="AD360">
        <v>2.3249300935559498</v>
      </c>
      <c r="AE360">
        <v>-3.8105708382941597E-2</v>
      </c>
      <c r="AF360">
        <v>5.2164239916928298E-2</v>
      </c>
      <c r="AG360">
        <v>1000</v>
      </c>
      <c r="AH360">
        <v>1.87017384353405</v>
      </c>
      <c r="AI360">
        <v>2.19189304317594</v>
      </c>
      <c r="AJ360">
        <v>2.1650867092684001</v>
      </c>
      <c r="AK360">
        <v>2.4817291213320698</v>
      </c>
      <c r="AL360">
        <v>-8.6758239112778301E-2</v>
      </c>
      <c r="AM360">
        <v>3.8459067988365898E-3</v>
      </c>
      <c r="AN360">
        <v>-3.9765949627130801E-2</v>
      </c>
      <c r="AO360">
        <v>0.13577648332207901</v>
      </c>
      <c r="AP360">
        <v>1000</v>
      </c>
      <c r="AQ360">
        <v>1.8751185487595901</v>
      </c>
      <c r="AR360">
        <v>2.1986307285596598</v>
      </c>
      <c r="AS360">
        <v>8</v>
      </c>
    </row>
    <row r="361" spans="1:63" x14ac:dyDescent="0.3">
      <c r="A361" t="s">
        <v>1116</v>
      </c>
      <c r="B361" t="s">
        <v>109</v>
      </c>
      <c r="C361" t="s">
        <v>25</v>
      </c>
      <c r="D361" t="s">
        <v>68</v>
      </c>
      <c r="E361" t="s">
        <v>626</v>
      </c>
      <c r="F361">
        <v>3</v>
      </c>
      <c r="G361" t="s">
        <v>24</v>
      </c>
      <c r="H361" t="s">
        <v>26</v>
      </c>
      <c r="I361" t="s">
        <v>34</v>
      </c>
      <c r="J361" t="s">
        <v>31</v>
      </c>
      <c r="K361" t="s">
        <v>111</v>
      </c>
      <c r="L361">
        <v>10</v>
      </c>
      <c r="M361">
        <v>332</v>
      </c>
      <c r="N361">
        <v>42</v>
      </c>
      <c r="O361">
        <v>42</v>
      </c>
      <c r="P361" t="b">
        <v>1</v>
      </c>
      <c r="Q361" t="s">
        <v>248</v>
      </c>
      <c r="R361">
        <v>2.00432339563993</v>
      </c>
      <c r="S361">
        <v>42</v>
      </c>
      <c r="T361">
        <v>0</v>
      </c>
      <c r="U361" t="s">
        <v>1117</v>
      </c>
      <c r="V361" t="s">
        <v>1110</v>
      </c>
      <c r="W361">
        <v>0.214285714285714</v>
      </c>
      <c r="X361" t="b">
        <v>0</v>
      </c>
      <c r="Y361">
        <v>1596.94731990009</v>
      </c>
      <c r="Z361">
        <v>79.193152799969496</v>
      </c>
      <c r="AA361">
        <v>15307.0682339</v>
      </c>
      <c r="AB361">
        <v>332</v>
      </c>
      <c r="AC361">
        <v>2.0000882278226202</v>
      </c>
      <c r="AD361">
        <v>2.3176210096468401</v>
      </c>
      <c r="AE361">
        <v>-3.1588802906910199E-2</v>
      </c>
      <c r="AF361">
        <v>0.128218939053622</v>
      </c>
      <c r="AG361">
        <v>1000</v>
      </c>
      <c r="AH361">
        <v>1.84758268437613</v>
      </c>
      <c r="AI361">
        <v>2.1627280271486602</v>
      </c>
      <c r="AJ361">
        <v>2.1666151857293299</v>
      </c>
      <c r="AK361">
        <v>2.4664962910606301</v>
      </c>
      <c r="AL361">
        <v>-0.106248227263204</v>
      </c>
      <c r="AM361">
        <v>2.8283405131009999E-2</v>
      </c>
      <c r="AN361">
        <v>3.9347460704007103E-2</v>
      </c>
      <c r="AO361">
        <v>0.215953823226499</v>
      </c>
      <c r="AP361">
        <v>1000</v>
      </c>
      <c r="AQ361">
        <v>1.85038923180129</v>
      </c>
      <c r="AR361">
        <v>2.1665856408770199</v>
      </c>
      <c r="AS361">
        <v>6</v>
      </c>
    </row>
    <row r="362" spans="1:63" x14ac:dyDescent="0.3">
      <c r="A362" t="s">
        <v>1118</v>
      </c>
      <c r="B362" t="s">
        <v>109</v>
      </c>
      <c r="C362" t="s">
        <v>25</v>
      </c>
      <c r="D362" t="s">
        <v>68</v>
      </c>
      <c r="E362" t="s">
        <v>631</v>
      </c>
      <c r="F362">
        <v>4</v>
      </c>
      <c r="G362" t="s">
        <v>24</v>
      </c>
      <c r="H362" t="s">
        <v>26</v>
      </c>
      <c r="I362" t="s">
        <v>35</v>
      </c>
      <c r="J362" t="s">
        <v>31</v>
      </c>
      <c r="K362" t="s">
        <v>111</v>
      </c>
      <c r="L362">
        <v>10</v>
      </c>
      <c r="M362">
        <v>332</v>
      </c>
      <c r="N362">
        <v>42</v>
      </c>
      <c r="O362">
        <v>42</v>
      </c>
      <c r="P362" t="b">
        <v>1</v>
      </c>
      <c r="Q362" t="s">
        <v>248</v>
      </c>
      <c r="R362">
        <v>2.0645689323586498</v>
      </c>
      <c r="S362">
        <v>42</v>
      </c>
      <c r="T362">
        <v>0</v>
      </c>
      <c r="U362" t="s">
        <v>1119</v>
      </c>
      <c r="V362" t="s">
        <v>1110</v>
      </c>
      <c r="W362">
        <v>0.238095238095238</v>
      </c>
      <c r="X362" t="b">
        <v>0</v>
      </c>
      <c r="Y362">
        <v>1517.20590850035</v>
      </c>
      <c r="Z362">
        <v>75.666513499745605</v>
      </c>
      <c r="AA362">
        <v>15380.2857751999</v>
      </c>
      <c r="AB362">
        <v>332</v>
      </c>
      <c r="AC362">
        <v>2.06062271119524</v>
      </c>
      <c r="AD362">
        <v>2.3707441013109398</v>
      </c>
      <c r="AE362">
        <v>-7.9421684944526602E-2</v>
      </c>
      <c r="AF362">
        <v>-5.1514454381500902E-3</v>
      </c>
      <c r="AG362">
        <v>1000</v>
      </c>
      <c r="AH362">
        <v>1.8975059013348301</v>
      </c>
      <c r="AI362">
        <v>2.2361756729877502</v>
      </c>
      <c r="AJ362">
        <v>2.2106707420172498</v>
      </c>
      <c r="AK362">
        <v>2.5393113815016699</v>
      </c>
      <c r="AL362">
        <v>-0.145022946911193</v>
      </c>
      <c r="AM362">
        <v>-2.3288643625169001E-2</v>
      </c>
      <c r="AN362">
        <v>-0.104850641755327</v>
      </c>
      <c r="AO362">
        <v>9.2762207386048706E-2</v>
      </c>
      <c r="AP362">
        <v>1000</v>
      </c>
      <c r="AQ362">
        <v>1.9028110121958599</v>
      </c>
      <c r="AR362">
        <v>2.2354599862996398</v>
      </c>
      <c r="AS362">
        <v>10</v>
      </c>
    </row>
    <row r="363" spans="1:63" x14ac:dyDescent="0.3">
      <c r="A363" t="s">
        <v>1120</v>
      </c>
      <c r="B363" t="s">
        <v>109</v>
      </c>
      <c r="C363" t="s">
        <v>25</v>
      </c>
      <c r="D363" t="s">
        <v>68</v>
      </c>
      <c r="E363" t="s">
        <v>635</v>
      </c>
      <c r="F363">
        <v>5</v>
      </c>
      <c r="G363" t="s">
        <v>24</v>
      </c>
      <c r="H363" t="s">
        <v>36</v>
      </c>
      <c r="I363" t="s">
        <v>27</v>
      </c>
      <c r="J363" t="s">
        <v>31</v>
      </c>
      <c r="K363" t="s">
        <v>111</v>
      </c>
      <c r="L363">
        <v>10</v>
      </c>
      <c r="M363">
        <v>332</v>
      </c>
      <c r="N363">
        <v>42</v>
      </c>
      <c r="O363">
        <v>42</v>
      </c>
      <c r="P363" t="b">
        <v>1</v>
      </c>
      <c r="Q363" t="s">
        <v>248</v>
      </c>
      <c r="R363">
        <v>1.94966241585559</v>
      </c>
      <c r="S363">
        <v>42</v>
      </c>
      <c r="T363">
        <v>0</v>
      </c>
      <c r="U363" t="s">
        <v>1121</v>
      </c>
      <c r="V363" t="s">
        <v>1122</v>
      </c>
      <c r="W363">
        <v>0.26190476190476097</v>
      </c>
      <c r="X363" t="b">
        <v>0</v>
      </c>
      <c r="Y363">
        <v>997.92691499920295</v>
      </c>
      <c r="Z363">
        <v>74.100001600279896</v>
      </c>
      <c r="AA363">
        <v>15453.8024947999</v>
      </c>
      <c r="AB363">
        <v>332</v>
      </c>
      <c r="AC363">
        <v>1.9472860047616101</v>
      </c>
      <c r="AD363">
        <v>2.2736264959171999</v>
      </c>
      <c r="AE363">
        <v>7.2039864681355797E-3</v>
      </c>
      <c r="AF363">
        <v>0.21341383334925099</v>
      </c>
      <c r="AG363">
        <v>1000</v>
      </c>
      <c r="AH363">
        <v>1.79415802802506</v>
      </c>
      <c r="AI363">
        <v>2.0969684078511199</v>
      </c>
      <c r="AJ363">
        <v>2.11219270296281</v>
      </c>
      <c r="AK363">
        <v>2.4288224577575201</v>
      </c>
      <c r="AL363">
        <v>-6.3583065266937702E-2</v>
      </c>
      <c r="AM363">
        <v>6.9963594759485506E-2</v>
      </c>
      <c r="AN363">
        <v>0.13222644264955899</v>
      </c>
      <c r="AO363">
        <v>0.29165407568833202</v>
      </c>
      <c r="AP363">
        <v>1000</v>
      </c>
      <c r="AQ363">
        <v>1.79798967878834</v>
      </c>
      <c r="AR363">
        <v>2.1018949472149</v>
      </c>
      <c r="AS363">
        <v>3</v>
      </c>
    </row>
    <row r="364" spans="1:63" x14ac:dyDescent="0.3">
      <c r="A364" t="s">
        <v>1123</v>
      </c>
      <c r="B364" t="s">
        <v>109</v>
      </c>
      <c r="C364" t="s">
        <v>25</v>
      </c>
      <c r="D364" t="s">
        <v>68</v>
      </c>
      <c r="E364" t="s">
        <v>639</v>
      </c>
      <c r="F364">
        <v>6</v>
      </c>
      <c r="G364" t="s">
        <v>24</v>
      </c>
      <c r="H364" t="s">
        <v>36</v>
      </c>
      <c r="I364" t="s">
        <v>32</v>
      </c>
      <c r="J364" t="s">
        <v>31</v>
      </c>
      <c r="K364" t="s">
        <v>111</v>
      </c>
      <c r="L364">
        <v>10</v>
      </c>
      <c r="M364">
        <v>332</v>
      </c>
      <c r="N364">
        <v>42</v>
      </c>
      <c r="O364">
        <v>42</v>
      </c>
      <c r="P364" t="b">
        <v>1</v>
      </c>
      <c r="Q364" t="s">
        <v>248</v>
      </c>
      <c r="R364">
        <v>1.87320446616668</v>
      </c>
      <c r="S364">
        <v>42</v>
      </c>
      <c r="T364">
        <v>0</v>
      </c>
      <c r="U364" t="s">
        <v>1124</v>
      </c>
      <c r="V364" t="s">
        <v>1113</v>
      </c>
      <c r="W364">
        <v>0.30952380952380898</v>
      </c>
      <c r="X364" t="b">
        <v>0</v>
      </c>
      <c r="Y364">
        <v>1289.3129596997101</v>
      </c>
      <c r="Z364">
        <v>78.327923000091602</v>
      </c>
      <c r="AA364">
        <v>15527.1442309999</v>
      </c>
      <c r="AB364">
        <v>332</v>
      </c>
      <c r="AC364">
        <v>1.87174211855394</v>
      </c>
      <c r="AD364">
        <v>2.2253301135885399</v>
      </c>
      <c r="AE364">
        <v>4.89339674408567E-2</v>
      </c>
      <c r="AF364">
        <v>0.292292103865056</v>
      </c>
      <c r="AG364">
        <v>1000</v>
      </c>
      <c r="AH364">
        <v>1.7299220350704001</v>
      </c>
      <c r="AI364">
        <v>2.0210015146200999</v>
      </c>
      <c r="AJ364">
        <v>2.0789584054421</v>
      </c>
      <c r="AK364">
        <v>2.3810111959821598</v>
      </c>
      <c r="AL364">
        <v>-5.7032306541519501E-2</v>
      </c>
      <c r="AM364">
        <v>0.1344677941081</v>
      </c>
      <c r="AN364">
        <v>0.193839232256901</v>
      </c>
      <c r="AO364">
        <v>0.37804988733872702</v>
      </c>
      <c r="AP364">
        <v>1000</v>
      </c>
      <c r="AQ364">
        <v>1.7310600635905999</v>
      </c>
      <c r="AR364">
        <v>2.02009568125465</v>
      </c>
      <c r="AS364">
        <v>2</v>
      </c>
    </row>
    <row r="365" spans="1:63" x14ac:dyDescent="0.3">
      <c r="A365" t="s">
        <v>1125</v>
      </c>
      <c r="B365" t="s">
        <v>109</v>
      </c>
      <c r="C365" t="s">
        <v>25</v>
      </c>
      <c r="D365" t="s">
        <v>68</v>
      </c>
      <c r="E365" t="s">
        <v>643</v>
      </c>
      <c r="F365">
        <v>7</v>
      </c>
      <c r="G365" t="s">
        <v>24</v>
      </c>
      <c r="H365" t="s">
        <v>36</v>
      </c>
      <c r="I365" t="s">
        <v>33</v>
      </c>
      <c r="J365" t="s">
        <v>31</v>
      </c>
      <c r="K365" t="s">
        <v>111</v>
      </c>
      <c r="L365">
        <v>10</v>
      </c>
      <c r="M365">
        <v>332</v>
      </c>
      <c r="N365">
        <v>42</v>
      </c>
      <c r="O365">
        <v>42</v>
      </c>
      <c r="P365" t="b">
        <v>1</v>
      </c>
      <c r="Q365" t="s">
        <v>248</v>
      </c>
      <c r="R365">
        <v>2.0451250511502401</v>
      </c>
      <c r="S365">
        <v>42</v>
      </c>
      <c r="T365">
        <v>0</v>
      </c>
      <c r="U365" t="s">
        <v>1126</v>
      </c>
      <c r="V365" t="s">
        <v>1110</v>
      </c>
      <c r="W365">
        <v>0.28571428571428498</v>
      </c>
      <c r="X365" t="b">
        <v>0</v>
      </c>
      <c r="Y365">
        <v>1144.1176743006199</v>
      </c>
      <c r="Z365">
        <v>81.228429199778404</v>
      </c>
      <c r="AA365">
        <v>15600.3823203999</v>
      </c>
      <c r="AB365">
        <v>332</v>
      </c>
      <c r="AC365">
        <v>2.0440730639250799</v>
      </c>
      <c r="AD365">
        <v>2.3479990290583799</v>
      </c>
      <c r="AE365">
        <v>-5.8808958547067601E-2</v>
      </c>
      <c r="AF365">
        <v>0.14764563976842701</v>
      </c>
      <c r="AG365">
        <v>1000</v>
      </c>
      <c r="AH365">
        <v>1.88850910471636</v>
      </c>
      <c r="AI365">
        <v>2.2033986823459601</v>
      </c>
      <c r="AJ365">
        <v>2.2051667846085299</v>
      </c>
      <c r="AK365">
        <v>2.4966789443909398</v>
      </c>
      <c r="AL365">
        <v>-0.16390322578306801</v>
      </c>
      <c r="AM365">
        <v>1.9876838120459001E-2</v>
      </c>
      <c r="AN365">
        <v>5.4855783802704797E-2</v>
      </c>
      <c r="AO365">
        <v>0.228817928723106</v>
      </c>
      <c r="AP365">
        <v>1000</v>
      </c>
      <c r="AQ365">
        <v>1.8927044196953899</v>
      </c>
      <c r="AR365">
        <v>2.20295700131748</v>
      </c>
      <c r="AS365">
        <v>9</v>
      </c>
    </row>
    <row r="366" spans="1:63" x14ac:dyDescent="0.3">
      <c r="A366" t="s">
        <v>1127</v>
      </c>
      <c r="B366" t="s">
        <v>109</v>
      </c>
      <c r="C366" t="s">
        <v>25</v>
      </c>
      <c r="D366" t="s">
        <v>68</v>
      </c>
      <c r="E366" t="s">
        <v>647</v>
      </c>
      <c r="F366">
        <v>8</v>
      </c>
      <c r="G366" t="s">
        <v>24</v>
      </c>
      <c r="H366" t="s">
        <v>36</v>
      </c>
      <c r="I366" t="s">
        <v>34</v>
      </c>
      <c r="J366" t="s">
        <v>31</v>
      </c>
      <c r="K366" t="s">
        <v>111</v>
      </c>
      <c r="L366">
        <v>10</v>
      </c>
      <c r="M366">
        <v>332</v>
      </c>
      <c r="N366">
        <v>42</v>
      </c>
      <c r="O366">
        <v>42</v>
      </c>
      <c r="P366" t="b">
        <v>1</v>
      </c>
      <c r="Q366" t="s">
        <v>248</v>
      </c>
      <c r="R366">
        <v>1.8273469756046901</v>
      </c>
      <c r="S366">
        <v>42</v>
      </c>
      <c r="T366">
        <v>0</v>
      </c>
      <c r="U366" t="s">
        <v>1128</v>
      </c>
      <c r="V366" t="s">
        <v>1122</v>
      </c>
      <c r="W366">
        <v>0.26190476190476097</v>
      </c>
      <c r="X366" t="b">
        <v>0</v>
      </c>
      <c r="Y366">
        <v>2180.0999480998698</v>
      </c>
      <c r="Z366">
        <v>152.028101500123</v>
      </c>
      <c r="AA366">
        <v>15673.935583799899</v>
      </c>
      <c r="AB366">
        <v>332</v>
      </c>
      <c r="AC366">
        <v>1.8270256978919699</v>
      </c>
      <c r="AD366">
        <v>2.14878857314979</v>
      </c>
      <c r="AE366">
        <v>0.113233755665739</v>
      </c>
      <c r="AF366">
        <v>0.357141064418941</v>
      </c>
      <c r="AG366">
        <v>1000</v>
      </c>
      <c r="AH366">
        <v>1.70676295880766</v>
      </c>
      <c r="AI366">
        <v>1.9718039783194601</v>
      </c>
      <c r="AJ366">
        <v>2.0187630858781498</v>
      </c>
      <c r="AK366">
        <v>2.2844103160824898</v>
      </c>
      <c r="AL366">
        <v>3.82696544467803E-2</v>
      </c>
      <c r="AM366">
        <v>0.171588189064659</v>
      </c>
      <c r="AN366">
        <v>0.27505119980741799</v>
      </c>
      <c r="AO366">
        <v>0.43107859943365701</v>
      </c>
      <c r="AP366">
        <v>1000</v>
      </c>
      <c r="AQ366">
        <v>1.70684684102936</v>
      </c>
      <c r="AR366">
        <v>1.97270493419194</v>
      </c>
      <c r="AS366">
        <v>1</v>
      </c>
    </row>
    <row r="367" spans="1:63" x14ac:dyDescent="0.3">
      <c r="A367" t="s">
        <v>1129</v>
      </c>
      <c r="B367" t="s">
        <v>109</v>
      </c>
      <c r="C367" t="s">
        <v>25</v>
      </c>
      <c r="D367" t="s">
        <v>68</v>
      </c>
      <c r="E367" t="s">
        <v>652</v>
      </c>
      <c r="F367">
        <v>9</v>
      </c>
      <c r="G367" t="s">
        <v>24</v>
      </c>
      <c r="H367" t="s">
        <v>36</v>
      </c>
      <c r="I367" t="s">
        <v>35</v>
      </c>
      <c r="J367" t="s">
        <v>31</v>
      </c>
      <c r="K367" t="s">
        <v>111</v>
      </c>
      <c r="L367">
        <v>10</v>
      </c>
      <c r="M367">
        <v>332</v>
      </c>
      <c r="N367">
        <v>42</v>
      </c>
      <c r="O367">
        <v>42</v>
      </c>
      <c r="P367" t="b">
        <v>1</v>
      </c>
      <c r="Q367" t="s">
        <v>248</v>
      </c>
      <c r="R367">
        <v>1.95887725176859</v>
      </c>
      <c r="S367">
        <v>42</v>
      </c>
      <c r="T367">
        <v>0</v>
      </c>
      <c r="U367" t="s">
        <v>1130</v>
      </c>
      <c r="V367" t="s">
        <v>1122</v>
      </c>
      <c r="W367">
        <v>0.28571428571428498</v>
      </c>
      <c r="X367" t="b">
        <v>0</v>
      </c>
      <c r="Y367">
        <v>2104.9557906989298</v>
      </c>
      <c r="Z367">
        <v>163.45056269993</v>
      </c>
      <c r="AA367">
        <v>15747.1291113999</v>
      </c>
      <c r="AB367">
        <v>332</v>
      </c>
      <c r="AC367">
        <v>1.9581796742347299</v>
      </c>
      <c r="AD367">
        <v>2.2613511553474299</v>
      </c>
      <c r="AE367">
        <v>1.78952856410689E-2</v>
      </c>
      <c r="AF367">
        <v>0.22488140604236301</v>
      </c>
      <c r="AG367">
        <v>1000</v>
      </c>
      <c r="AH367">
        <v>1.8182577376617699</v>
      </c>
      <c r="AI367">
        <v>2.1049321244019401</v>
      </c>
      <c r="AJ367">
        <v>2.1233933414721</v>
      </c>
      <c r="AK367">
        <v>2.4058692480544002</v>
      </c>
      <c r="AL367">
        <v>-5.1277325023790302E-2</v>
      </c>
      <c r="AM367">
        <v>7.3379802717458795E-2</v>
      </c>
      <c r="AN367">
        <v>0.15056523335317001</v>
      </c>
      <c r="AO367">
        <v>0.290467637500748</v>
      </c>
      <c r="AP367">
        <v>1000</v>
      </c>
      <c r="AQ367">
        <v>1.8194252743202</v>
      </c>
      <c r="AR367">
        <v>2.10544171648315</v>
      </c>
      <c r="AS367">
        <v>4</v>
      </c>
    </row>
    <row r="368" spans="1:63" x14ac:dyDescent="0.3">
      <c r="A368" t="s">
        <v>1131</v>
      </c>
      <c r="B368" t="s">
        <v>109</v>
      </c>
      <c r="C368" t="s">
        <v>37</v>
      </c>
      <c r="D368" t="s">
        <v>68</v>
      </c>
      <c r="E368" t="s">
        <v>611</v>
      </c>
      <c r="F368">
        <v>0</v>
      </c>
      <c r="G368" t="s">
        <v>24</v>
      </c>
      <c r="H368" t="s">
        <v>26</v>
      </c>
      <c r="I368" t="s">
        <v>27</v>
      </c>
      <c r="J368" t="s">
        <v>31</v>
      </c>
      <c r="K368" t="s">
        <v>111</v>
      </c>
      <c r="L368">
        <v>10</v>
      </c>
      <c r="M368">
        <v>332</v>
      </c>
      <c r="N368">
        <v>42</v>
      </c>
      <c r="O368">
        <v>42</v>
      </c>
      <c r="P368" t="b">
        <v>1</v>
      </c>
      <c r="Q368" t="s">
        <v>248</v>
      </c>
      <c r="R368">
        <v>1.81212860491846</v>
      </c>
      <c r="S368">
        <v>42</v>
      </c>
      <c r="T368">
        <v>0</v>
      </c>
      <c r="U368" t="s">
        <v>1132</v>
      </c>
      <c r="V368" t="s">
        <v>1113</v>
      </c>
      <c r="W368">
        <v>0.76190476190476097</v>
      </c>
      <c r="X368" t="b">
        <v>0</v>
      </c>
      <c r="Y368">
        <v>690.99214239907405</v>
      </c>
      <c r="Z368">
        <v>16.684002799971399</v>
      </c>
      <c r="AA368">
        <v>14255.851507699899</v>
      </c>
      <c r="AB368">
        <v>332</v>
      </c>
      <c r="AC368">
        <v>1.80583855050533</v>
      </c>
      <c r="AD368">
        <v>2.1343360801985898</v>
      </c>
      <c r="AE368">
        <v>-0.143029351986871</v>
      </c>
      <c r="AF368">
        <v>-2.64618625483529E-2</v>
      </c>
      <c r="AG368">
        <v>1000</v>
      </c>
      <c r="AH368">
        <v>1.6315603407835499</v>
      </c>
      <c r="AI368">
        <v>1.98602866947696</v>
      </c>
      <c r="AJ368">
        <v>1.9524199488882601</v>
      </c>
      <c r="AK368">
        <v>2.30239872574005</v>
      </c>
      <c r="AL368">
        <v>-0.28322356919355302</v>
      </c>
      <c r="AM368">
        <v>-4.8964963890296601E-2</v>
      </c>
      <c r="AN368">
        <v>-0.19066114905536699</v>
      </c>
      <c r="AO368">
        <v>0.12373110077136</v>
      </c>
      <c r="AP368">
        <v>1000</v>
      </c>
      <c r="AQ368">
        <v>1.6376666038913399</v>
      </c>
      <c r="AR368">
        <v>1.9918704096975399</v>
      </c>
      <c r="AS368">
        <v>7</v>
      </c>
    </row>
    <row r="369" spans="1:63" x14ac:dyDescent="0.3">
      <c r="A369" t="s">
        <v>1133</v>
      </c>
      <c r="B369" t="s">
        <v>109</v>
      </c>
      <c r="C369" t="s">
        <v>37</v>
      </c>
      <c r="D369" t="s">
        <v>68</v>
      </c>
      <c r="E369" t="s">
        <v>616</v>
      </c>
      <c r="F369">
        <v>1</v>
      </c>
      <c r="G369" t="s">
        <v>24</v>
      </c>
      <c r="H369" t="s">
        <v>26</v>
      </c>
      <c r="I369" t="s">
        <v>32</v>
      </c>
      <c r="J369" t="s">
        <v>31</v>
      </c>
      <c r="K369" t="s">
        <v>111</v>
      </c>
      <c r="L369">
        <v>10</v>
      </c>
      <c r="M369">
        <v>332</v>
      </c>
      <c r="N369">
        <v>42</v>
      </c>
      <c r="O369">
        <v>42</v>
      </c>
      <c r="P369" t="b">
        <v>1</v>
      </c>
      <c r="Q369" t="s">
        <v>248</v>
      </c>
      <c r="R369">
        <v>1.7257683922772999</v>
      </c>
      <c r="S369">
        <v>42</v>
      </c>
      <c r="T369">
        <v>0</v>
      </c>
      <c r="U369" t="s">
        <v>1134</v>
      </c>
      <c r="V369" t="s">
        <v>1113</v>
      </c>
      <c r="W369">
        <v>0.61904761904761896</v>
      </c>
      <c r="X369" t="b">
        <v>0</v>
      </c>
      <c r="Y369">
        <v>868.16585860028795</v>
      </c>
      <c r="Z369">
        <v>22.613142599875498</v>
      </c>
      <c r="AA369">
        <v>14328.616084199901</v>
      </c>
      <c r="AB369">
        <v>332</v>
      </c>
      <c r="AC369">
        <v>1.7233958692964899</v>
      </c>
      <c r="AD369">
        <v>2.0528392031893801</v>
      </c>
      <c r="AE369">
        <v>-5.7405673988125898E-2</v>
      </c>
      <c r="AF369">
        <v>4.6839159811844E-2</v>
      </c>
      <c r="AG369">
        <v>1000</v>
      </c>
      <c r="AH369">
        <v>1.5788031371137099</v>
      </c>
      <c r="AI369">
        <v>1.8891987184192101</v>
      </c>
      <c r="AJ369">
        <v>1.8946167759516299</v>
      </c>
      <c r="AK369">
        <v>2.2209365369467302</v>
      </c>
      <c r="AL369">
        <v>-0.17068713150235201</v>
      </c>
      <c r="AM369">
        <v>7.8801773943548703E-3</v>
      </c>
      <c r="AN369">
        <v>-9.2661476963188896E-2</v>
      </c>
      <c r="AO369">
        <v>0.17446118677226</v>
      </c>
      <c r="AP369">
        <v>1000</v>
      </c>
      <c r="AQ369">
        <v>1.58063119563536</v>
      </c>
      <c r="AR369">
        <v>1.8911536042158199</v>
      </c>
      <c r="AS369">
        <v>2</v>
      </c>
    </row>
    <row r="370" spans="1:63" x14ac:dyDescent="0.3">
      <c r="A370" t="s">
        <v>1135</v>
      </c>
      <c r="B370" t="s">
        <v>109</v>
      </c>
      <c r="C370" t="s">
        <v>37</v>
      </c>
      <c r="D370" t="s">
        <v>68</v>
      </c>
      <c r="E370" t="s">
        <v>621</v>
      </c>
      <c r="F370">
        <v>2</v>
      </c>
      <c r="G370" t="s">
        <v>24</v>
      </c>
      <c r="H370" t="s">
        <v>26</v>
      </c>
      <c r="I370" t="s">
        <v>33</v>
      </c>
      <c r="J370" t="s">
        <v>31</v>
      </c>
      <c r="K370" t="s">
        <v>111</v>
      </c>
      <c r="L370">
        <v>10</v>
      </c>
      <c r="M370">
        <v>332</v>
      </c>
      <c r="N370">
        <v>42</v>
      </c>
      <c r="O370">
        <v>42</v>
      </c>
      <c r="P370" t="b">
        <v>1</v>
      </c>
      <c r="Q370" t="s">
        <v>248</v>
      </c>
      <c r="R370">
        <v>1.7214019568433601</v>
      </c>
      <c r="S370">
        <v>42</v>
      </c>
      <c r="T370">
        <v>0</v>
      </c>
      <c r="U370" t="s">
        <v>1136</v>
      </c>
      <c r="V370" t="s">
        <v>1113</v>
      </c>
      <c r="W370">
        <v>0.78571428571428503</v>
      </c>
      <c r="X370" t="b">
        <v>0</v>
      </c>
      <c r="Y370">
        <v>752.96459530142602</v>
      </c>
      <c r="Z370">
        <v>15.450612899730899</v>
      </c>
      <c r="AA370">
        <v>14401.5875605</v>
      </c>
      <c r="AB370">
        <v>332</v>
      </c>
      <c r="AC370">
        <v>1.71953827042555</v>
      </c>
      <c r="AD370">
        <v>2.0497336079683701</v>
      </c>
      <c r="AE370">
        <v>-5.4208745526939099E-2</v>
      </c>
      <c r="AF370">
        <v>5.7506364174504401E-2</v>
      </c>
      <c r="AG370">
        <v>1000</v>
      </c>
      <c r="AH370">
        <v>1.57342255442171</v>
      </c>
      <c r="AI370">
        <v>1.88499886973075</v>
      </c>
      <c r="AJ370">
        <v>1.8874104887821299</v>
      </c>
      <c r="AK370">
        <v>2.2284286228610801</v>
      </c>
      <c r="AL370">
        <v>-0.193851645366131</v>
      </c>
      <c r="AM370">
        <v>3.7611411103089E-2</v>
      </c>
      <c r="AN370">
        <v>-0.112528344145255</v>
      </c>
      <c r="AO370">
        <v>0.21319814779511501</v>
      </c>
      <c r="AP370">
        <v>1000</v>
      </c>
      <c r="AQ370">
        <v>1.5739025413035901</v>
      </c>
      <c r="AR370">
        <v>1.8847150136452</v>
      </c>
      <c r="AS370">
        <v>1</v>
      </c>
    </row>
    <row r="371" spans="1:63" x14ac:dyDescent="0.3">
      <c r="A371" t="s">
        <v>1137</v>
      </c>
      <c r="B371" t="s">
        <v>109</v>
      </c>
      <c r="C371" t="s">
        <v>37</v>
      </c>
      <c r="D371" t="s">
        <v>68</v>
      </c>
      <c r="E371" t="s">
        <v>626</v>
      </c>
      <c r="F371">
        <v>3</v>
      </c>
      <c r="G371" t="s">
        <v>24</v>
      </c>
      <c r="H371" t="s">
        <v>26</v>
      </c>
      <c r="I371" t="s">
        <v>34</v>
      </c>
      <c r="J371" t="s">
        <v>31</v>
      </c>
      <c r="K371" t="s">
        <v>111</v>
      </c>
      <c r="L371">
        <v>10</v>
      </c>
      <c r="M371">
        <v>332</v>
      </c>
      <c r="N371">
        <v>42</v>
      </c>
      <c r="O371">
        <v>42</v>
      </c>
      <c r="P371" t="b">
        <v>1</v>
      </c>
      <c r="Q371" t="s">
        <v>248</v>
      </c>
      <c r="R371">
        <v>1.7662505395178401</v>
      </c>
      <c r="S371">
        <v>42</v>
      </c>
      <c r="T371">
        <v>0</v>
      </c>
      <c r="U371" t="s">
        <v>1138</v>
      </c>
      <c r="V371" t="s">
        <v>1113</v>
      </c>
      <c r="W371">
        <v>0.66666666666666596</v>
      </c>
      <c r="X371" t="b">
        <v>0</v>
      </c>
      <c r="Y371">
        <v>1558.9259036001099</v>
      </c>
      <c r="Z371">
        <v>44.075060299830497</v>
      </c>
      <c r="AA371">
        <v>14474.6456972999</v>
      </c>
      <c r="AB371">
        <v>332</v>
      </c>
      <c r="AC371">
        <v>1.7631016502330401</v>
      </c>
      <c r="AD371">
        <v>2.0960032703781799</v>
      </c>
      <c r="AE371">
        <v>-0.10234029428154499</v>
      </c>
      <c r="AF371">
        <v>2.7278504899827499E-2</v>
      </c>
      <c r="AG371">
        <v>1000</v>
      </c>
      <c r="AH371">
        <v>1.58707368736831</v>
      </c>
      <c r="AI371">
        <v>1.9424204585016001</v>
      </c>
      <c r="AJ371">
        <v>1.91459442452749</v>
      </c>
      <c r="AK371">
        <v>2.27183452895718</v>
      </c>
      <c r="AL371">
        <v>-0.23790422942314901</v>
      </c>
      <c r="AM371">
        <v>-5.0271718819267196E-3</v>
      </c>
      <c r="AN371">
        <v>-0.12879379703880001</v>
      </c>
      <c r="AO371">
        <v>0.17241482996108001</v>
      </c>
      <c r="AP371">
        <v>1000</v>
      </c>
      <c r="AQ371">
        <v>1.59052650907507</v>
      </c>
      <c r="AR371">
        <v>1.94642244118941</v>
      </c>
      <c r="AS371">
        <v>4</v>
      </c>
    </row>
    <row r="372" spans="1:63" x14ac:dyDescent="0.3">
      <c r="A372" t="s">
        <v>1139</v>
      </c>
      <c r="B372" t="s">
        <v>109</v>
      </c>
      <c r="C372" t="s">
        <v>37</v>
      </c>
      <c r="D372" t="s">
        <v>68</v>
      </c>
      <c r="E372" t="s">
        <v>631</v>
      </c>
      <c r="F372">
        <v>4</v>
      </c>
      <c r="G372" t="s">
        <v>24</v>
      </c>
      <c r="H372" t="s">
        <v>26</v>
      </c>
      <c r="I372" t="s">
        <v>35</v>
      </c>
      <c r="J372" t="s">
        <v>31</v>
      </c>
      <c r="K372" t="s">
        <v>111</v>
      </c>
      <c r="L372">
        <v>10</v>
      </c>
      <c r="M372">
        <v>332</v>
      </c>
      <c r="N372">
        <v>42</v>
      </c>
      <c r="O372">
        <v>42</v>
      </c>
      <c r="P372" t="b">
        <v>1</v>
      </c>
      <c r="Q372" t="s">
        <v>248</v>
      </c>
      <c r="R372">
        <v>1.76587273609433</v>
      </c>
      <c r="S372">
        <v>42</v>
      </c>
      <c r="T372">
        <v>0</v>
      </c>
      <c r="U372" t="s">
        <v>1140</v>
      </c>
      <c r="V372" t="s">
        <v>1113</v>
      </c>
      <c r="W372">
        <v>0.90476190476190399</v>
      </c>
      <c r="X372" t="b">
        <v>0</v>
      </c>
      <c r="Y372">
        <v>1428.18038280005</v>
      </c>
      <c r="Z372">
        <v>28.746369699831099</v>
      </c>
      <c r="AA372">
        <v>14547.7060868999</v>
      </c>
      <c r="AB372">
        <v>332</v>
      </c>
      <c r="AC372">
        <v>1.7615281059610399</v>
      </c>
      <c r="AD372">
        <v>2.0971077421895501</v>
      </c>
      <c r="AE372">
        <v>-0.103502338802768</v>
      </c>
      <c r="AF372">
        <v>3.8290090489408103E-2</v>
      </c>
      <c r="AG372">
        <v>1000</v>
      </c>
      <c r="AH372">
        <v>1.6036909802620001</v>
      </c>
      <c r="AI372">
        <v>1.9149354007375301</v>
      </c>
      <c r="AJ372">
        <v>1.9266558226731001</v>
      </c>
      <c r="AK372">
        <v>2.2524705322902601</v>
      </c>
      <c r="AL372">
        <v>-0.25095293989761203</v>
      </c>
      <c r="AM372">
        <v>-9.0954181962478592E-3</v>
      </c>
      <c r="AN372">
        <v>-0.124670596752141</v>
      </c>
      <c r="AO372">
        <v>0.176709557023467</v>
      </c>
      <c r="AP372">
        <v>1000</v>
      </c>
      <c r="AQ372">
        <v>1.60669826739786</v>
      </c>
      <c r="AR372">
        <v>1.91932020691376</v>
      </c>
      <c r="AS372">
        <v>3</v>
      </c>
    </row>
    <row r="373" spans="1:63" x14ac:dyDescent="0.3">
      <c r="A373" t="s">
        <v>1141</v>
      </c>
      <c r="B373" t="s">
        <v>109</v>
      </c>
      <c r="C373" t="s">
        <v>37</v>
      </c>
      <c r="D373" t="s">
        <v>68</v>
      </c>
      <c r="E373" t="s">
        <v>635</v>
      </c>
      <c r="F373">
        <v>5</v>
      </c>
      <c r="G373" t="s">
        <v>24</v>
      </c>
      <c r="H373" t="s">
        <v>36</v>
      </c>
      <c r="I373" t="s">
        <v>27</v>
      </c>
      <c r="J373" t="s">
        <v>31</v>
      </c>
      <c r="K373" t="s">
        <v>111</v>
      </c>
      <c r="L373">
        <v>10</v>
      </c>
      <c r="M373">
        <v>332</v>
      </c>
      <c r="N373">
        <v>42</v>
      </c>
      <c r="O373">
        <v>42</v>
      </c>
      <c r="P373" t="b">
        <v>1</v>
      </c>
      <c r="Q373" t="s">
        <v>248</v>
      </c>
      <c r="R373">
        <v>1.8162609352951899</v>
      </c>
      <c r="S373">
        <v>42</v>
      </c>
      <c r="T373">
        <v>0</v>
      </c>
      <c r="U373" t="s">
        <v>1142</v>
      </c>
      <c r="V373" t="s">
        <v>1110</v>
      </c>
      <c r="W373">
        <v>0.28571428571428498</v>
      </c>
      <c r="X373" t="b">
        <v>0</v>
      </c>
      <c r="Y373">
        <v>950.06550880044199</v>
      </c>
      <c r="Z373">
        <v>61.211274600180303</v>
      </c>
      <c r="AA373">
        <v>14620.4850010999</v>
      </c>
      <c r="AB373">
        <v>332</v>
      </c>
      <c r="AC373">
        <v>1.8098957710955501</v>
      </c>
      <c r="AD373">
        <v>2.1549016175211899</v>
      </c>
      <c r="AE373">
        <v>-0.16516294632683001</v>
      </c>
      <c r="AF373">
        <v>3.4762791862166199E-3</v>
      </c>
      <c r="AG373">
        <v>1000</v>
      </c>
      <c r="AH373">
        <v>1.62204588867633</v>
      </c>
      <c r="AI373">
        <v>1.98643744887954</v>
      </c>
      <c r="AJ373">
        <v>1.9631860368285601</v>
      </c>
      <c r="AK373">
        <v>2.32479502559042</v>
      </c>
      <c r="AL373">
        <v>-0.32761793289279301</v>
      </c>
      <c r="AM373">
        <v>-5.2779503695324699E-2</v>
      </c>
      <c r="AN373">
        <v>-0.134090343581619</v>
      </c>
      <c r="AO373">
        <v>0.128842814453515</v>
      </c>
      <c r="AP373">
        <v>1000</v>
      </c>
      <c r="AQ373">
        <v>1.6252557607937801</v>
      </c>
      <c r="AR373">
        <v>1.9920396777110601</v>
      </c>
      <c r="AS373">
        <v>9</v>
      </c>
    </row>
    <row r="374" spans="1:63" x14ac:dyDescent="0.3">
      <c r="A374" t="s">
        <v>1143</v>
      </c>
      <c r="B374" t="s">
        <v>109</v>
      </c>
      <c r="C374" t="s">
        <v>37</v>
      </c>
      <c r="D374" t="s">
        <v>68</v>
      </c>
      <c r="E374" t="s">
        <v>639</v>
      </c>
      <c r="F374">
        <v>6</v>
      </c>
      <c r="G374" t="s">
        <v>24</v>
      </c>
      <c r="H374" t="s">
        <v>36</v>
      </c>
      <c r="I374" t="s">
        <v>32</v>
      </c>
      <c r="J374" t="s">
        <v>31</v>
      </c>
      <c r="K374" t="s">
        <v>111</v>
      </c>
      <c r="L374">
        <v>10</v>
      </c>
      <c r="M374">
        <v>332</v>
      </c>
      <c r="N374">
        <v>42</v>
      </c>
      <c r="O374">
        <v>42</v>
      </c>
      <c r="P374" t="b">
        <v>1</v>
      </c>
      <c r="Q374" t="s">
        <v>248</v>
      </c>
      <c r="R374">
        <v>1.7850452008025699</v>
      </c>
      <c r="S374">
        <v>42</v>
      </c>
      <c r="T374">
        <v>0</v>
      </c>
      <c r="U374" t="s">
        <v>1144</v>
      </c>
      <c r="V374" t="s">
        <v>1110</v>
      </c>
      <c r="W374">
        <v>0.38095238095237999</v>
      </c>
      <c r="X374" t="b">
        <v>0</v>
      </c>
      <c r="Y374">
        <v>1215.6943983010101</v>
      </c>
      <c r="Z374">
        <v>102.458180799847</v>
      </c>
      <c r="AA374">
        <v>14693.100566699901</v>
      </c>
      <c r="AB374">
        <v>332</v>
      </c>
      <c r="AC374">
        <v>1.78399805634854</v>
      </c>
      <c r="AD374">
        <v>2.1065818867256301</v>
      </c>
      <c r="AE374">
        <v>-0.113495489117148</v>
      </c>
      <c r="AF374">
        <v>7.0478388350231597E-2</v>
      </c>
      <c r="AG374">
        <v>1000</v>
      </c>
      <c r="AH374">
        <v>1.6505232516495301</v>
      </c>
      <c r="AI374">
        <v>1.9380986076017299</v>
      </c>
      <c r="AJ374">
        <v>1.96989382264587</v>
      </c>
      <c r="AK374">
        <v>2.2611430127155598</v>
      </c>
      <c r="AL374">
        <v>-0.241240907257117</v>
      </c>
      <c r="AM374">
        <v>-2.70357471676466E-2</v>
      </c>
      <c r="AN374">
        <v>-3.64179827085142E-2</v>
      </c>
      <c r="AO374">
        <v>0.17970071840028801</v>
      </c>
      <c r="AP374">
        <v>1000</v>
      </c>
      <c r="AQ374">
        <v>1.6493907166285899</v>
      </c>
      <c r="AR374">
        <v>1.9410592216187299</v>
      </c>
      <c r="AS374">
        <v>5</v>
      </c>
    </row>
    <row r="375" spans="1:63" x14ac:dyDescent="0.3">
      <c r="A375" t="s">
        <v>1145</v>
      </c>
      <c r="B375" t="s">
        <v>109</v>
      </c>
      <c r="C375" t="s">
        <v>37</v>
      </c>
      <c r="D375" t="s">
        <v>68</v>
      </c>
      <c r="E375" t="s">
        <v>643</v>
      </c>
      <c r="F375">
        <v>7</v>
      </c>
      <c r="G375" t="s">
        <v>24</v>
      </c>
      <c r="H375" t="s">
        <v>36</v>
      </c>
      <c r="I375" t="s">
        <v>33</v>
      </c>
      <c r="J375" t="s">
        <v>31</v>
      </c>
      <c r="K375" t="s">
        <v>111</v>
      </c>
      <c r="L375">
        <v>10</v>
      </c>
      <c r="M375">
        <v>332</v>
      </c>
      <c r="N375">
        <v>42</v>
      </c>
      <c r="O375">
        <v>42</v>
      </c>
      <c r="P375" t="b">
        <v>1</v>
      </c>
      <c r="Q375" t="s">
        <v>248</v>
      </c>
      <c r="R375">
        <v>1.8195738290307699</v>
      </c>
      <c r="S375">
        <v>42</v>
      </c>
      <c r="T375">
        <v>0</v>
      </c>
      <c r="U375" t="s">
        <v>1146</v>
      </c>
      <c r="V375" t="s">
        <v>1113</v>
      </c>
      <c r="W375">
        <v>0.5</v>
      </c>
      <c r="X375" t="b">
        <v>0</v>
      </c>
      <c r="Y375">
        <v>1099.19256980059</v>
      </c>
      <c r="Z375">
        <v>53.003394800005402</v>
      </c>
      <c r="AA375">
        <v>14766.073213599901</v>
      </c>
      <c r="AB375">
        <v>332</v>
      </c>
      <c r="AC375">
        <v>1.81781321333115</v>
      </c>
      <c r="AD375">
        <v>2.15387164492128</v>
      </c>
      <c r="AE375">
        <v>-0.16404939283700001</v>
      </c>
      <c r="AF375">
        <v>2.2355957078575302E-2</v>
      </c>
      <c r="AG375">
        <v>1000</v>
      </c>
      <c r="AH375">
        <v>1.64560686806808</v>
      </c>
      <c r="AI375">
        <v>1.9862288562997199</v>
      </c>
      <c r="AJ375">
        <v>1.9767847587242799</v>
      </c>
      <c r="AK375">
        <v>2.3274663003368898</v>
      </c>
      <c r="AL375">
        <v>-0.32123150854424898</v>
      </c>
      <c r="AM375">
        <v>-5.4535531507107798E-2</v>
      </c>
      <c r="AN375">
        <v>-0.126994915160901</v>
      </c>
      <c r="AO375">
        <v>0.15161678086097699</v>
      </c>
      <c r="AP375">
        <v>1000</v>
      </c>
      <c r="AQ375">
        <v>1.65246769733591</v>
      </c>
      <c r="AR375">
        <v>1.9862661678014499</v>
      </c>
      <c r="AS375">
        <v>10</v>
      </c>
    </row>
    <row r="376" spans="1:63" x14ac:dyDescent="0.3">
      <c r="A376" t="s">
        <v>1147</v>
      </c>
      <c r="B376" t="s">
        <v>109</v>
      </c>
      <c r="C376" t="s">
        <v>37</v>
      </c>
      <c r="D376" t="s">
        <v>68</v>
      </c>
      <c r="E376" t="s">
        <v>647</v>
      </c>
      <c r="F376">
        <v>8</v>
      </c>
      <c r="G376" t="s">
        <v>24</v>
      </c>
      <c r="H376" t="s">
        <v>36</v>
      </c>
      <c r="I376" t="s">
        <v>34</v>
      </c>
      <c r="J376" t="s">
        <v>31</v>
      </c>
      <c r="K376" t="s">
        <v>111</v>
      </c>
      <c r="L376">
        <v>10</v>
      </c>
      <c r="M376">
        <v>332</v>
      </c>
      <c r="N376">
        <v>42</v>
      </c>
      <c r="O376">
        <v>42</v>
      </c>
      <c r="P376" t="b">
        <v>1</v>
      </c>
      <c r="Q376" t="s">
        <v>248</v>
      </c>
      <c r="R376">
        <v>1.81287331345265</v>
      </c>
      <c r="S376">
        <v>42</v>
      </c>
      <c r="T376">
        <v>0</v>
      </c>
      <c r="U376" t="s">
        <v>1148</v>
      </c>
      <c r="V376" t="s">
        <v>1149</v>
      </c>
      <c r="W376">
        <v>0.238095238095238</v>
      </c>
      <c r="X376" t="b">
        <v>0</v>
      </c>
      <c r="Y376">
        <v>2088.1318169004498</v>
      </c>
      <c r="Z376">
        <v>140.879838000284</v>
      </c>
      <c r="AA376">
        <v>14838.8722229999</v>
      </c>
      <c r="AB376">
        <v>332</v>
      </c>
      <c r="AC376">
        <v>1.8106150461966699</v>
      </c>
      <c r="AD376">
        <v>2.1475788908942599</v>
      </c>
      <c r="AE376">
        <v>-0.15725755262178701</v>
      </c>
      <c r="AF376">
        <v>3.0584664066781599E-2</v>
      </c>
      <c r="AG376">
        <v>1000</v>
      </c>
      <c r="AH376">
        <v>1.65579130516072</v>
      </c>
      <c r="AI376">
        <v>1.96798299760118</v>
      </c>
      <c r="AJ376">
        <v>1.9873240839984401</v>
      </c>
      <c r="AK376">
        <v>2.3047775547225902</v>
      </c>
      <c r="AL376">
        <v>-0.32586162613104802</v>
      </c>
      <c r="AM376">
        <v>-4.6377289094583697E-2</v>
      </c>
      <c r="AN376">
        <v>-0.108053186098274</v>
      </c>
      <c r="AO376">
        <v>0.161940282961134</v>
      </c>
      <c r="AP376">
        <v>1000</v>
      </c>
      <c r="AQ376">
        <v>1.65993054166368</v>
      </c>
      <c r="AR376">
        <v>1.9705222137635501</v>
      </c>
      <c r="AS376">
        <v>8</v>
      </c>
    </row>
    <row r="377" spans="1:63" x14ac:dyDescent="0.3">
      <c r="A377" t="s">
        <v>1150</v>
      </c>
      <c r="B377" t="s">
        <v>109</v>
      </c>
      <c r="C377" t="s">
        <v>37</v>
      </c>
      <c r="D377" t="s">
        <v>68</v>
      </c>
      <c r="E377" t="s">
        <v>652</v>
      </c>
      <c r="F377">
        <v>9</v>
      </c>
      <c r="G377" t="s">
        <v>24</v>
      </c>
      <c r="H377" t="s">
        <v>36</v>
      </c>
      <c r="I377" t="s">
        <v>35</v>
      </c>
      <c r="J377" t="s">
        <v>31</v>
      </c>
      <c r="K377" t="s">
        <v>111</v>
      </c>
      <c r="L377">
        <v>10</v>
      </c>
      <c r="M377">
        <v>332</v>
      </c>
      <c r="N377">
        <v>42</v>
      </c>
      <c r="O377">
        <v>42</v>
      </c>
      <c r="P377" t="b">
        <v>1</v>
      </c>
      <c r="Q377" t="s">
        <v>248</v>
      </c>
      <c r="R377">
        <v>1.8022013220792401</v>
      </c>
      <c r="S377">
        <v>42</v>
      </c>
      <c r="T377">
        <v>0</v>
      </c>
      <c r="U377" t="s">
        <v>1151</v>
      </c>
      <c r="V377" t="s">
        <v>1122</v>
      </c>
      <c r="W377">
        <v>0.238095238095238</v>
      </c>
      <c r="X377" t="b">
        <v>0</v>
      </c>
      <c r="Y377">
        <v>1970.4688160999699</v>
      </c>
      <c r="Z377">
        <v>138.215180500119</v>
      </c>
      <c r="AA377">
        <v>14911.9398029</v>
      </c>
      <c r="AB377">
        <v>332</v>
      </c>
      <c r="AC377">
        <v>1.7984369698777201</v>
      </c>
      <c r="AD377">
        <v>2.1416205780737299</v>
      </c>
      <c r="AE377">
        <v>-0.150844994493464</v>
      </c>
      <c r="AF377">
        <v>9.2958084138046598E-3</v>
      </c>
      <c r="AG377">
        <v>1000</v>
      </c>
      <c r="AH377">
        <v>1.62347920724047</v>
      </c>
      <c r="AI377">
        <v>1.9705708584432</v>
      </c>
      <c r="AJ377">
        <v>1.97193584482384</v>
      </c>
      <c r="AK377">
        <v>2.31522689343914</v>
      </c>
      <c r="AL377">
        <v>-0.29777128957871302</v>
      </c>
      <c r="AM377">
        <v>-5.6241842038001297E-2</v>
      </c>
      <c r="AN377">
        <v>-0.123809089048782</v>
      </c>
      <c r="AO377">
        <v>0.128890476564334</v>
      </c>
      <c r="AP377">
        <v>1000</v>
      </c>
      <c r="AQ377">
        <v>1.6280427973785001</v>
      </c>
      <c r="AR377">
        <v>1.97236054932229</v>
      </c>
      <c r="AS377">
        <v>6</v>
      </c>
    </row>
    <row r="378" spans="1:63" x14ac:dyDescent="0.3">
      <c r="A378" t="s">
        <v>0</v>
      </c>
      <c r="B378" t="s">
        <v>69</v>
      </c>
      <c r="C378" t="s">
        <v>2</v>
      </c>
      <c r="D378" t="s">
        <v>70</v>
      </c>
      <c r="E378" t="s">
        <v>71</v>
      </c>
      <c r="F378" t="s">
        <v>72</v>
      </c>
      <c r="G378" t="s">
        <v>1</v>
      </c>
      <c r="H378" t="s">
        <v>3</v>
      </c>
      <c r="I378" t="s">
        <v>4</v>
      </c>
      <c r="J378" t="s">
        <v>5</v>
      </c>
      <c r="K378" t="s">
        <v>73</v>
      </c>
      <c r="L378" t="s">
        <v>74</v>
      </c>
      <c r="M378" t="s">
        <v>75</v>
      </c>
      <c r="N378" t="s">
        <v>6</v>
      </c>
      <c r="O378" t="s">
        <v>7</v>
      </c>
      <c r="P378" t="s">
        <v>8</v>
      </c>
      <c r="Q378" t="s">
        <v>76</v>
      </c>
      <c r="R378" t="s">
        <v>77</v>
      </c>
      <c r="S378" t="s">
        <v>78</v>
      </c>
      <c r="T378" t="s">
        <v>79</v>
      </c>
      <c r="U378" t="s">
        <v>80</v>
      </c>
      <c r="V378" t="s">
        <v>81</v>
      </c>
      <c r="W378" t="s">
        <v>82</v>
      </c>
      <c r="X378" t="s">
        <v>9</v>
      </c>
      <c r="Y378" t="s">
        <v>83</v>
      </c>
      <c r="Z378" t="s">
        <v>84</v>
      </c>
      <c r="AA378" t="s">
        <v>85</v>
      </c>
      <c r="AB378" t="s">
        <v>10</v>
      </c>
      <c r="AC378" t="s">
        <v>86</v>
      </c>
      <c r="AD378" t="s">
        <v>11</v>
      </c>
      <c r="AE378" t="s">
        <v>87</v>
      </c>
      <c r="AF378" t="s">
        <v>88</v>
      </c>
      <c r="AG378" t="s">
        <v>89</v>
      </c>
      <c r="AH378" t="s">
        <v>90</v>
      </c>
      <c r="AI378" t="s">
        <v>12</v>
      </c>
      <c r="AJ378" t="s">
        <v>91</v>
      </c>
      <c r="AK378" t="s">
        <v>17</v>
      </c>
      <c r="AL378" t="s">
        <v>18</v>
      </c>
      <c r="AM378" t="s">
        <v>92</v>
      </c>
      <c r="AN378" t="s">
        <v>93</v>
      </c>
      <c r="AO378" t="s">
        <v>94</v>
      </c>
      <c r="AP378" t="s">
        <v>95</v>
      </c>
      <c r="AQ378" t="s">
        <v>380</v>
      </c>
      <c r="AR378" t="s">
        <v>381</v>
      </c>
      <c r="AS378" t="s">
        <v>382</v>
      </c>
      <c r="AT378" t="s">
        <v>383</v>
      </c>
      <c r="AU378" t="s">
        <v>96</v>
      </c>
      <c r="AV378" t="s">
        <v>97</v>
      </c>
      <c r="AW378" t="s">
        <v>98</v>
      </c>
      <c r="AX378" t="s">
        <v>99</v>
      </c>
      <c r="AY378" t="s">
        <v>19</v>
      </c>
      <c r="AZ378" t="s">
        <v>20</v>
      </c>
      <c r="BA378" t="s">
        <v>21</v>
      </c>
      <c r="BB378" t="s">
        <v>100</v>
      </c>
      <c r="BC378" t="s">
        <v>101</v>
      </c>
      <c r="BD378" t="s">
        <v>102</v>
      </c>
      <c r="BE378" t="s">
        <v>103</v>
      </c>
      <c r="BF378" t="s">
        <v>22</v>
      </c>
      <c r="BG378" t="s">
        <v>23</v>
      </c>
      <c r="BH378" t="s">
        <v>104</v>
      </c>
      <c r="BI378" t="s">
        <v>105</v>
      </c>
      <c r="BJ378" t="s">
        <v>106</v>
      </c>
      <c r="BK378" t="s">
        <v>107</v>
      </c>
    </row>
    <row r="379" spans="1:63" x14ac:dyDescent="0.3">
      <c r="A379" t="s">
        <v>1152</v>
      </c>
      <c r="B379" t="s">
        <v>109</v>
      </c>
      <c r="C379" t="s">
        <v>25</v>
      </c>
      <c r="D379" t="s">
        <v>67</v>
      </c>
      <c r="E379" t="s">
        <v>611</v>
      </c>
      <c r="F379">
        <v>0</v>
      </c>
      <c r="G379" t="s">
        <v>24</v>
      </c>
      <c r="H379" t="s">
        <v>26</v>
      </c>
      <c r="I379" t="s">
        <v>27</v>
      </c>
      <c r="J379" t="s">
        <v>31</v>
      </c>
      <c r="K379" t="s">
        <v>111</v>
      </c>
      <c r="L379">
        <v>10</v>
      </c>
      <c r="M379">
        <v>332</v>
      </c>
      <c r="N379">
        <v>42</v>
      </c>
      <c r="O379">
        <v>42</v>
      </c>
      <c r="P379" t="b">
        <v>1</v>
      </c>
      <c r="Q379" t="s">
        <v>112</v>
      </c>
      <c r="R379">
        <v>0.33712380544858001</v>
      </c>
      <c r="S379">
        <v>42</v>
      </c>
      <c r="T379">
        <v>0</v>
      </c>
      <c r="U379" t="s">
        <v>1153</v>
      </c>
      <c r="V379" t="s">
        <v>623</v>
      </c>
      <c r="W379">
        <v>0.214285714285714</v>
      </c>
      <c r="X379" t="b">
        <v>0</v>
      </c>
      <c r="Y379">
        <v>1346.2403443005701</v>
      </c>
      <c r="Z379">
        <v>63.6195982999634</v>
      </c>
      <c r="AA379">
        <v>25265.3610239999</v>
      </c>
      <c r="AB379">
        <v>332</v>
      </c>
      <c r="AC379">
        <v>3</v>
      </c>
      <c r="AD379">
        <v>0.34939759036144502</v>
      </c>
      <c r="AE379">
        <v>0.34659566014126097</v>
      </c>
      <c r="AF379">
        <v>0.34753031647441501</v>
      </c>
      <c r="AG379">
        <v>0.34659566014126097</v>
      </c>
      <c r="AH379">
        <v>0.34586915794156498</v>
      </c>
      <c r="AI379">
        <v>1.9543992597336E-2</v>
      </c>
      <c r="AJ379" t="s">
        <v>1154</v>
      </c>
      <c r="AK379">
        <v>0.51093413179498604</v>
      </c>
      <c r="AM379">
        <v>104</v>
      </c>
      <c r="AN379">
        <v>0.33333333333333298</v>
      </c>
      <c r="AO379">
        <v>0.30769230769230699</v>
      </c>
      <c r="AP379">
        <v>0.32</v>
      </c>
      <c r="AQ379">
        <v>109</v>
      </c>
      <c r="AR379">
        <v>0.34693877551020402</v>
      </c>
      <c r="AS379">
        <v>0.31192660550458701</v>
      </c>
      <c r="AT379">
        <v>0.32850241545893699</v>
      </c>
      <c r="AU379">
        <v>119</v>
      </c>
      <c r="AV379">
        <v>0.36231884057970998</v>
      </c>
      <c r="AW379">
        <v>0.42016806722688999</v>
      </c>
      <c r="AX379">
        <v>0.38910505836575798</v>
      </c>
      <c r="AY379">
        <v>1000</v>
      </c>
      <c r="AZ379">
        <v>0.30210766524206001</v>
      </c>
      <c r="BA379">
        <v>0.39339339339339302</v>
      </c>
      <c r="BB379">
        <v>0.29940189355459101</v>
      </c>
      <c r="BC379">
        <v>0.39205499472195299</v>
      </c>
      <c r="BD379">
        <v>0.29713326609665403</v>
      </c>
      <c r="BE379">
        <v>0.39043804533431398</v>
      </c>
      <c r="BF379">
        <v>-5.2421279832271198E-2</v>
      </c>
      <c r="BG379">
        <v>8.8372055731986102E-2</v>
      </c>
      <c r="BH379">
        <v>1000</v>
      </c>
      <c r="BI379">
        <v>0.28968168664377703</v>
      </c>
      <c r="BJ379">
        <v>0.38182642005558598</v>
      </c>
      <c r="BK379">
        <v>10</v>
      </c>
    </row>
    <row r="380" spans="1:63" x14ac:dyDescent="0.3">
      <c r="A380" t="s">
        <v>1155</v>
      </c>
      <c r="B380" t="s">
        <v>109</v>
      </c>
      <c r="C380" t="s">
        <v>25</v>
      </c>
      <c r="D380" t="s">
        <v>67</v>
      </c>
      <c r="E380" t="s">
        <v>616</v>
      </c>
      <c r="F380">
        <v>1</v>
      </c>
      <c r="G380" t="s">
        <v>24</v>
      </c>
      <c r="H380" t="s">
        <v>26</v>
      </c>
      <c r="I380" t="s">
        <v>32</v>
      </c>
      <c r="J380" t="s">
        <v>31</v>
      </c>
      <c r="K380" t="s">
        <v>111</v>
      </c>
      <c r="L380">
        <v>10</v>
      </c>
      <c r="M380">
        <v>332</v>
      </c>
      <c r="N380">
        <v>42</v>
      </c>
      <c r="O380">
        <v>42</v>
      </c>
      <c r="P380" t="b">
        <v>1</v>
      </c>
      <c r="Q380" t="s">
        <v>112</v>
      </c>
      <c r="R380">
        <v>0.40193267722150899</v>
      </c>
      <c r="S380">
        <v>42</v>
      </c>
      <c r="T380">
        <v>0</v>
      </c>
      <c r="U380" t="s">
        <v>1156</v>
      </c>
      <c r="V380" t="s">
        <v>649</v>
      </c>
      <c r="W380">
        <v>0.26190476190476097</v>
      </c>
      <c r="X380" t="b">
        <v>0</v>
      </c>
      <c r="Y380">
        <v>1740.0680574005801</v>
      </c>
      <c r="Z380">
        <v>89.6359397998894</v>
      </c>
      <c r="AA380">
        <v>25365.893871299901</v>
      </c>
      <c r="AB380">
        <v>332</v>
      </c>
      <c r="AC380">
        <v>3</v>
      </c>
      <c r="AD380">
        <v>0.38855421686746899</v>
      </c>
      <c r="AE380">
        <v>0.38763716495772599</v>
      </c>
      <c r="AF380">
        <v>0.38959485801590998</v>
      </c>
      <c r="AG380">
        <v>0.38763716495772599</v>
      </c>
      <c r="AH380">
        <v>0.38822902390741498</v>
      </c>
      <c r="AI380">
        <v>8.0004073369227394E-2</v>
      </c>
      <c r="AJ380" t="s">
        <v>1157</v>
      </c>
      <c r="AK380">
        <v>0.53559005368038104</v>
      </c>
      <c r="AM380">
        <v>104</v>
      </c>
      <c r="AN380">
        <v>0.41052631578947302</v>
      </c>
      <c r="AO380">
        <v>0.375</v>
      </c>
      <c r="AP380">
        <v>0.39195979899497402</v>
      </c>
      <c r="AQ380">
        <v>109</v>
      </c>
      <c r="AR380">
        <v>0.36936936936936898</v>
      </c>
      <c r="AS380">
        <v>0.37614678899082499</v>
      </c>
      <c r="AT380">
        <v>0.37272727272727202</v>
      </c>
      <c r="AU380">
        <v>119</v>
      </c>
      <c r="AV380">
        <v>0.38888888888888801</v>
      </c>
      <c r="AW380">
        <v>0.41176470588235198</v>
      </c>
      <c r="AX380">
        <v>0.4</v>
      </c>
      <c r="AY380">
        <v>1000</v>
      </c>
      <c r="AZ380">
        <v>0.34226190476190399</v>
      </c>
      <c r="BA380">
        <v>0.435435435435435</v>
      </c>
      <c r="BB380">
        <v>0.34170481621880899</v>
      </c>
      <c r="BC380">
        <v>0.43514097965097398</v>
      </c>
      <c r="BD380">
        <v>0.34056266825632198</v>
      </c>
      <c r="BE380">
        <v>0.43374126968091098</v>
      </c>
      <c r="BF380">
        <v>9.5760035888237099E-3</v>
      </c>
      <c r="BG380">
        <v>0.15215174496115</v>
      </c>
      <c r="BH380">
        <v>1000</v>
      </c>
      <c r="BI380">
        <v>0.35169923085132998</v>
      </c>
      <c r="BJ380">
        <v>0.45166227869352799</v>
      </c>
      <c r="BK380">
        <v>3</v>
      </c>
    </row>
    <row r="381" spans="1:63" x14ac:dyDescent="0.3">
      <c r="A381" t="s">
        <v>1158</v>
      </c>
      <c r="B381" t="s">
        <v>109</v>
      </c>
      <c r="C381" t="s">
        <v>25</v>
      </c>
      <c r="D381" t="s">
        <v>67</v>
      </c>
      <c r="E381" t="s">
        <v>621</v>
      </c>
      <c r="F381">
        <v>2</v>
      </c>
      <c r="G381" t="s">
        <v>24</v>
      </c>
      <c r="H381" t="s">
        <v>26</v>
      </c>
      <c r="I381" t="s">
        <v>33</v>
      </c>
      <c r="J381" t="s">
        <v>31</v>
      </c>
      <c r="K381" t="s">
        <v>111</v>
      </c>
      <c r="L381">
        <v>10</v>
      </c>
      <c r="M381">
        <v>332</v>
      </c>
      <c r="N381">
        <v>42</v>
      </c>
      <c r="O381">
        <v>42</v>
      </c>
      <c r="P381" t="b">
        <v>1</v>
      </c>
      <c r="Q381" t="s">
        <v>112</v>
      </c>
      <c r="R381">
        <v>0.36625659677649403</v>
      </c>
      <c r="S381">
        <v>42</v>
      </c>
      <c r="T381">
        <v>0</v>
      </c>
      <c r="U381" t="s">
        <v>1159</v>
      </c>
      <c r="V381" t="s">
        <v>623</v>
      </c>
      <c r="W381">
        <v>0.214285714285714</v>
      </c>
      <c r="X381" t="b">
        <v>0</v>
      </c>
      <c r="Y381">
        <v>1516.8555519998099</v>
      </c>
      <c r="Z381">
        <v>60.598793100041803</v>
      </c>
      <c r="AA381">
        <v>25466.773951199899</v>
      </c>
      <c r="AB381">
        <v>332</v>
      </c>
      <c r="AC381">
        <v>3</v>
      </c>
      <c r="AD381">
        <v>0.39156626506024</v>
      </c>
      <c r="AE381">
        <v>0.39176026797451502</v>
      </c>
      <c r="AF381">
        <v>0.392640489591709</v>
      </c>
      <c r="AG381">
        <v>0.39176026797451502</v>
      </c>
      <c r="AH381">
        <v>0.39208855180281799</v>
      </c>
      <c r="AI381">
        <v>8.5486316033759405E-2</v>
      </c>
      <c r="AJ381" t="s">
        <v>1160</v>
      </c>
      <c r="AK381">
        <v>0.57513412358160698</v>
      </c>
      <c r="AM381">
        <v>104</v>
      </c>
      <c r="AN381">
        <v>0.39047619047618998</v>
      </c>
      <c r="AO381">
        <v>0.394230769230769</v>
      </c>
      <c r="AP381">
        <v>0.392344497607655</v>
      </c>
      <c r="AQ381">
        <v>109</v>
      </c>
      <c r="AR381">
        <v>0.41346153846153799</v>
      </c>
      <c r="AS381">
        <v>0.394495412844036</v>
      </c>
      <c r="AT381">
        <v>0.40375586854459999</v>
      </c>
      <c r="AU381">
        <v>119</v>
      </c>
      <c r="AV381">
        <v>0.37398373983739802</v>
      </c>
      <c r="AW381">
        <v>0.38655462184873901</v>
      </c>
      <c r="AX381">
        <v>0.38016528925619802</v>
      </c>
      <c r="AY381">
        <v>1000</v>
      </c>
      <c r="AZ381">
        <v>0.34426215137292898</v>
      </c>
      <c r="BA381">
        <v>0.44312223766752201</v>
      </c>
      <c r="BB381">
        <v>0.342043516969952</v>
      </c>
      <c r="BC381">
        <v>0.44271257111162599</v>
      </c>
      <c r="BD381">
        <v>0.33984400933981701</v>
      </c>
      <c r="BE381">
        <v>0.442580224611062</v>
      </c>
      <c r="BF381">
        <v>9.5518943005503294E-3</v>
      </c>
      <c r="BG381">
        <v>0.16268575270435001</v>
      </c>
      <c r="BH381">
        <v>1000</v>
      </c>
      <c r="BI381">
        <v>0.32070886631404899</v>
      </c>
      <c r="BJ381">
        <v>0.41287597080965899</v>
      </c>
      <c r="BK381">
        <v>6</v>
      </c>
    </row>
    <row r="382" spans="1:63" x14ac:dyDescent="0.3">
      <c r="A382" t="s">
        <v>1161</v>
      </c>
      <c r="B382" t="s">
        <v>109</v>
      </c>
      <c r="C382" t="s">
        <v>25</v>
      </c>
      <c r="D382" t="s">
        <v>67</v>
      </c>
      <c r="E382" t="s">
        <v>626</v>
      </c>
      <c r="F382">
        <v>3</v>
      </c>
      <c r="G382" t="s">
        <v>24</v>
      </c>
      <c r="H382" t="s">
        <v>26</v>
      </c>
      <c r="I382" t="s">
        <v>34</v>
      </c>
      <c r="J382" t="s">
        <v>31</v>
      </c>
      <c r="K382" t="s">
        <v>111</v>
      </c>
      <c r="L382">
        <v>10</v>
      </c>
      <c r="M382">
        <v>332</v>
      </c>
      <c r="N382">
        <v>42</v>
      </c>
      <c r="O382">
        <v>42</v>
      </c>
      <c r="P382" t="b">
        <v>1</v>
      </c>
      <c r="Q382" t="s">
        <v>112</v>
      </c>
      <c r="R382">
        <v>0.35170446441306502</v>
      </c>
      <c r="S382">
        <v>42</v>
      </c>
      <c r="T382">
        <v>0</v>
      </c>
      <c r="U382" t="s">
        <v>1162</v>
      </c>
      <c r="V382" t="s">
        <v>669</v>
      </c>
      <c r="W382">
        <v>0.19047619047618999</v>
      </c>
      <c r="X382" t="b">
        <v>0</v>
      </c>
      <c r="Y382">
        <v>2893.2784974988899</v>
      </c>
      <c r="Z382">
        <v>164.257752400008</v>
      </c>
      <c r="AA382">
        <v>25567.387552699998</v>
      </c>
      <c r="AB382">
        <v>332</v>
      </c>
      <c r="AC382">
        <v>3</v>
      </c>
      <c r="AD382">
        <v>0.34939759036144502</v>
      </c>
      <c r="AE382">
        <v>0.34791887820759898</v>
      </c>
      <c r="AF382">
        <v>0.34454810740673603</v>
      </c>
      <c r="AG382">
        <v>0.34791887820759898</v>
      </c>
      <c r="AH382">
        <v>0.34373037866164302</v>
      </c>
      <c r="AI382">
        <v>2.04305358460579E-2</v>
      </c>
      <c r="AJ382" t="s">
        <v>1163</v>
      </c>
      <c r="AK382">
        <v>0.54379770541767602</v>
      </c>
      <c r="AM382">
        <v>104</v>
      </c>
      <c r="AN382">
        <v>0.37272727272727202</v>
      </c>
      <c r="AO382">
        <v>0.394230769230769</v>
      </c>
      <c r="AP382">
        <v>0.38317757009345699</v>
      </c>
      <c r="AQ382">
        <v>109</v>
      </c>
      <c r="AR382">
        <v>0.30120481927710802</v>
      </c>
      <c r="AS382">
        <v>0.22935779816513699</v>
      </c>
      <c r="AT382">
        <v>0.26041666666666602</v>
      </c>
      <c r="AU382">
        <v>119</v>
      </c>
      <c r="AV382">
        <v>0.35971223021582699</v>
      </c>
      <c r="AW382">
        <v>0.42016806722688999</v>
      </c>
      <c r="AX382">
        <v>0.387596899224806</v>
      </c>
      <c r="AY382">
        <v>1000</v>
      </c>
      <c r="AZ382">
        <v>0.29305135951661598</v>
      </c>
      <c r="BA382">
        <v>0.40718562874251402</v>
      </c>
      <c r="BB382">
        <v>0.293627104712535</v>
      </c>
      <c r="BC382">
        <v>0.40374912791743001</v>
      </c>
      <c r="BD382">
        <v>0.28761463273797999</v>
      </c>
      <c r="BE382">
        <v>0.39793772784267301</v>
      </c>
      <c r="BF382">
        <v>-6.4852065433606804E-2</v>
      </c>
      <c r="BG382">
        <v>0.102992036768404</v>
      </c>
      <c r="BH382">
        <v>1000</v>
      </c>
      <c r="BI382">
        <v>0.29300696182409602</v>
      </c>
      <c r="BJ382">
        <v>0.40862023153494498</v>
      </c>
      <c r="BK382">
        <v>7</v>
      </c>
    </row>
    <row r="383" spans="1:63" x14ac:dyDescent="0.3">
      <c r="A383" t="s">
        <v>1164</v>
      </c>
      <c r="B383" t="s">
        <v>109</v>
      </c>
      <c r="C383" t="s">
        <v>25</v>
      </c>
      <c r="D383" t="s">
        <v>67</v>
      </c>
      <c r="E383" t="s">
        <v>631</v>
      </c>
      <c r="F383">
        <v>4</v>
      </c>
      <c r="G383" t="s">
        <v>24</v>
      </c>
      <c r="H383" t="s">
        <v>26</v>
      </c>
      <c r="I383" t="s">
        <v>35</v>
      </c>
      <c r="J383" t="s">
        <v>31</v>
      </c>
      <c r="K383" t="s">
        <v>111</v>
      </c>
      <c r="L383">
        <v>10</v>
      </c>
      <c r="M383">
        <v>332</v>
      </c>
      <c r="N383">
        <v>42</v>
      </c>
      <c r="O383">
        <v>42</v>
      </c>
      <c r="P383" t="b">
        <v>1</v>
      </c>
      <c r="Q383" t="s">
        <v>112</v>
      </c>
      <c r="R383">
        <v>0.38378262729995699</v>
      </c>
      <c r="S383">
        <v>42</v>
      </c>
      <c r="T383">
        <v>0</v>
      </c>
      <c r="U383" t="s">
        <v>1165</v>
      </c>
      <c r="V383" t="s">
        <v>669</v>
      </c>
      <c r="W383">
        <v>0.19047619047618999</v>
      </c>
      <c r="X383" t="b">
        <v>0</v>
      </c>
      <c r="Y383">
        <v>2674.7532324998101</v>
      </c>
      <c r="Z383">
        <v>116.141340499918</v>
      </c>
      <c r="AA383">
        <v>25667.937795199901</v>
      </c>
      <c r="AB383">
        <v>332</v>
      </c>
      <c r="AC383">
        <v>3</v>
      </c>
      <c r="AD383">
        <v>0.39156626506024</v>
      </c>
      <c r="AE383">
        <v>0.39003427764895598</v>
      </c>
      <c r="AF383">
        <v>0.392730052080555</v>
      </c>
      <c r="AG383">
        <v>0.39003427764895598</v>
      </c>
      <c r="AH383">
        <v>0.39059261956458202</v>
      </c>
      <c r="AI383">
        <v>8.3704034738447203E-2</v>
      </c>
      <c r="AJ383" t="s">
        <v>1166</v>
      </c>
      <c r="AK383">
        <v>0.52637668403208604</v>
      </c>
      <c r="AM383">
        <v>104</v>
      </c>
      <c r="AN383">
        <v>0.40425531914893598</v>
      </c>
      <c r="AO383">
        <v>0.36538461538461497</v>
      </c>
      <c r="AP383">
        <v>0.38383838383838298</v>
      </c>
      <c r="AQ383">
        <v>109</v>
      </c>
      <c r="AR383">
        <v>0.39047619047618998</v>
      </c>
      <c r="AS383">
        <v>0.37614678899082499</v>
      </c>
      <c r="AT383">
        <v>0.38317757009345699</v>
      </c>
      <c r="AU383">
        <v>119</v>
      </c>
      <c r="AV383">
        <v>0.383458646616541</v>
      </c>
      <c r="AW383">
        <v>0.42857142857142799</v>
      </c>
      <c r="AX383">
        <v>0.40476190476190399</v>
      </c>
      <c r="AY383">
        <v>1000</v>
      </c>
      <c r="AZ383">
        <v>0.33939257439257398</v>
      </c>
      <c r="BA383">
        <v>0.44277965154029197</v>
      </c>
      <c r="BB383">
        <v>0.338049882804415</v>
      </c>
      <c r="BC383">
        <v>0.442542168244416</v>
      </c>
      <c r="BD383">
        <v>0.33512997966161101</v>
      </c>
      <c r="BE383">
        <v>0.44117622780189197</v>
      </c>
      <c r="BF383">
        <v>4.2044527986903803E-3</v>
      </c>
      <c r="BG383">
        <v>0.162406192780465</v>
      </c>
      <c r="BH383">
        <v>1000</v>
      </c>
      <c r="BI383">
        <v>0.33315097240097202</v>
      </c>
      <c r="BJ383">
        <v>0.43229219899341798</v>
      </c>
      <c r="BK383">
        <v>5</v>
      </c>
    </row>
    <row r="384" spans="1:63" x14ac:dyDescent="0.3">
      <c r="A384" t="s">
        <v>1167</v>
      </c>
      <c r="B384" t="s">
        <v>109</v>
      </c>
      <c r="C384" t="s">
        <v>25</v>
      </c>
      <c r="D384" t="s">
        <v>67</v>
      </c>
      <c r="E384" t="s">
        <v>635</v>
      </c>
      <c r="F384">
        <v>5</v>
      </c>
      <c r="G384" t="s">
        <v>24</v>
      </c>
      <c r="H384" t="s">
        <v>36</v>
      </c>
      <c r="I384" t="s">
        <v>27</v>
      </c>
      <c r="J384" t="s">
        <v>31</v>
      </c>
      <c r="K384" t="s">
        <v>111</v>
      </c>
      <c r="L384">
        <v>10</v>
      </c>
      <c r="M384">
        <v>332</v>
      </c>
      <c r="N384">
        <v>42</v>
      </c>
      <c r="O384">
        <v>42</v>
      </c>
      <c r="P384" t="b">
        <v>1</v>
      </c>
      <c r="Q384" t="s">
        <v>112</v>
      </c>
      <c r="R384">
        <v>0.34861289402367701</v>
      </c>
      <c r="S384">
        <v>42</v>
      </c>
      <c r="T384">
        <v>0</v>
      </c>
      <c r="U384" t="s">
        <v>1168</v>
      </c>
      <c r="V384" t="s">
        <v>618</v>
      </c>
      <c r="W384">
        <v>0.19047619047618999</v>
      </c>
      <c r="X384" t="b">
        <v>0</v>
      </c>
      <c r="Y384">
        <v>1481.44731089996</v>
      </c>
      <c r="Z384">
        <v>100.22567150019999</v>
      </c>
      <c r="AA384">
        <v>25769.0814665</v>
      </c>
      <c r="AB384">
        <v>332</v>
      </c>
      <c r="AC384">
        <v>3</v>
      </c>
      <c r="AD384">
        <v>0.373493975903614</v>
      </c>
      <c r="AE384">
        <v>0.371648588863915</v>
      </c>
      <c r="AF384">
        <v>0.37421283877976702</v>
      </c>
      <c r="AG384">
        <v>0.371648588863915</v>
      </c>
      <c r="AH384">
        <v>0.37218066971976999</v>
      </c>
      <c r="AI384">
        <v>5.6983380741640999E-2</v>
      </c>
      <c r="AJ384" t="s">
        <v>1169</v>
      </c>
      <c r="AK384">
        <v>0.54947437233403595</v>
      </c>
      <c r="AM384">
        <v>104</v>
      </c>
      <c r="AN384">
        <v>0.39560439560439498</v>
      </c>
      <c r="AO384">
        <v>0.34615384615384598</v>
      </c>
      <c r="AP384">
        <v>0.36923076923076897</v>
      </c>
      <c r="AQ384">
        <v>109</v>
      </c>
      <c r="AR384">
        <v>0.33333333333333298</v>
      </c>
      <c r="AS384">
        <v>0.34862385321100903</v>
      </c>
      <c r="AT384">
        <v>0.34080717488789197</v>
      </c>
      <c r="AU384">
        <v>119</v>
      </c>
      <c r="AV384">
        <v>0.39370078740157399</v>
      </c>
      <c r="AW384">
        <v>0.42016806722688999</v>
      </c>
      <c r="AX384">
        <v>0.40650406504065001</v>
      </c>
      <c r="AY384">
        <v>1000</v>
      </c>
      <c r="AZ384">
        <v>0.33134283402265702</v>
      </c>
      <c r="BA384">
        <v>0.41868687324146803</v>
      </c>
      <c r="BB384">
        <v>0.32968071427728601</v>
      </c>
      <c r="BC384">
        <v>0.41611983639729999</v>
      </c>
      <c r="BD384">
        <v>0.32905170181563398</v>
      </c>
      <c r="BE384">
        <v>0.41460171249675398</v>
      </c>
      <c r="BF384">
        <v>-6.2813378189403796E-3</v>
      </c>
      <c r="BG384">
        <v>0.12600410047052299</v>
      </c>
      <c r="BH384">
        <v>1000</v>
      </c>
      <c r="BI384">
        <v>0.31347770722537999</v>
      </c>
      <c r="BJ384">
        <v>0.38515111457505502</v>
      </c>
      <c r="BK384">
        <v>9</v>
      </c>
    </row>
    <row r="385" spans="1:63" x14ac:dyDescent="0.3">
      <c r="A385" t="s">
        <v>1170</v>
      </c>
      <c r="B385" t="s">
        <v>109</v>
      </c>
      <c r="C385" t="s">
        <v>25</v>
      </c>
      <c r="D385" t="s">
        <v>67</v>
      </c>
      <c r="E385" t="s">
        <v>639</v>
      </c>
      <c r="F385">
        <v>6</v>
      </c>
      <c r="G385" t="s">
        <v>24</v>
      </c>
      <c r="H385" t="s">
        <v>36</v>
      </c>
      <c r="I385" t="s">
        <v>32</v>
      </c>
      <c r="J385" t="s">
        <v>31</v>
      </c>
      <c r="K385" t="s">
        <v>111</v>
      </c>
      <c r="L385">
        <v>10</v>
      </c>
      <c r="M385">
        <v>332</v>
      </c>
      <c r="N385">
        <v>42</v>
      </c>
      <c r="O385">
        <v>42</v>
      </c>
      <c r="P385" t="b">
        <v>1</v>
      </c>
      <c r="Q385" t="s">
        <v>112</v>
      </c>
      <c r="R385">
        <v>0.46070104122093802</v>
      </c>
      <c r="S385">
        <v>42</v>
      </c>
      <c r="T385">
        <v>0</v>
      </c>
      <c r="U385" t="s">
        <v>1171</v>
      </c>
      <c r="V385" t="s">
        <v>618</v>
      </c>
      <c r="W385">
        <v>0.238095238095238</v>
      </c>
      <c r="X385" t="b">
        <v>0</v>
      </c>
      <c r="Y385">
        <v>1924.9215959993801</v>
      </c>
      <c r="Z385">
        <v>120.265794900071</v>
      </c>
      <c r="AA385">
        <v>25869.6564757999</v>
      </c>
      <c r="AB385">
        <v>332</v>
      </c>
      <c r="AC385">
        <v>3</v>
      </c>
      <c r="AD385">
        <v>0.46084337349397497</v>
      </c>
      <c r="AE385">
        <v>0.45996913232477099</v>
      </c>
      <c r="AF385">
        <v>0.45910894660894602</v>
      </c>
      <c r="AG385">
        <v>0.45996913232477099</v>
      </c>
      <c r="AH385">
        <v>0.45872917664900398</v>
      </c>
      <c r="AI385">
        <v>0.18986647590602901</v>
      </c>
      <c r="AJ385" t="s">
        <v>1172</v>
      </c>
      <c r="AK385">
        <v>0.61326586876420397</v>
      </c>
      <c r="AM385">
        <v>104</v>
      </c>
      <c r="AN385">
        <v>0.46363636363636301</v>
      </c>
      <c r="AO385">
        <v>0.49038461538461497</v>
      </c>
      <c r="AP385">
        <v>0.47663551401869098</v>
      </c>
      <c r="AQ385">
        <v>109</v>
      </c>
      <c r="AR385">
        <v>0.4375</v>
      </c>
      <c r="AS385">
        <v>0.38532110091743099</v>
      </c>
      <c r="AT385">
        <v>0.40975609756097497</v>
      </c>
      <c r="AU385">
        <v>119</v>
      </c>
      <c r="AV385">
        <v>0.476190476190476</v>
      </c>
      <c r="AW385">
        <v>0.504201680672268</v>
      </c>
      <c r="AX385">
        <v>0.48979591836734598</v>
      </c>
      <c r="AY385">
        <v>1000</v>
      </c>
      <c r="AZ385">
        <v>0.40771030550774501</v>
      </c>
      <c r="BA385">
        <v>0.51796677728879503</v>
      </c>
      <c r="BB385">
        <v>0.40838724329831699</v>
      </c>
      <c r="BC385">
        <v>0.51614137531338999</v>
      </c>
      <c r="BD385">
        <v>0.40545532480233598</v>
      </c>
      <c r="BE385">
        <v>0.511265415110147</v>
      </c>
      <c r="BF385">
        <v>0.11045913466688199</v>
      </c>
      <c r="BG385">
        <v>0.27492256703328299</v>
      </c>
      <c r="BH385">
        <v>1000</v>
      </c>
      <c r="BI385">
        <v>0.40128617987371101</v>
      </c>
      <c r="BJ385">
        <v>0.52014223302637896</v>
      </c>
      <c r="BK385">
        <v>2</v>
      </c>
    </row>
    <row r="386" spans="1:63" x14ac:dyDescent="0.3">
      <c r="A386" t="s">
        <v>1173</v>
      </c>
      <c r="B386" t="s">
        <v>109</v>
      </c>
      <c r="C386" t="s">
        <v>25</v>
      </c>
      <c r="D386" t="s">
        <v>67</v>
      </c>
      <c r="E386" t="s">
        <v>643</v>
      </c>
      <c r="F386">
        <v>7</v>
      </c>
      <c r="G386" t="s">
        <v>24</v>
      </c>
      <c r="H386" t="s">
        <v>36</v>
      </c>
      <c r="I386" t="s">
        <v>33</v>
      </c>
      <c r="J386" t="s">
        <v>31</v>
      </c>
      <c r="K386" t="s">
        <v>111</v>
      </c>
      <c r="L386">
        <v>10</v>
      </c>
      <c r="M386">
        <v>332</v>
      </c>
      <c r="N386">
        <v>42</v>
      </c>
      <c r="O386">
        <v>42</v>
      </c>
      <c r="P386" t="b">
        <v>1</v>
      </c>
      <c r="Q386" t="s">
        <v>112</v>
      </c>
      <c r="R386">
        <v>0.35013550135501298</v>
      </c>
      <c r="S386">
        <v>42</v>
      </c>
      <c r="T386">
        <v>0</v>
      </c>
      <c r="U386" t="s">
        <v>1174</v>
      </c>
      <c r="V386" t="s">
        <v>618</v>
      </c>
      <c r="W386">
        <v>0.214285714285714</v>
      </c>
      <c r="X386" t="b">
        <v>0</v>
      </c>
      <c r="Y386">
        <v>1783.90147910069</v>
      </c>
      <c r="Z386">
        <v>112.00116869993499</v>
      </c>
      <c r="AA386">
        <v>25970.266184</v>
      </c>
      <c r="AB386">
        <v>332</v>
      </c>
      <c r="AC386">
        <v>3</v>
      </c>
      <c r="AD386">
        <v>0.36445783132530102</v>
      </c>
      <c r="AE386">
        <v>0.36243721200547901</v>
      </c>
      <c r="AF386">
        <v>0.36243721200547901</v>
      </c>
      <c r="AG386">
        <v>0.36243721200547901</v>
      </c>
      <c r="AH386">
        <v>0.36243721200547901</v>
      </c>
      <c r="AI386">
        <v>4.5170787558269497E-2</v>
      </c>
      <c r="AJ386" t="s">
        <v>1175</v>
      </c>
      <c r="AK386">
        <v>0.52089133540129195</v>
      </c>
      <c r="AM386">
        <v>104</v>
      </c>
      <c r="AN386">
        <v>0.32692307692307598</v>
      </c>
      <c r="AO386">
        <v>0.32692307692307598</v>
      </c>
      <c r="AP386">
        <v>0.32692307692307598</v>
      </c>
      <c r="AQ386">
        <v>109</v>
      </c>
      <c r="AR386">
        <v>0.34862385321100903</v>
      </c>
      <c r="AS386">
        <v>0.34862385321100903</v>
      </c>
      <c r="AT386">
        <v>0.34862385321100903</v>
      </c>
      <c r="AU386">
        <v>119</v>
      </c>
      <c r="AV386">
        <v>0.41176470588235198</v>
      </c>
      <c r="AW386">
        <v>0.41176470588235198</v>
      </c>
      <c r="AX386">
        <v>0.41176470588235198</v>
      </c>
      <c r="AY386">
        <v>1000</v>
      </c>
      <c r="AZ386">
        <v>0.30720585042874199</v>
      </c>
      <c r="BA386">
        <v>0.42425383351588097</v>
      </c>
      <c r="BB386">
        <v>0.304717593302963</v>
      </c>
      <c r="BC386">
        <v>0.42276513814185701</v>
      </c>
      <c r="BD386">
        <v>0.30538837487334403</v>
      </c>
      <c r="BE386">
        <v>0.42069132627675998</v>
      </c>
      <c r="BF386">
        <v>-3.9783518861161903E-2</v>
      </c>
      <c r="BG386">
        <v>0.13518855806351199</v>
      </c>
      <c r="BH386">
        <v>1000</v>
      </c>
      <c r="BI386">
        <v>0.28660656010249502</v>
      </c>
      <c r="BJ386">
        <v>0.41778639961490499</v>
      </c>
      <c r="BK386">
        <v>8</v>
      </c>
    </row>
    <row r="387" spans="1:63" x14ac:dyDescent="0.3">
      <c r="A387" t="s">
        <v>1176</v>
      </c>
      <c r="B387" t="s">
        <v>109</v>
      </c>
      <c r="C387" t="s">
        <v>25</v>
      </c>
      <c r="D387" t="s">
        <v>67</v>
      </c>
      <c r="E387" t="s">
        <v>647</v>
      </c>
      <c r="F387">
        <v>8</v>
      </c>
      <c r="G387" t="s">
        <v>24</v>
      </c>
      <c r="H387" t="s">
        <v>36</v>
      </c>
      <c r="I387" t="s">
        <v>34</v>
      </c>
      <c r="J387" t="s">
        <v>31</v>
      </c>
      <c r="K387" t="s">
        <v>111</v>
      </c>
      <c r="L387">
        <v>10</v>
      </c>
      <c r="M387">
        <v>332</v>
      </c>
      <c r="N387">
        <v>42</v>
      </c>
      <c r="O387">
        <v>42</v>
      </c>
      <c r="P387" t="b">
        <v>1</v>
      </c>
      <c r="Q387" t="s">
        <v>112</v>
      </c>
      <c r="R387">
        <v>0.46462701469119899</v>
      </c>
      <c r="S387">
        <v>42</v>
      </c>
      <c r="T387">
        <v>0</v>
      </c>
      <c r="U387" t="s">
        <v>1177</v>
      </c>
      <c r="V387" t="s">
        <v>676</v>
      </c>
      <c r="W387">
        <v>0.26190476190476097</v>
      </c>
      <c r="X387" t="b">
        <v>0</v>
      </c>
      <c r="Y387">
        <v>3163.1160900003701</v>
      </c>
      <c r="Z387">
        <v>196.03084659983799</v>
      </c>
      <c r="AA387">
        <v>26070.8958796999</v>
      </c>
      <c r="AB387">
        <v>332</v>
      </c>
      <c r="AC387">
        <v>3</v>
      </c>
      <c r="AD387">
        <v>0.47289156626506001</v>
      </c>
      <c r="AE387">
        <v>0.47172464610402998</v>
      </c>
      <c r="AF387">
        <v>0.47219240894279102</v>
      </c>
      <c r="AG387">
        <v>0.47172464610402998</v>
      </c>
      <c r="AH387">
        <v>0.47187150402943201</v>
      </c>
      <c r="AI387">
        <v>0.20752280479390001</v>
      </c>
      <c r="AJ387" t="s">
        <v>1178</v>
      </c>
      <c r="AK387">
        <v>0.64532779770118098</v>
      </c>
      <c r="AM387">
        <v>104</v>
      </c>
      <c r="AN387">
        <v>0.524752475247524</v>
      </c>
      <c r="AO387">
        <v>0.50961538461538403</v>
      </c>
      <c r="AP387">
        <v>0.517073170731707</v>
      </c>
      <c r="AQ387">
        <v>109</v>
      </c>
      <c r="AR387">
        <v>0.37962962962962898</v>
      </c>
      <c r="AS387">
        <v>0.37614678899082499</v>
      </c>
      <c r="AT387">
        <v>0.37788018433179699</v>
      </c>
      <c r="AU387">
        <v>119</v>
      </c>
      <c r="AV387">
        <v>0.51219512195121897</v>
      </c>
      <c r="AW387">
        <v>0.52941176470588203</v>
      </c>
      <c r="AX387">
        <v>0.52066115702479299</v>
      </c>
      <c r="AY387">
        <v>1000</v>
      </c>
      <c r="AZ387">
        <v>0.42040839933589103</v>
      </c>
      <c r="BA387">
        <v>0.52711254107338401</v>
      </c>
      <c r="BB387">
        <v>0.41815773474518603</v>
      </c>
      <c r="BC387">
        <v>0.52382906548473895</v>
      </c>
      <c r="BD387">
        <v>0.41868024214424399</v>
      </c>
      <c r="BE387">
        <v>0.52300178650751405</v>
      </c>
      <c r="BF387">
        <v>0.12688950553869</v>
      </c>
      <c r="BG387">
        <v>0.28537299145189998</v>
      </c>
      <c r="BH387">
        <v>1000</v>
      </c>
      <c r="BI387">
        <v>0.40040035317294997</v>
      </c>
      <c r="BJ387">
        <v>0.52156023250814898</v>
      </c>
      <c r="BK387">
        <v>1</v>
      </c>
    </row>
    <row r="388" spans="1:63" x14ac:dyDescent="0.3">
      <c r="A388" t="s">
        <v>1179</v>
      </c>
      <c r="B388" t="s">
        <v>109</v>
      </c>
      <c r="C388" t="s">
        <v>25</v>
      </c>
      <c r="D388" t="s">
        <v>67</v>
      </c>
      <c r="E388" t="s">
        <v>652</v>
      </c>
      <c r="F388">
        <v>9</v>
      </c>
      <c r="G388" t="s">
        <v>24</v>
      </c>
      <c r="H388" t="s">
        <v>36</v>
      </c>
      <c r="I388" t="s">
        <v>35</v>
      </c>
      <c r="J388" t="s">
        <v>31</v>
      </c>
      <c r="K388" t="s">
        <v>111</v>
      </c>
      <c r="L388">
        <v>10</v>
      </c>
      <c r="M388">
        <v>332</v>
      </c>
      <c r="N388">
        <v>42</v>
      </c>
      <c r="O388">
        <v>42</v>
      </c>
      <c r="P388" t="b">
        <v>1</v>
      </c>
      <c r="Q388" t="s">
        <v>112</v>
      </c>
      <c r="R388">
        <v>0.39721865639708998</v>
      </c>
      <c r="S388">
        <v>42</v>
      </c>
      <c r="T388">
        <v>0</v>
      </c>
      <c r="U388" t="s">
        <v>1180</v>
      </c>
      <c r="V388" t="s">
        <v>618</v>
      </c>
      <c r="W388">
        <v>0.214285714285714</v>
      </c>
      <c r="X388" t="b">
        <v>0</v>
      </c>
      <c r="Y388">
        <v>3055.3880720001698</v>
      </c>
      <c r="Z388">
        <v>183.259849100373</v>
      </c>
      <c r="AA388">
        <v>26172.5287418999</v>
      </c>
      <c r="AB388">
        <v>332</v>
      </c>
      <c r="AC388">
        <v>3</v>
      </c>
      <c r="AD388">
        <v>0.39156626506024</v>
      </c>
      <c r="AE388">
        <v>0.39014547244444697</v>
      </c>
      <c r="AF388">
        <v>0.39033422973492099</v>
      </c>
      <c r="AG388">
        <v>0.39014547244444697</v>
      </c>
      <c r="AH388">
        <v>0.38899101307189499</v>
      </c>
      <c r="AI388">
        <v>8.3707725209891698E-2</v>
      </c>
      <c r="AJ388" t="s">
        <v>1181</v>
      </c>
      <c r="AK388">
        <v>0.55093554020957103</v>
      </c>
      <c r="AM388">
        <v>104</v>
      </c>
      <c r="AN388">
        <v>0.44</v>
      </c>
      <c r="AO388">
        <v>0.42307692307692302</v>
      </c>
      <c r="AP388">
        <v>0.43137254901960698</v>
      </c>
      <c r="AQ388">
        <v>109</v>
      </c>
      <c r="AR388">
        <v>0.336842105263157</v>
      </c>
      <c r="AS388">
        <v>0.293577981651376</v>
      </c>
      <c r="AT388">
        <v>0.31372549019607798</v>
      </c>
      <c r="AU388">
        <v>119</v>
      </c>
      <c r="AV388">
        <v>0.39416058394160502</v>
      </c>
      <c r="AW388">
        <v>0.45378151260504201</v>
      </c>
      <c r="AX388">
        <v>0.421875</v>
      </c>
      <c r="AY388">
        <v>1000</v>
      </c>
      <c r="AZ388">
        <v>0.34834834834834799</v>
      </c>
      <c r="BA388">
        <v>0.43161094224924001</v>
      </c>
      <c r="BB388">
        <v>0.34965649481002697</v>
      </c>
      <c r="BC388">
        <v>0.43178725241034299</v>
      </c>
      <c r="BD388">
        <v>0.345763041699643</v>
      </c>
      <c r="BE388">
        <v>0.42847747292508798</v>
      </c>
      <c r="BF388">
        <v>1.79090875063386E-2</v>
      </c>
      <c r="BG388">
        <v>0.14656845320075301</v>
      </c>
      <c r="BH388">
        <v>1000</v>
      </c>
      <c r="BI388">
        <v>0.347956739007177</v>
      </c>
      <c r="BJ388">
        <v>0.44699147367472097</v>
      </c>
      <c r="BK388">
        <v>4</v>
      </c>
    </row>
    <row r="389" spans="1:63" x14ac:dyDescent="0.3">
      <c r="A389" t="s">
        <v>1182</v>
      </c>
      <c r="B389" t="s">
        <v>109</v>
      </c>
      <c r="C389" t="s">
        <v>37</v>
      </c>
      <c r="D389" t="s">
        <v>67</v>
      </c>
      <c r="E389" t="s">
        <v>611</v>
      </c>
      <c r="F389">
        <v>0</v>
      </c>
      <c r="G389" t="s">
        <v>24</v>
      </c>
      <c r="H389" t="s">
        <v>26</v>
      </c>
      <c r="I389" t="s">
        <v>27</v>
      </c>
      <c r="J389" t="s">
        <v>31</v>
      </c>
      <c r="K389" t="s">
        <v>111</v>
      </c>
      <c r="L389">
        <v>10</v>
      </c>
      <c r="M389">
        <v>332</v>
      </c>
      <c r="N389">
        <v>42</v>
      </c>
      <c r="O389">
        <v>42</v>
      </c>
      <c r="P389" t="b">
        <v>1</v>
      </c>
      <c r="Q389" t="s">
        <v>112</v>
      </c>
      <c r="R389">
        <v>0.320281100946125</v>
      </c>
      <c r="S389">
        <v>42</v>
      </c>
      <c r="T389">
        <v>0</v>
      </c>
      <c r="U389" t="s">
        <v>1183</v>
      </c>
      <c r="V389" t="s">
        <v>613</v>
      </c>
      <c r="W389">
        <v>0.214285714285714</v>
      </c>
      <c r="X389" t="b">
        <v>0</v>
      </c>
      <c r="Y389">
        <v>1345.5168957994299</v>
      </c>
      <c r="Z389">
        <v>62.288234300154699</v>
      </c>
      <c r="AA389">
        <v>25720.389287499998</v>
      </c>
      <c r="AB389">
        <v>332</v>
      </c>
      <c r="AC389">
        <v>3</v>
      </c>
      <c r="AD389">
        <v>0.37048192771084298</v>
      </c>
      <c r="AE389">
        <v>0.32911255376196002</v>
      </c>
      <c r="AF389">
        <v>0.32333370820212898</v>
      </c>
      <c r="AG389">
        <v>0.32911255376196002</v>
      </c>
      <c r="AH389">
        <v>0.32466421657535399</v>
      </c>
      <c r="AI389">
        <v>5.4094966637277496E-3</v>
      </c>
      <c r="AJ389" t="s">
        <v>1184</v>
      </c>
      <c r="AK389">
        <v>0.46723326985913299</v>
      </c>
      <c r="AM389">
        <v>103</v>
      </c>
      <c r="AN389">
        <v>0.35416666666666602</v>
      </c>
      <c r="AO389">
        <v>0.33009708737864002</v>
      </c>
      <c r="AP389">
        <v>0.34170854271356699</v>
      </c>
      <c r="AQ389">
        <v>148</v>
      </c>
      <c r="AR389">
        <v>0.461988304093567</v>
      </c>
      <c r="AS389">
        <v>0.53378378378378299</v>
      </c>
      <c r="AT389">
        <v>0.49529780564263298</v>
      </c>
      <c r="AU389">
        <v>81</v>
      </c>
      <c r="AV389">
        <v>0.15384615384615299</v>
      </c>
      <c r="AW389">
        <v>0.12345679012345601</v>
      </c>
      <c r="AX389">
        <v>0.13698630136986301</v>
      </c>
      <c r="AY389">
        <v>1000</v>
      </c>
      <c r="AZ389">
        <v>0.30697376708015001</v>
      </c>
      <c r="BA389">
        <v>0.43712574850299402</v>
      </c>
      <c r="BB389">
        <v>0.27781712360333499</v>
      </c>
      <c r="BC389">
        <v>0.38818462429417699</v>
      </c>
      <c r="BD389">
        <v>0.27080945697136299</v>
      </c>
      <c r="BE389">
        <v>0.38140624281907698</v>
      </c>
      <c r="BF389">
        <v>-7.9633450963318406E-2</v>
      </c>
      <c r="BG389">
        <v>9.8020912610438202E-2</v>
      </c>
      <c r="BH389">
        <v>1000</v>
      </c>
      <c r="BI389">
        <v>0.267761139991474</v>
      </c>
      <c r="BJ389">
        <v>0.378601093048201</v>
      </c>
      <c r="BK389">
        <v>3</v>
      </c>
    </row>
    <row r="390" spans="1:63" x14ac:dyDescent="0.3">
      <c r="A390" t="s">
        <v>1185</v>
      </c>
      <c r="B390" t="s">
        <v>109</v>
      </c>
      <c r="C390" t="s">
        <v>37</v>
      </c>
      <c r="D390" t="s">
        <v>67</v>
      </c>
      <c r="E390" t="s">
        <v>616</v>
      </c>
      <c r="F390">
        <v>1</v>
      </c>
      <c r="G390" t="s">
        <v>24</v>
      </c>
      <c r="H390" t="s">
        <v>26</v>
      </c>
      <c r="I390" t="s">
        <v>32</v>
      </c>
      <c r="J390" t="s">
        <v>31</v>
      </c>
      <c r="K390" t="s">
        <v>111</v>
      </c>
      <c r="L390">
        <v>10</v>
      </c>
      <c r="M390">
        <v>332</v>
      </c>
      <c r="N390">
        <v>42</v>
      </c>
      <c r="O390">
        <v>42</v>
      </c>
      <c r="P390" t="b">
        <v>1</v>
      </c>
      <c r="Q390" t="s">
        <v>112</v>
      </c>
      <c r="R390">
        <v>0.306546152943936</v>
      </c>
      <c r="S390">
        <v>42</v>
      </c>
      <c r="T390">
        <v>0</v>
      </c>
      <c r="U390" t="s">
        <v>1186</v>
      </c>
      <c r="V390" t="s">
        <v>623</v>
      </c>
      <c r="W390">
        <v>0.26190476190476097</v>
      </c>
      <c r="X390" t="b">
        <v>0</v>
      </c>
      <c r="Y390">
        <v>1772.6514446994399</v>
      </c>
      <c r="Z390">
        <v>69.045417199726202</v>
      </c>
      <c r="AA390">
        <v>25822.980765099899</v>
      </c>
      <c r="AB390">
        <v>332</v>
      </c>
      <c r="AC390">
        <v>3</v>
      </c>
      <c r="AD390">
        <v>0.373493975903614</v>
      </c>
      <c r="AE390">
        <v>0.34001072269680599</v>
      </c>
      <c r="AF390">
        <v>0.33614670243778499</v>
      </c>
      <c r="AG390">
        <v>0.34001072269680599</v>
      </c>
      <c r="AH390">
        <v>0.33604212551580898</v>
      </c>
      <c r="AI390">
        <v>1.0884997631397299E-2</v>
      </c>
      <c r="AJ390" t="s">
        <v>1187</v>
      </c>
      <c r="AK390">
        <v>0.52214917163472097</v>
      </c>
      <c r="AM390">
        <v>103</v>
      </c>
      <c r="AN390">
        <v>0.36792452830188599</v>
      </c>
      <c r="AO390">
        <v>0.37864077669902901</v>
      </c>
      <c r="AP390">
        <v>0.37320574162679399</v>
      </c>
      <c r="AQ390">
        <v>148</v>
      </c>
      <c r="AR390">
        <v>0.43712574850299402</v>
      </c>
      <c r="AS390">
        <v>0.49324324324324298</v>
      </c>
      <c r="AT390">
        <v>0.46349206349206301</v>
      </c>
      <c r="AU390">
        <v>81</v>
      </c>
      <c r="AV390">
        <v>0.20338983050847401</v>
      </c>
      <c r="AW390">
        <v>0.148148148148148</v>
      </c>
      <c r="AX390">
        <v>0.17142857142857101</v>
      </c>
      <c r="AY390">
        <v>1000</v>
      </c>
      <c r="AZ390">
        <v>0.319402985074626</v>
      </c>
      <c r="BA390">
        <v>0.42814371257485001</v>
      </c>
      <c r="BB390">
        <v>0.28977071304542401</v>
      </c>
      <c r="BC390">
        <v>0.391125125797325</v>
      </c>
      <c r="BD390">
        <v>0.28449721203690198</v>
      </c>
      <c r="BE390">
        <v>0.38590565408312899</v>
      </c>
      <c r="BF390">
        <v>-7.2685328742354102E-2</v>
      </c>
      <c r="BG390">
        <v>9.8341391262747005E-2</v>
      </c>
      <c r="BH390">
        <v>1000</v>
      </c>
      <c r="BI390">
        <v>0.25670281483797702</v>
      </c>
      <c r="BJ390">
        <v>0.35976181309066602</v>
      </c>
      <c r="BK390">
        <v>6</v>
      </c>
    </row>
    <row r="391" spans="1:63" x14ac:dyDescent="0.3">
      <c r="A391" t="s">
        <v>1188</v>
      </c>
      <c r="B391" t="s">
        <v>109</v>
      </c>
      <c r="C391" t="s">
        <v>37</v>
      </c>
      <c r="D391" t="s">
        <v>67</v>
      </c>
      <c r="E391" t="s">
        <v>621</v>
      </c>
      <c r="F391">
        <v>2</v>
      </c>
      <c r="G391" t="s">
        <v>24</v>
      </c>
      <c r="H391" t="s">
        <v>26</v>
      </c>
      <c r="I391" t="s">
        <v>33</v>
      </c>
      <c r="J391" t="s">
        <v>31</v>
      </c>
      <c r="K391" t="s">
        <v>111</v>
      </c>
      <c r="L391">
        <v>10</v>
      </c>
      <c r="M391">
        <v>332</v>
      </c>
      <c r="N391">
        <v>42</v>
      </c>
      <c r="O391">
        <v>42</v>
      </c>
      <c r="P391" t="b">
        <v>1</v>
      </c>
      <c r="Q391" t="s">
        <v>112</v>
      </c>
      <c r="R391">
        <v>0.27532078348580802</v>
      </c>
      <c r="S391">
        <v>42</v>
      </c>
      <c r="T391">
        <v>0</v>
      </c>
      <c r="U391" t="s">
        <v>1189</v>
      </c>
      <c r="V391" t="s">
        <v>623</v>
      </c>
      <c r="W391">
        <v>0.40476190476190399</v>
      </c>
      <c r="X391" t="b">
        <v>0</v>
      </c>
      <c r="Y391">
        <v>1568.61805239965</v>
      </c>
      <c r="Z391">
        <v>69.599157400080003</v>
      </c>
      <c r="AA391">
        <v>25925.262413299901</v>
      </c>
      <c r="AB391">
        <v>332</v>
      </c>
      <c r="AC391">
        <v>3</v>
      </c>
      <c r="AD391">
        <v>0.32228915662650598</v>
      </c>
      <c r="AE391">
        <v>0.29690747921600102</v>
      </c>
      <c r="AF391">
        <v>0.29421004183996102</v>
      </c>
      <c r="AG391">
        <v>0.29690747921600102</v>
      </c>
      <c r="AH391">
        <v>0.29413403497910501</v>
      </c>
      <c r="AI391">
        <v>-6.7635551533046595E-2</v>
      </c>
      <c r="AJ391" t="s">
        <v>1190</v>
      </c>
      <c r="AK391">
        <v>0.48822085451905101</v>
      </c>
      <c r="AM391">
        <v>103</v>
      </c>
      <c r="AN391">
        <v>0.33644859813084099</v>
      </c>
      <c r="AO391">
        <v>0.34951456310679602</v>
      </c>
      <c r="AP391">
        <v>0.34285714285714203</v>
      </c>
      <c r="AQ391">
        <v>148</v>
      </c>
      <c r="AR391">
        <v>0.36585365853658502</v>
      </c>
      <c r="AS391">
        <v>0.40540540540540498</v>
      </c>
      <c r="AT391">
        <v>0.38461538461538403</v>
      </c>
      <c r="AU391">
        <v>81</v>
      </c>
      <c r="AV391">
        <v>0.18032786885245899</v>
      </c>
      <c r="AW391">
        <v>0.13580246913580199</v>
      </c>
      <c r="AX391">
        <v>0.154929577464788</v>
      </c>
      <c r="AY391">
        <v>1000</v>
      </c>
      <c r="AZ391">
        <v>0.25903614457831298</v>
      </c>
      <c r="BA391">
        <v>0.38323353293413098</v>
      </c>
      <c r="BB391">
        <v>0.23999222147921001</v>
      </c>
      <c r="BC391">
        <v>0.34662824737513398</v>
      </c>
      <c r="BD391">
        <v>0.23710458457181899</v>
      </c>
      <c r="BE391">
        <v>0.34427864770410799</v>
      </c>
      <c r="BF391">
        <v>-0.15480772641125401</v>
      </c>
      <c r="BG391">
        <v>1.6600672363567499E-2</v>
      </c>
      <c r="BH391">
        <v>1000</v>
      </c>
      <c r="BI391">
        <v>0.22640573229355301</v>
      </c>
      <c r="BJ391">
        <v>0.32390334341003701</v>
      </c>
      <c r="BK391">
        <v>9</v>
      </c>
    </row>
    <row r="392" spans="1:63" x14ac:dyDescent="0.3">
      <c r="A392" t="s">
        <v>1191</v>
      </c>
      <c r="B392" t="s">
        <v>109</v>
      </c>
      <c r="C392" t="s">
        <v>37</v>
      </c>
      <c r="D392" t="s">
        <v>67</v>
      </c>
      <c r="E392" t="s">
        <v>626</v>
      </c>
      <c r="F392">
        <v>3</v>
      </c>
      <c r="G392" t="s">
        <v>24</v>
      </c>
      <c r="H392" t="s">
        <v>26</v>
      </c>
      <c r="I392" t="s">
        <v>34</v>
      </c>
      <c r="J392" t="s">
        <v>31</v>
      </c>
      <c r="K392" t="s">
        <v>111</v>
      </c>
      <c r="L392">
        <v>10</v>
      </c>
      <c r="M392">
        <v>332</v>
      </c>
      <c r="N392">
        <v>42</v>
      </c>
      <c r="O392">
        <v>42</v>
      </c>
      <c r="P392" t="b">
        <v>1</v>
      </c>
      <c r="Q392" t="s">
        <v>112</v>
      </c>
      <c r="R392">
        <v>0.30690222065837802</v>
      </c>
      <c r="S392">
        <v>42</v>
      </c>
      <c r="T392">
        <v>0</v>
      </c>
      <c r="U392" t="s">
        <v>1192</v>
      </c>
      <c r="V392" t="s">
        <v>649</v>
      </c>
      <c r="W392">
        <v>0.238095238095238</v>
      </c>
      <c r="X392" t="b">
        <v>0</v>
      </c>
      <c r="Y392">
        <v>2918.2193371993999</v>
      </c>
      <c r="Z392">
        <v>157.16862020007099</v>
      </c>
      <c r="AA392">
        <v>26027.867603299899</v>
      </c>
      <c r="AB392">
        <v>332</v>
      </c>
      <c r="AC392">
        <v>3</v>
      </c>
      <c r="AD392">
        <v>0.35240963855421598</v>
      </c>
      <c r="AE392">
        <v>0.314825073185375</v>
      </c>
      <c r="AF392">
        <v>0.30729739640630699</v>
      </c>
      <c r="AG392">
        <v>0.314825073185375</v>
      </c>
      <c r="AH392">
        <v>0.30985080389399</v>
      </c>
      <c r="AI392">
        <v>-2.19662626870629E-2</v>
      </c>
      <c r="AJ392" t="s">
        <v>1193</v>
      </c>
      <c r="AK392">
        <v>0.46526005208020599</v>
      </c>
      <c r="AM392">
        <v>103</v>
      </c>
      <c r="AN392">
        <v>0.366336633663366</v>
      </c>
      <c r="AO392">
        <v>0.35922330097087302</v>
      </c>
      <c r="AP392">
        <v>0.36274509803921501</v>
      </c>
      <c r="AQ392">
        <v>148</v>
      </c>
      <c r="AR392">
        <v>0.42857142857142799</v>
      </c>
      <c r="AS392">
        <v>0.48648648648648601</v>
      </c>
      <c r="AT392">
        <v>0.455696202531645</v>
      </c>
      <c r="AU392">
        <v>81</v>
      </c>
      <c r="AV392">
        <v>0.12698412698412601</v>
      </c>
      <c r="AW392">
        <v>9.8765432098765399E-2</v>
      </c>
      <c r="AX392">
        <v>0.11111111111111099</v>
      </c>
      <c r="AY392">
        <v>1000</v>
      </c>
      <c r="AZ392">
        <v>0.29393035863219302</v>
      </c>
      <c r="BA392">
        <v>0.40909090909090901</v>
      </c>
      <c r="BB392">
        <v>0.26200955554947902</v>
      </c>
      <c r="BC392">
        <v>0.37039706527086502</v>
      </c>
      <c r="BD392">
        <v>0.25349696731993299</v>
      </c>
      <c r="BE392">
        <v>0.36131199672432701</v>
      </c>
      <c r="BF392">
        <v>-0.103754951384376</v>
      </c>
      <c r="BG392">
        <v>5.7041047653158497E-2</v>
      </c>
      <c r="BH392">
        <v>1000</v>
      </c>
      <c r="BI392">
        <v>0.25330378883379601</v>
      </c>
      <c r="BJ392">
        <v>0.36284545324226197</v>
      </c>
      <c r="BK392">
        <v>5</v>
      </c>
    </row>
    <row r="393" spans="1:63" x14ac:dyDescent="0.3">
      <c r="A393" t="s">
        <v>1194</v>
      </c>
      <c r="B393" t="s">
        <v>109</v>
      </c>
      <c r="C393" t="s">
        <v>37</v>
      </c>
      <c r="D393" t="s">
        <v>67</v>
      </c>
      <c r="E393" t="s">
        <v>631</v>
      </c>
      <c r="F393">
        <v>4</v>
      </c>
      <c r="G393" t="s">
        <v>24</v>
      </c>
      <c r="H393" t="s">
        <v>26</v>
      </c>
      <c r="I393" t="s">
        <v>35</v>
      </c>
      <c r="J393" t="s">
        <v>31</v>
      </c>
      <c r="K393" t="s">
        <v>111</v>
      </c>
      <c r="L393">
        <v>10</v>
      </c>
      <c r="M393">
        <v>332</v>
      </c>
      <c r="N393">
        <v>42</v>
      </c>
      <c r="O393">
        <v>42</v>
      </c>
      <c r="P393" t="b">
        <v>1</v>
      </c>
      <c r="Q393" t="s">
        <v>112</v>
      </c>
      <c r="R393">
        <v>0.28404341621706097</v>
      </c>
      <c r="S393">
        <v>42</v>
      </c>
      <c r="T393">
        <v>0</v>
      </c>
      <c r="U393" t="s">
        <v>1195</v>
      </c>
      <c r="V393" t="s">
        <v>623</v>
      </c>
      <c r="W393">
        <v>0.19047619047618999</v>
      </c>
      <c r="X393" t="b">
        <v>0</v>
      </c>
      <c r="Y393">
        <v>2708.5302773987</v>
      </c>
      <c r="Z393">
        <v>134.79046019999001</v>
      </c>
      <c r="AA393">
        <v>26130.317368999898</v>
      </c>
      <c r="AB393">
        <v>332</v>
      </c>
      <c r="AC393">
        <v>3</v>
      </c>
      <c r="AD393">
        <v>0.33734939759036098</v>
      </c>
      <c r="AE393">
        <v>0.29688588264639998</v>
      </c>
      <c r="AF393">
        <v>0.28469195587839602</v>
      </c>
      <c r="AG393">
        <v>0.29688588264639998</v>
      </c>
      <c r="AH393">
        <v>0.289444521723002</v>
      </c>
      <c r="AI393">
        <v>-4.7245303073356601E-2</v>
      </c>
      <c r="AJ393" t="s">
        <v>1196</v>
      </c>
      <c r="AK393">
        <v>0.46262304791233599</v>
      </c>
      <c r="AM393">
        <v>103</v>
      </c>
      <c r="AN393">
        <v>0.32380952380952299</v>
      </c>
      <c r="AO393">
        <v>0.33009708737864002</v>
      </c>
      <c r="AP393">
        <v>0.32692307692307598</v>
      </c>
      <c r="AQ393">
        <v>148</v>
      </c>
      <c r="AR393">
        <v>0.42857142857142799</v>
      </c>
      <c r="AS393">
        <v>0.48648648648648601</v>
      </c>
      <c r="AT393">
        <v>0.455696202531645</v>
      </c>
      <c r="AU393">
        <v>81</v>
      </c>
      <c r="AV393">
        <v>0.101694915254237</v>
      </c>
      <c r="AW393">
        <v>7.4074074074074001E-2</v>
      </c>
      <c r="AX393">
        <v>8.5714285714285701E-2</v>
      </c>
      <c r="AY393">
        <v>1000</v>
      </c>
      <c r="AZ393">
        <v>0.28267477203647401</v>
      </c>
      <c r="BA393">
        <v>0.38989368833118798</v>
      </c>
      <c r="BB393">
        <v>0.25608466203011299</v>
      </c>
      <c r="BC393">
        <v>0.33749291558115002</v>
      </c>
      <c r="BD393">
        <v>0.24569383614888499</v>
      </c>
      <c r="BE393">
        <v>0.32897949072021698</v>
      </c>
      <c r="BF393">
        <v>-0.111886310536147</v>
      </c>
      <c r="BG393">
        <v>1.94717836302634E-2</v>
      </c>
      <c r="BH393">
        <v>1000</v>
      </c>
      <c r="BI393">
        <v>0.236284803719506</v>
      </c>
      <c r="BJ393">
        <v>0.32700639438812101</v>
      </c>
      <c r="BK393">
        <v>8</v>
      </c>
    </row>
    <row r="394" spans="1:63" x14ac:dyDescent="0.3">
      <c r="A394" t="s">
        <v>1197</v>
      </c>
      <c r="B394" t="s">
        <v>109</v>
      </c>
      <c r="C394" t="s">
        <v>37</v>
      </c>
      <c r="D394" t="s">
        <v>67</v>
      </c>
      <c r="E394" t="s">
        <v>635</v>
      </c>
      <c r="F394">
        <v>5</v>
      </c>
      <c r="G394" t="s">
        <v>24</v>
      </c>
      <c r="H394" t="s">
        <v>36</v>
      </c>
      <c r="I394" t="s">
        <v>27</v>
      </c>
      <c r="J394" t="s">
        <v>31</v>
      </c>
      <c r="K394" t="s">
        <v>111</v>
      </c>
      <c r="L394">
        <v>10</v>
      </c>
      <c r="M394">
        <v>332</v>
      </c>
      <c r="N394">
        <v>42</v>
      </c>
      <c r="O394">
        <v>42</v>
      </c>
      <c r="P394" t="b">
        <v>1</v>
      </c>
      <c r="Q394" t="s">
        <v>112</v>
      </c>
      <c r="R394">
        <v>0.31648340370631001</v>
      </c>
      <c r="S394">
        <v>42</v>
      </c>
      <c r="T394">
        <v>0</v>
      </c>
      <c r="U394" t="s">
        <v>1198</v>
      </c>
      <c r="V394" t="s">
        <v>618</v>
      </c>
      <c r="W394">
        <v>0.214285714285714</v>
      </c>
      <c r="X394" t="b">
        <v>0</v>
      </c>
      <c r="Y394">
        <v>1510.6207063003601</v>
      </c>
      <c r="Z394">
        <v>89.951155600137994</v>
      </c>
      <c r="AA394">
        <v>26232.692373099901</v>
      </c>
      <c r="AB394">
        <v>332</v>
      </c>
      <c r="AC394">
        <v>3</v>
      </c>
      <c r="AD394">
        <v>0.358433734939759</v>
      </c>
      <c r="AE394">
        <v>0.319014537730826</v>
      </c>
      <c r="AF394">
        <v>0.32271505376344001</v>
      </c>
      <c r="AG394">
        <v>0.319014537730826</v>
      </c>
      <c r="AH394">
        <v>0.316511840821535</v>
      </c>
      <c r="AI394">
        <v>-2.3639018744762898E-2</v>
      </c>
      <c r="AJ394" t="s">
        <v>1199</v>
      </c>
      <c r="AK394">
        <v>0.47966217388328197</v>
      </c>
      <c r="AM394">
        <v>103</v>
      </c>
      <c r="AN394">
        <v>0.38750000000000001</v>
      </c>
      <c r="AO394">
        <v>0.30097087378640702</v>
      </c>
      <c r="AP394">
        <v>0.33879781420764998</v>
      </c>
      <c r="AQ394">
        <v>148</v>
      </c>
      <c r="AR394">
        <v>0.41397849462365499</v>
      </c>
      <c r="AS394">
        <v>0.52027027027026995</v>
      </c>
      <c r="AT394">
        <v>0.46107784431137699</v>
      </c>
      <c r="AU394">
        <v>81</v>
      </c>
      <c r="AV394">
        <v>0.16666666666666599</v>
      </c>
      <c r="AW394">
        <v>0.13580246913580199</v>
      </c>
      <c r="AX394">
        <v>0.14965986394557801</v>
      </c>
      <c r="AY394">
        <v>1000</v>
      </c>
      <c r="AZ394">
        <v>0.29429429429429399</v>
      </c>
      <c r="BA394">
        <v>0.42901368135507101</v>
      </c>
      <c r="BB394">
        <v>0.26676097665938298</v>
      </c>
      <c r="BC394">
        <v>0.37548474323380299</v>
      </c>
      <c r="BD394">
        <v>0.26185610329841003</v>
      </c>
      <c r="BE394">
        <v>0.37372100128477798</v>
      </c>
      <c r="BF394">
        <v>-0.107544175851401</v>
      </c>
      <c r="BG394">
        <v>6.7155095584015598E-2</v>
      </c>
      <c r="BH394">
        <v>1000</v>
      </c>
      <c r="BI394">
        <v>0.26050444648132598</v>
      </c>
      <c r="BJ394">
        <v>0.37979665537651602</v>
      </c>
      <c r="BK394">
        <v>4</v>
      </c>
    </row>
    <row r="395" spans="1:63" x14ac:dyDescent="0.3">
      <c r="A395" t="s">
        <v>1200</v>
      </c>
      <c r="B395" t="s">
        <v>109</v>
      </c>
      <c r="C395" t="s">
        <v>37</v>
      </c>
      <c r="D395" t="s">
        <v>67</v>
      </c>
      <c r="E395" t="s">
        <v>639</v>
      </c>
      <c r="F395">
        <v>6</v>
      </c>
      <c r="G395" t="s">
        <v>24</v>
      </c>
      <c r="H395" t="s">
        <v>36</v>
      </c>
      <c r="I395" t="s">
        <v>32</v>
      </c>
      <c r="J395" t="s">
        <v>31</v>
      </c>
      <c r="K395" t="s">
        <v>111</v>
      </c>
      <c r="L395">
        <v>10</v>
      </c>
      <c r="M395">
        <v>332</v>
      </c>
      <c r="N395">
        <v>42</v>
      </c>
      <c r="O395">
        <v>42</v>
      </c>
      <c r="P395" t="b">
        <v>1</v>
      </c>
      <c r="Q395" t="s">
        <v>112</v>
      </c>
      <c r="R395">
        <v>0.35815525060598902</v>
      </c>
      <c r="S395">
        <v>42</v>
      </c>
      <c r="T395">
        <v>0</v>
      </c>
      <c r="U395" t="s">
        <v>1201</v>
      </c>
      <c r="V395" t="s">
        <v>613</v>
      </c>
      <c r="W395">
        <v>0.238095238095238</v>
      </c>
      <c r="X395" t="b">
        <v>0</v>
      </c>
      <c r="Y395">
        <v>1977.0823706005399</v>
      </c>
      <c r="Z395">
        <v>116.32493649976</v>
      </c>
      <c r="AA395">
        <v>26335.435338499901</v>
      </c>
      <c r="AB395">
        <v>332</v>
      </c>
      <c r="AC395">
        <v>3</v>
      </c>
      <c r="AD395">
        <v>0.40361445783132499</v>
      </c>
      <c r="AE395">
        <v>0.376348030878775</v>
      </c>
      <c r="AF395">
        <v>0.38187949595857701</v>
      </c>
      <c r="AG395">
        <v>0.376348030878775</v>
      </c>
      <c r="AH395">
        <v>0.37716174592442298</v>
      </c>
      <c r="AI395">
        <v>6.0149530346065697E-2</v>
      </c>
      <c r="AJ395" t="s">
        <v>1202</v>
      </c>
      <c r="AK395">
        <v>0.55145529561950501</v>
      </c>
      <c r="AM395">
        <v>103</v>
      </c>
      <c r="AN395">
        <v>0.35643564356435598</v>
      </c>
      <c r="AO395">
        <v>0.34951456310679602</v>
      </c>
      <c r="AP395">
        <v>0.35294117647058798</v>
      </c>
      <c r="AQ395">
        <v>148</v>
      </c>
      <c r="AR395">
        <v>0.46107784431137699</v>
      </c>
      <c r="AS395">
        <v>0.52027027027026995</v>
      </c>
      <c r="AT395">
        <v>0.48888888888888798</v>
      </c>
      <c r="AU395">
        <v>81</v>
      </c>
      <c r="AV395">
        <v>0.328125</v>
      </c>
      <c r="AW395">
        <v>0.25925925925925902</v>
      </c>
      <c r="AX395">
        <v>0.28965517241379302</v>
      </c>
      <c r="AY395">
        <v>1000</v>
      </c>
      <c r="AZ395">
        <v>0.34035987232512099</v>
      </c>
      <c r="BA395">
        <v>0.46687242983911598</v>
      </c>
      <c r="BB395">
        <v>0.30997545589262498</v>
      </c>
      <c r="BC395">
        <v>0.43707586294335998</v>
      </c>
      <c r="BD395">
        <v>0.30743067077248898</v>
      </c>
      <c r="BE395">
        <v>0.43690176931708702</v>
      </c>
      <c r="BF395">
        <v>-4.1174772105168102E-2</v>
      </c>
      <c r="BG395">
        <v>0.154471354146411</v>
      </c>
      <c r="BH395">
        <v>1000</v>
      </c>
      <c r="BI395">
        <v>0.296105943176801</v>
      </c>
      <c r="BJ395">
        <v>0.42075531755441498</v>
      </c>
      <c r="BK395">
        <v>1</v>
      </c>
    </row>
    <row r="396" spans="1:63" x14ac:dyDescent="0.3">
      <c r="A396" t="s">
        <v>1203</v>
      </c>
      <c r="B396" t="s">
        <v>109</v>
      </c>
      <c r="C396" t="s">
        <v>37</v>
      </c>
      <c r="D396" t="s">
        <v>67</v>
      </c>
      <c r="E396" t="s">
        <v>643</v>
      </c>
      <c r="F396">
        <v>7</v>
      </c>
      <c r="G396" t="s">
        <v>24</v>
      </c>
      <c r="H396" t="s">
        <v>36</v>
      </c>
      <c r="I396" t="s">
        <v>33</v>
      </c>
      <c r="J396" t="s">
        <v>31</v>
      </c>
      <c r="K396" t="s">
        <v>111</v>
      </c>
      <c r="L396">
        <v>10</v>
      </c>
      <c r="M396">
        <v>332</v>
      </c>
      <c r="N396">
        <v>42</v>
      </c>
      <c r="O396">
        <v>42</v>
      </c>
      <c r="P396" t="b">
        <v>1</v>
      </c>
      <c r="Q396" t="s">
        <v>112</v>
      </c>
      <c r="R396">
        <v>0.32990636484478802</v>
      </c>
      <c r="S396">
        <v>42</v>
      </c>
      <c r="T396">
        <v>0</v>
      </c>
      <c r="U396" t="s">
        <v>1204</v>
      </c>
      <c r="V396" t="s">
        <v>1205</v>
      </c>
      <c r="W396">
        <v>0.19047619047618999</v>
      </c>
      <c r="X396" t="b">
        <v>0</v>
      </c>
      <c r="Y396">
        <v>1820.20925780007</v>
      </c>
      <c r="Z396">
        <v>117.251098299981</v>
      </c>
      <c r="AA396">
        <v>26437.6064450999</v>
      </c>
      <c r="AB396">
        <v>332</v>
      </c>
      <c r="AC396">
        <v>3</v>
      </c>
      <c r="AD396">
        <v>0.38554216867469798</v>
      </c>
      <c r="AE396">
        <v>0.349793698768887</v>
      </c>
      <c r="AF396">
        <v>0.34701768819415801</v>
      </c>
      <c r="AG396">
        <v>0.349793698768887</v>
      </c>
      <c r="AH396">
        <v>0.34713429667449103</v>
      </c>
      <c r="AI396">
        <v>3.3048418955638197E-2</v>
      </c>
      <c r="AJ396" t="s">
        <v>1206</v>
      </c>
      <c r="AK396">
        <v>0.54935983002024502</v>
      </c>
      <c r="AM396">
        <v>103</v>
      </c>
      <c r="AN396">
        <v>0.35294117647058798</v>
      </c>
      <c r="AO396">
        <v>0.34951456310679602</v>
      </c>
      <c r="AP396">
        <v>0.35121951219512099</v>
      </c>
      <c r="AQ396">
        <v>148</v>
      </c>
      <c r="AR396">
        <v>0.472727272727272</v>
      </c>
      <c r="AS396">
        <v>0.52702702702702697</v>
      </c>
      <c r="AT396">
        <v>0.498402555910543</v>
      </c>
      <c r="AU396">
        <v>81</v>
      </c>
      <c r="AV396">
        <v>0.21538461538461501</v>
      </c>
      <c r="AW396">
        <v>0.172839506172839</v>
      </c>
      <c r="AX396">
        <v>0.19178082191780799</v>
      </c>
      <c r="AY396">
        <v>1000</v>
      </c>
      <c r="AZ396">
        <v>0.32821967178863798</v>
      </c>
      <c r="BA396">
        <v>0.43808495287910898</v>
      </c>
      <c r="BB396">
        <v>0.29552103630597698</v>
      </c>
      <c r="BC396">
        <v>0.40319090170780097</v>
      </c>
      <c r="BD396">
        <v>0.28984128144239102</v>
      </c>
      <c r="BE396">
        <v>0.39720416467771003</v>
      </c>
      <c r="BF396">
        <v>-4.7245313452064598E-2</v>
      </c>
      <c r="BG396">
        <v>0.11402235416850499</v>
      </c>
      <c r="BH396">
        <v>1000</v>
      </c>
      <c r="BI396">
        <v>0.278576884294858</v>
      </c>
      <c r="BJ396">
        <v>0.37953697009291498</v>
      </c>
      <c r="BK396">
        <v>2</v>
      </c>
    </row>
    <row r="397" spans="1:63" x14ac:dyDescent="0.3">
      <c r="A397" t="s">
        <v>1207</v>
      </c>
      <c r="B397" t="s">
        <v>109</v>
      </c>
      <c r="C397" t="s">
        <v>37</v>
      </c>
      <c r="D397" t="s">
        <v>67</v>
      </c>
      <c r="E397" t="s">
        <v>647</v>
      </c>
      <c r="F397">
        <v>8</v>
      </c>
      <c r="G397" t="s">
        <v>24</v>
      </c>
      <c r="H397" t="s">
        <v>36</v>
      </c>
      <c r="I397" t="s">
        <v>34</v>
      </c>
      <c r="J397" t="s">
        <v>31</v>
      </c>
      <c r="K397" t="s">
        <v>111</v>
      </c>
      <c r="L397">
        <v>10</v>
      </c>
      <c r="M397">
        <v>332</v>
      </c>
      <c r="N397">
        <v>42</v>
      </c>
      <c r="O397">
        <v>42</v>
      </c>
      <c r="P397" t="b">
        <v>1</v>
      </c>
      <c r="Q397" t="s">
        <v>112</v>
      </c>
      <c r="R397">
        <v>0.270805770584095</v>
      </c>
      <c r="S397">
        <v>42</v>
      </c>
      <c r="T397">
        <v>0</v>
      </c>
      <c r="U397" t="s">
        <v>1208</v>
      </c>
      <c r="V397" t="s">
        <v>613</v>
      </c>
      <c r="W397">
        <v>0.19047619047618999</v>
      </c>
      <c r="X397" t="b">
        <v>0</v>
      </c>
      <c r="Y397">
        <v>3217.9271157998501</v>
      </c>
      <c r="Z397">
        <v>194.389152800082</v>
      </c>
      <c r="AA397">
        <v>26540.2028197</v>
      </c>
      <c r="AB397">
        <v>332</v>
      </c>
      <c r="AC397">
        <v>3</v>
      </c>
      <c r="AD397">
        <v>0.34939759036144502</v>
      </c>
      <c r="AE397">
        <v>0.305474838376672</v>
      </c>
      <c r="AF397">
        <v>0.30159748965910699</v>
      </c>
      <c r="AG397">
        <v>0.305474838376672</v>
      </c>
      <c r="AH397">
        <v>0.29876594459245798</v>
      </c>
      <c r="AI397">
        <v>-4.3250562077795998E-2</v>
      </c>
      <c r="AJ397" t="s">
        <v>1209</v>
      </c>
      <c r="AK397">
        <v>0.49061732918068002</v>
      </c>
      <c r="AM397">
        <v>103</v>
      </c>
      <c r="AN397">
        <v>0.31707317073170699</v>
      </c>
      <c r="AO397">
        <v>0.25242718446601897</v>
      </c>
      <c r="AP397">
        <v>0.28108108108108099</v>
      </c>
      <c r="AQ397">
        <v>148</v>
      </c>
      <c r="AR397">
        <v>0.42105263157894701</v>
      </c>
      <c r="AS397">
        <v>0.54054054054054002</v>
      </c>
      <c r="AT397">
        <v>0.47337278106508801</v>
      </c>
      <c r="AU397">
        <v>81</v>
      </c>
      <c r="AV397">
        <v>0.16666666666666599</v>
      </c>
      <c r="AW397">
        <v>0.12345679012345601</v>
      </c>
      <c r="AX397">
        <v>0.14184397163120499</v>
      </c>
      <c r="AY397">
        <v>1000</v>
      </c>
      <c r="AZ397">
        <v>0.293038508364521</v>
      </c>
      <c r="BA397">
        <v>0.40965208137940901</v>
      </c>
      <c r="BB397">
        <v>0.25875842703900398</v>
      </c>
      <c r="BC397">
        <v>0.35293158104907502</v>
      </c>
      <c r="BD397">
        <v>0.248533195847844</v>
      </c>
      <c r="BE397">
        <v>0.34655814052728801</v>
      </c>
      <c r="BF397">
        <v>-0.117669272864691</v>
      </c>
      <c r="BG397">
        <v>3.6951619759900099E-2</v>
      </c>
      <c r="BH397">
        <v>1000</v>
      </c>
      <c r="BI397">
        <v>0.23248532201602701</v>
      </c>
      <c r="BJ397">
        <v>0.30769237886188</v>
      </c>
      <c r="BK397">
        <v>10</v>
      </c>
    </row>
    <row r="398" spans="1:63" x14ac:dyDescent="0.3">
      <c r="A398" t="s">
        <v>1210</v>
      </c>
      <c r="B398" t="s">
        <v>109</v>
      </c>
      <c r="C398" t="s">
        <v>37</v>
      </c>
      <c r="D398" t="s">
        <v>67</v>
      </c>
      <c r="E398" t="s">
        <v>652</v>
      </c>
      <c r="F398">
        <v>9</v>
      </c>
      <c r="G398" t="s">
        <v>24</v>
      </c>
      <c r="H398" t="s">
        <v>36</v>
      </c>
      <c r="I398" t="s">
        <v>35</v>
      </c>
      <c r="J398" t="s">
        <v>31</v>
      </c>
      <c r="K398" t="s">
        <v>111</v>
      </c>
      <c r="L398">
        <v>10</v>
      </c>
      <c r="M398">
        <v>332</v>
      </c>
      <c r="N398">
        <v>42</v>
      </c>
      <c r="O398">
        <v>42</v>
      </c>
      <c r="P398" t="b">
        <v>1</v>
      </c>
      <c r="Q398" t="s">
        <v>112</v>
      </c>
      <c r="R398">
        <v>0.29739991398858301</v>
      </c>
      <c r="S398">
        <v>42</v>
      </c>
      <c r="T398">
        <v>0</v>
      </c>
      <c r="U398" t="s">
        <v>1211</v>
      </c>
      <c r="V398" t="s">
        <v>669</v>
      </c>
      <c r="W398">
        <v>0.19047619047618999</v>
      </c>
      <c r="X398" t="b">
        <v>0</v>
      </c>
      <c r="Y398">
        <v>3088.9322669011799</v>
      </c>
      <c r="Z398">
        <v>194.65906589984601</v>
      </c>
      <c r="AA398">
        <v>26642.496721999902</v>
      </c>
      <c r="AB398">
        <v>332</v>
      </c>
      <c r="AC398">
        <v>3</v>
      </c>
      <c r="AD398">
        <v>0.35240963855421598</v>
      </c>
      <c r="AE398">
        <v>0.31057405841656099</v>
      </c>
      <c r="AF398">
        <v>0.30698125404007698</v>
      </c>
      <c r="AG398">
        <v>0.31057405841656099</v>
      </c>
      <c r="AH398">
        <v>0.30556895094930597</v>
      </c>
      <c r="AI398">
        <v>-3.0902178473644099E-2</v>
      </c>
      <c r="AJ398" t="s">
        <v>1212</v>
      </c>
      <c r="AK398">
        <v>0.48667115371277803</v>
      </c>
      <c r="AM398">
        <v>103</v>
      </c>
      <c r="AN398">
        <v>0.317647058823529</v>
      </c>
      <c r="AO398">
        <v>0.26213592233009703</v>
      </c>
      <c r="AP398">
        <v>0.28723404255319102</v>
      </c>
      <c r="AQ398">
        <v>148</v>
      </c>
      <c r="AR398">
        <v>0.43406593406593402</v>
      </c>
      <c r="AS398">
        <v>0.53378378378378299</v>
      </c>
      <c r="AT398">
        <v>0.47878787878787799</v>
      </c>
      <c r="AU398">
        <v>81</v>
      </c>
      <c r="AV398">
        <v>0.16923076923076899</v>
      </c>
      <c r="AW398">
        <v>0.13580246913580199</v>
      </c>
      <c r="AX398">
        <v>0.150684931506849</v>
      </c>
      <c r="AY398">
        <v>1000</v>
      </c>
      <c r="AZ398">
        <v>0.29304214869943201</v>
      </c>
      <c r="BA398">
        <v>0.41087613293051301</v>
      </c>
      <c r="BB398">
        <v>0.26094531295513201</v>
      </c>
      <c r="BC398">
        <v>0.36371319064833901</v>
      </c>
      <c r="BD398">
        <v>0.251417239121415</v>
      </c>
      <c r="BE398">
        <v>0.35697788877427</v>
      </c>
      <c r="BF398">
        <v>-0.107885306852573</v>
      </c>
      <c r="BG398">
        <v>5.0198781229426198E-2</v>
      </c>
      <c r="BH398">
        <v>1000</v>
      </c>
      <c r="BI398">
        <v>0.24168987364873201</v>
      </c>
      <c r="BJ398">
        <v>0.360019763901192</v>
      </c>
      <c r="BK398">
        <v>7</v>
      </c>
    </row>
    <row r="399" spans="1:63" x14ac:dyDescent="0.3">
      <c r="A399" t="s">
        <v>0</v>
      </c>
      <c r="B399" t="s">
        <v>69</v>
      </c>
      <c r="C399" t="s">
        <v>2</v>
      </c>
      <c r="D399" t="s">
        <v>70</v>
      </c>
      <c r="E399" t="s">
        <v>71</v>
      </c>
      <c r="F399" t="s">
        <v>72</v>
      </c>
      <c r="G399" t="s">
        <v>1</v>
      </c>
      <c r="H399" t="s">
        <v>3</v>
      </c>
      <c r="I399" t="s">
        <v>4</v>
      </c>
      <c r="J399" t="s">
        <v>5</v>
      </c>
      <c r="K399" t="s">
        <v>73</v>
      </c>
      <c r="L399" t="s">
        <v>74</v>
      </c>
      <c r="M399" t="s">
        <v>75</v>
      </c>
      <c r="N399" t="s">
        <v>6</v>
      </c>
      <c r="O399" t="s">
        <v>7</v>
      </c>
      <c r="P399" t="s">
        <v>8</v>
      </c>
      <c r="Q399" t="s">
        <v>76</v>
      </c>
      <c r="R399" t="s">
        <v>77</v>
      </c>
      <c r="S399" t="s">
        <v>78</v>
      </c>
      <c r="T399" t="s">
        <v>79</v>
      </c>
      <c r="U399" t="s">
        <v>80</v>
      </c>
      <c r="V399" t="s">
        <v>81</v>
      </c>
      <c r="W399" t="s">
        <v>82</v>
      </c>
      <c r="X399" t="s">
        <v>9</v>
      </c>
      <c r="Y399" t="s">
        <v>83</v>
      </c>
      <c r="Z399" t="s">
        <v>84</v>
      </c>
      <c r="AA399" t="s">
        <v>85</v>
      </c>
      <c r="AB399" t="s">
        <v>10</v>
      </c>
      <c r="AC399" t="s">
        <v>282</v>
      </c>
      <c r="AD399" t="s">
        <v>283</v>
      </c>
      <c r="AE399" t="s">
        <v>284</v>
      </c>
      <c r="AF399" t="s">
        <v>285</v>
      </c>
      <c r="AG399" t="s">
        <v>19</v>
      </c>
      <c r="AH399" t="s">
        <v>286</v>
      </c>
      <c r="AI399" t="s">
        <v>287</v>
      </c>
      <c r="AJ399" t="s">
        <v>288</v>
      </c>
      <c r="AK399" t="s">
        <v>289</v>
      </c>
      <c r="AL399" t="s">
        <v>290</v>
      </c>
      <c r="AM399" t="s">
        <v>291</v>
      </c>
      <c r="AN399" t="s">
        <v>292</v>
      </c>
      <c r="AO399" t="s">
        <v>293</v>
      </c>
      <c r="AP399" t="s">
        <v>104</v>
      </c>
      <c r="AQ399" t="s">
        <v>105</v>
      </c>
      <c r="AR399" t="s">
        <v>106</v>
      </c>
      <c r="AS399" t="s">
        <v>107</v>
      </c>
    </row>
    <row r="400" spans="1:63" x14ac:dyDescent="0.3">
      <c r="A400" t="s">
        <v>1213</v>
      </c>
      <c r="B400" t="s">
        <v>109</v>
      </c>
      <c r="C400" t="s">
        <v>25</v>
      </c>
      <c r="D400" t="s">
        <v>68</v>
      </c>
      <c r="E400" t="s">
        <v>480</v>
      </c>
      <c r="F400">
        <v>0</v>
      </c>
      <c r="G400" t="s">
        <v>24</v>
      </c>
      <c r="H400" t="s">
        <v>26</v>
      </c>
      <c r="I400" t="s">
        <v>27</v>
      </c>
      <c r="J400" t="s">
        <v>29</v>
      </c>
      <c r="K400" t="s">
        <v>111</v>
      </c>
      <c r="L400">
        <v>10</v>
      </c>
      <c r="M400">
        <v>332</v>
      </c>
      <c r="N400">
        <v>42</v>
      </c>
      <c r="O400">
        <v>42</v>
      </c>
      <c r="P400" t="b">
        <v>1</v>
      </c>
      <c r="Q400" t="s">
        <v>248</v>
      </c>
      <c r="R400">
        <v>2.0098575320707699</v>
      </c>
      <c r="S400">
        <v>42</v>
      </c>
      <c r="T400">
        <v>0</v>
      </c>
      <c r="U400" t="s">
        <v>1214</v>
      </c>
      <c r="V400" t="s">
        <v>482</v>
      </c>
      <c r="W400">
        <v>0.33333333333333298</v>
      </c>
      <c r="X400" t="b">
        <v>0</v>
      </c>
      <c r="Y400">
        <v>390.06437259990997</v>
      </c>
      <c r="Z400">
        <v>43.186521100054897</v>
      </c>
      <c r="AA400">
        <v>4908.4973274000004</v>
      </c>
      <c r="AB400">
        <v>332</v>
      </c>
      <c r="AC400">
        <v>2.0080791916419498</v>
      </c>
      <c r="AD400">
        <v>2.29547088798487</v>
      </c>
      <c r="AE400">
        <v>-1.1964691374344E-2</v>
      </c>
      <c r="AF400">
        <v>5.9481857817552497E-2</v>
      </c>
      <c r="AG400">
        <v>1000</v>
      </c>
      <c r="AH400">
        <v>1.84251187871074</v>
      </c>
      <c r="AI400">
        <v>2.1706951584765899</v>
      </c>
      <c r="AJ400">
        <v>2.13266502514325</v>
      </c>
      <c r="AK400">
        <v>2.4537611866014299</v>
      </c>
      <c r="AL400">
        <v>-4.5099519480116902E-2</v>
      </c>
      <c r="AM400">
        <v>1.80874700091453E-2</v>
      </c>
      <c r="AN400">
        <v>-2.43635697403616E-2</v>
      </c>
      <c r="AO400">
        <v>0.14881972346369199</v>
      </c>
      <c r="AP400">
        <v>1000</v>
      </c>
      <c r="AQ400">
        <v>1.84548216758765</v>
      </c>
      <c r="AR400">
        <v>2.1722382449839599</v>
      </c>
      <c r="AS400">
        <v>8</v>
      </c>
    </row>
    <row r="401" spans="1:45" x14ac:dyDescent="0.3">
      <c r="A401" t="s">
        <v>1215</v>
      </c>
      <c r="B401" t="s">
        <v>109</v>
      </c>
      <c r="C401" t="s">
        <v>25</v>
      </c>
      <c r="D401" t="s">
        <v>68</v>
      </c>
      <c r="E401" t="s">
        <v>485</v>
      </c>
      <c r="F401">
        <v>1</v>
      </c>
      <c r="G401" t="s">
        <v>24</v>
      </c>
      <c r="H401" t="s">
        <v>26</v>
      </c>
      <c r="I401" t="s">
        <v>32</v>
      </c>
      <c r="J401" t="s">
        <v>29</v>
      </c>
      <c r="K401" t="s">
        <v>111</v>
      </c>
      <c r="L401">
        <v>10</v>
      </c>
      <c r="M401">
        <v>332</v>
      </c>
      <c r="N401">
        <v>42</v>
      </c>
      <c r="O401">
        <v>42</v>
      </c>
      <c r="P401" t="b">
        <v>1</v>
      </c>
      <c r="Q401" t="s">
        <v>248</v>
      </c>
      <c r="R401">
        <v>1.9788867929244001</v>
      </c>
      <c r="S401">
        <v>42</v>
      </c>
      <c r="T401">
        <v>0</v>
      </c>
      <c r="U401" t="s">
        <v>1216</v>
      </c>
      <c r="V401" t="s">
        <v>482</v>
      </c>
      <c r="W401">
        <v>0.40476190476190399</v>
      </c>
      <c r="X401" t="b">
        <v>0</v>
      </c>
      <c r="Y401">
        <v>410.99803710005602</v>
      </c>
      <c r="Z401">
        <v>43.730316300017797</v>
      </c>
      <c r="AA401">
        <v>4996.2616248999902</v>
      </c>
      <c r="AB401">
        <v>332</v>
      </c>
      <c r="AC401">
        <v>1.9780305730412</v>
      </c>
      <c r="AD401">
        <v>2.26642386597225</v>
      </c>
      <c r="AE401">
        <v>1.3484187615847699E-2</v>
      </c>
      <c r="AF401">
        <v>0.15774396240178601</v>
      </c>
      <c r="AG401">
        <v>1000</v>
      </c>
      <c r="AH401">
        <v>1.81882215279763</v>
      </c>
      <c r="AI401">
        <v>2.1427899880656902</v>
      </c>
      <c r="AJ401">
        <v>2.1064636290201499</v>
      </c>
      <c r="AK401">
        <v>2.4296174216268098</v>
      </c>
      <c r="AL401">
        <v>-3.4672496960879401E-2</v>
      </c>
      <c r="AM401">
        <v>6.02790250825158E-2</v>
      </c>
      <c r="AN401">
        <v>5.3782156908685402E-2</v>
      </c>
      <c r="AO401">
        <v>0.26576522370122502</v>
      </c>
      <c r="AP401">
        <v>1000</v>
      </c>
      <c r="AQ401">
        <v>1.8196659484250599</v>
      </c>
      <c r="AR401">
        <v>2.1439386012610302</v>
      </c>
      <c r="AS401">
        <v>6</v>
      </c>
    </row>
    <row r="402" spans="1:45" x14ac:dyDescent="0.3">
      <c r="A402" t="s">
        <v>1217</v>
      </c>
      <c r="B402" t="s">
        <v>109</v>
      </c>
      <c r="C402" t="s">
        <v>25</v>
      </c>
      <c r="D402" t="s">
        <v>68</v>
      </c>
      <c r="E402" t="s">
        <v>490</v>
      </c>
      <c r="F402">
        <v>2</v>
      </c>
      <c r="G402" t="s">
        <v>24</v>
      </c>
      <c r="H402" t="s">
        <v>26</v>
      </c>
      <c r="I402" t="s">
        <v>33</v>
      </c>
      <c r="J402" t="s">
        <v>29</v>
      </c>
      <c r="K402" t="s">
        <v>111</v>
      </c>
      <c r="L402">
        <v>10</v>
      </c>
      <c r="M402">
        <v>332</v>
      </c>
      <c r="N402">
        <v>42</v>
      </c>
      <c r="O402">
        <v>42</v>
      </c>
      <c r="P402" t="b">
        <v>1</v>
      </c>
      <c r="Q402" t="s">
        <v>248</v>
      </c>
      <c r="R402">
        <v>2.0361396118950901</v>
      </c>
      <c r="S402">
        <v>42</v>
      </c>
      <c r="T402">
        <v>0</v>
      </c>
      <c r="U402" t="s">
        <v>1218</v>
      </c>
      <c r="V402" t="s">
        <v>508</v>
      </c>
      <c r="W402">
        <v>0.28571428571428498</v>
      </c>
      <c r="X402" t="b">
        <v>0</v>
      </c>
      <c r="Y402">
        <v>408.62254950005399</v>
      </c>
      <c r="Z402">
        <v>43.3559027000301</v>
      </c>
      <c r="AA402">
        <v>5087.8219838000005</v>
      </c>
      <c r="AB402">
        <v>332</v>
      </c>
      <c r="AC402">
        <v>2.0338730519575998</v>
      </c>
      <c r="AD402">
        <v>2.3102501659239101</v>
      </c>
      <c r="AE402">
        <v>-2.5037612144451101E-2</v>
      </c>
      <c r="AF402">
        <v>3.6862005718386701E-2</v>
      </c>
      <c r="AG402">
        <v>1000</v>
      </c>
      <c r="AH402">
        <v>1.88059021276451</v>
      </c>
      <c r="AI402">
        <v>2.19677041720669</v>
      </c>
      <c r="AJ402">
        <v>2.1576947115866401</v>
      </c>
      <c r="AK402">
        <v>2.4734999199178902</v>
      </c>
      <c r="AL402">
        <v>-5.7587780831673603E-2</v>
      </c>
      <c r="AM402">
        <v>6.2543172458224302E-4</v>
      </c>
      <c r="AN402">
        <v>-4.0380523179174399E-2</v>
      </c>
      <c r="AO402">
        <v>0.113624473081144</v>
      </c>
      <c r="AP402">
        <v>1000</v>
      </c>
      <c r="AQ402">
        <v>1.88472321783057</v>
      </c>
      <c r="AR402">
        <v>2.20017039187268</v>
      </c>
      <c r="AS402">
        <v>10</v>
      </c>
    </row>
    <row r="403" spans="1:45" x14ac:dyDescent="0.3">
      <c r="A403" t="s">
        <v>1219</v>
      </c>
      <c r="B403" t="s">
        <v>109</v>
      </c>
      <c r="C403" t="s">
        <v>25</v>
      </c>
      <c r="D403" t="s">
        <v>68</v>
      </c>
      <c r="E403" t="s">
        <v>495</v>
      </c>
      <c r="F403">
        <v>3</v>
      </c>
      <c r="G403" t="s">
        <v>24</v>
      </c>
      <c r="H403" t="s">
        <v>26</v>
      </c>
      <c r="I403" t="s">
        <v>34</v>
      </c>
      <c r="J403" t="s">
        <v>29</v>
      </c>
      <c r="K403" t="s">
        <v>111</v>
      </c>
      <c r="L403">
        <v>10</v>
      </c>
      <c r="M403">
        <v>332</v>
      </c>
      <c r="N403">
        <v>42</v>
      </c>
      <c r="O403">
        <v>42</v>
      </c>
      <c r="P403" t="b">
        <v>1</v>
      </c>
      <c r="Q403" t="s">
        <v>248</v>
      </c>
      <c r="R403">
        <v>2.0013360900295498</v>
      </c>
      <c r="S403">
        <v>42</v>
      </c>
      <c r="T403">
        <v>0</v>
      </c>
      <c r="U403" t="s">
        <v>1220</v>
      </c>
      <c r="V403" t="s">
        <v>508</v>
      </c>
      <c r="W403">
        <v>0.40476190476190399</v>
      </c>
      <c r="X403" t="b">
        <v>0</v>
      </c>
      <c r="Y403">
        <v>472.37403380019498</v>
      </c>
      <c r="Z403">
        <v>51.452691000013097</v>
      </c>
      <c r="AA403">
        <v>5182.2544189</v>
      </c>
      <c r="AB403">
        <v>332</v>
      </c>
      <c r="AC403">
        <v>1.9999480632442399</v>
      </c>
      <c r="AD403">
        <v>2.2773169741745498</v>
      </c>
      <c r="AE403">
        <v>3.9784209101130204E-3</v>
      </c>
      <c r="AF403">
        <v>0.10743402981017899</v>
      </c>
      <c r="AG403">
        <v>1000</v>
      </c>
      <c r="AH403">
        <v>1.8443885343920701</v>
      </c>
      <c r="AI403">
        <v>2.1681843033284598</v>
      </c>
      <c r="AJ403">
        <v>2.1196979634135098</v>
      </c>
      <c r="AK403">
        <v>2.4359630317899299</v>
      </c>
      <c r="AL403">
        <v>-3.8498993385158102E-2</v>
      </c>
      <c r="AM403">
        <v>4.3227836129926797E-2</v>
      </c>
      <c r="AN403">
        <v>-1.6356571443971001E-4</v>
      </c>
      <c r="AO403">
        <v>0.220601887122331</v>
      </c>
      <c r="AP403">
        <v>1000</v>
      </c>
      <c r="AQ403">
        <v>1.8460615560721001</v>
      </c>
      <c r="AR403">
        <v>2.1675695177318102</v>
      </c>
      <c r="AS403">
        <v>7</v>
      </c>
    </row>
    <row r="404" spans="1:45" x14ac:dyDescent="0.3">
      <c r="A404" t="s">
        <v>1221</v>
      </c>
      <c r="B404" t="s">
        <v>109</v>
      </c>
      <c r="C404" t="s">
        <v>25</v>
      </c>
      <c r="D404" t="s">
        <v>68</v>
      </c>
      <c r="E404" t="s">
        <v>498</v>
      </c>
      <c r="F404">
        <v>4</v>
      </c>
      <c r="G404" t="s">
        <v>24</v>
      </c>
      <c r="H404" t="s">
        <v>26</v>
      </c>
      <c r="I404" t="s">
        <v>35</v>
      </c>
      <c r="J404" t="s">
        <v>29</v>
      </c>
      <c r="K404" t="s">
        <v>111</v>
      </c>
      <c r="L404">
        <v>10</v>
      </c>
      <c r="M404">
        <v>332</v>
      </c>
      <c r="N404">
        <v>42</v>
      </c>
      <c r="O404">
        <v>42</v>
      </c>
      <c r="P404" t="b">
        <v>1</v>
      </c>
      <c r="Q404" t="s">
        <v>248</v>
      </c>
      <c r="R404">
        <v>2.02762081906759</v>
      </c>
      <c r="S404">
        <v>42</v>
      </c>
      <c r="T404">
        <v>0</v>
      </c>
      <c r="U404" t="s">
        <v>1222</v>
      </c>
      <c r="V404" t="s">
        <v>482</v>
      </c>
      <c r="W404">
        <v>0.42857142857142799</v>
      </c>
      <c r="X404" t="b">
        <v>0</v>
      </c>
      <c r="Y404">
        <v>472.978266000151</v>
      </c>
      <c r="Z404">
        <v>52.547948999941497</v>
      </c>
      <c r="AA404">
        <v>5276.45072600001</v>
      </c>
      <c r="AB404">
        <v>332</v>
      </c>
      <c r="AC404">
        <v>2.0248858734939099</v>
      </c>
      <c r="AD404">
        <v>2.3020673065367001</v>
      </c>
      <c r="AE404">
        <v>-1.77891468744053E-2</v>
      </c>
      <c r="AF404">
        <v>3.0495232927551099E-2</v>
      </c>
      <c r="AG404">
        <v>1000</v>
      </c>
      <c r="AH404">
        <v>1.8607103580345801</v>
      </c>
      <c r="AI404">
        <v>2.17724870501808</v>
      </c>
      <c r="AJ404">
        <v>2.14507580693446</v>
      </c>
      <c r="AK404">
        <v>2.4501440132542398</v>
      </c>
      <c r="AL404">
        <v>-4.8193944985022698E-2</v>
      </c>
      <c r="AM404">
        <v>9.2938129381147892E-3</v>
      </c>
      <c r="AN404">
        <v>-5.8516846373822602E-2</v>
      </c>
      <c r="AO404">
        <v>0.112736804861504</v>
      </c>
      <c r="AP404">
        <v>1000</v>
      </c>
      <c r="AQ404">
        <v>1.86538622446188</v>
      </c>
      <c r="AR404">
        <v>2.1818821600240899</v>
      </c>
      <c r="AS404">
        <v>9</v>
      </c>
    </row>
    <row r="405" spans="1:45" x14ac:dyDescent="0.3">
      <c r="A405" t="s">
        <v>1223</v>
      </c>
      <c r="B405" t="s">
        <v>109</v>
      </c>
      <c r="C405" t="s">
        <v>25</v>
      </c>
      <c r="D405" t="s">
        <v>68</v>
      </c>
      <c r="E405" t="s">
        <v>502</v>
      </c>
      <c r="F405">
        <v>5</v>
      </c>
      <c r="G405" t="s">
        <v>24</v>
      </c>
      <c r="H405" t="s">
        <v>36</v>
      </c>
      <c r="I405" t="s">
        <v>27</v>
      </c>
      <c r="J405" t="s">
        <v>29</v>
      </c>
      <c r="K405" t="s">
        <v>111</v>
      </c>
      <c r="L405">
        <v>10</v>
      </c>
      <c r="M405">
        <v>332</v>
      </c>
      <c r="N405">
        <v>42</v>
      </c>
      <c r="O405">
        <v>42</v>
      </c>
      <c r="P405" t="b">
        <v>1</v>
      </c>
      <c r="Q405" t="s">
        <v>248</v>
      </c>
      <c r="R405">
        <v>1.9380189229590801</v>
      </c>
      <c r="S405">
        <v>42</v>
      </c>
      <c r="T405">
        <v>0</v>
      </c>
      <c r="U405" t="s">
        <v>1224</v>
      </c>
      <c r="V405" t="s">
        <v>508</v>
      </c>
      <c r="W405">
        <v>0.42857142857142799</v>
      </c>
      <c r="X405" t="b">
        <v>0</v>
      </c>
      <c r="Y405">
        <v>294.76802329995502</v>
      </c>
      <c r="Z405">
        <v>26.592464799963601</v>
      </c>
      <c r="AA405">
        <v>5370.4419033000004</v>
      </c>
      <c r="AB405">
        <v>332</v>
      </c>
      <c r="AC405">
        <v>1.9356801140761499</v>
      </c>
      <c r="AD405">
        <v>2.21266558100031</v>
      </c>
      <c r="AE405">
        <v>5.9728350447428802E-2</v>
      </c>
      <c r="AF405">
        <v>0.22568071956685401</v>
      </c>
      <c r="AG405">
        <v>1000</v>
      </c>
      <c r="AH405">
        <v>1.79092992106259</v>
      </c>
      <c r="AI405">
        <v>2.1039234276735299</v>
      </c>
      <c r="AJ405">
        <v>2.0680358454054901</v>
      </c>
      <c r="AK405">
        <v>2.3809027416840398</v>
      </c>
      <c r="AL405">
        <v>2.2404332845433202E-2</v>
      </c>
      <c r="AM405">
        <v>9.3330809212395005E-2</v>
      </c>
      <c r="AN405">
        <v>0.14227084833849801</v>
      </c>
      <c r="AO405">
        <v>0.29602857906921298</v>
      </c>
      <c r="AP405">
        <v>1000</v>
      </c>
      <c r="AQ405">
        <v>1.7934756426096601</v>
      </c>
      <c r="AR405">
        <v>2.1049051517246902</v>
      </c>
      <c r="AS405">
        <v>3</v>
      </c>
    </row>
    <row r="406" spans="1:45" x14ac:dyDescent="0.3">
      <c r="A406" t="s">
        <v>1225</v>
      </c>
      <c r="B406" t="s">
        <v>109</v>
      </c>
      <c r="C406" t="s">
        <v>25</v>
      </c>
      <c r="D406" t="s">
        <v>68</v>
      </c>
      <c r="E406" t="s">
        <v>506</v>
      </c>
      <c r="F406">
        <v>6</v>
      </c>
      <c r="G406" t="s">
        <v>24</v>
      </c>
      <c r="H406" t="s">
        <v>36</v>
      </c>
      <c r="I406" t="s">
        <v>32</v>
      </c>
      <c r="J406" t="s">
        <v>29</v>
      </c>
      <c r="K406" t="s">
        <v>111</v>
      </c>
      <c r="L406">
        <v>10</v>
      </c>
      <c r="M406">
        <v>332</v>
      </c>
      <c r="N406">
        <v>42</v>
      </c>
      <c r="O406">
        <v>42</v>
      </c>
      <c r="P406" t="b">
        <v>1</v>
      </c>
      <c r="Q406" t="s">
        <v>248</v>
      </c>
      <c r="R406">
        <v>1.8978416106841101</v>
      </c>
      <c r="S406">
        <v>42</v>
      </c>
      <c r="T406">
        <v>0</v>
      </c>
      <c r="U406" t="s">
        <v>1226</v>
      </c>
      <c r="V406" t="s">
        <v>508</v>
      </c>
      <c r="W406">
        <v>0.40476190476190399</v>
      </c>
      <c r="X406" t="b">
        <v>0</v>
      </c>
      <c r="Y406">
        <v>314.59874159999799</v>
      </c>
      <c r="Z406">
        <v>29.593967699955101</v>
      </c>
      <c r="AA406">
        <v>5466.65916809999</v>
      </c>
      <c r="AB406">
        <v>332</v>
      </c>
      <c r="AC406">
        <v>1.89753731732704</v>
      </c>
      <c r="AD406">
        <v>2.1929932343949701</v>
      </c>
      <c r="AE406">
        <v>7.6373542489453702E-2</v>
      </c>
      <c r="AF406">
        <v>0.29713163925896602</v>
      </c>
      <c r="AG406">
        <v>1000</v>
      </c>
      <c r="AH406">
        <v>1.74806925015524</v>
      </c>
      <c r="AI406">
        <v>2.0338340804439099</v>
      </c>
      <c r="AJ406">
        <v>2.0403126178326598</v>
      </c>
      <c r="AK406">
        <v>2.3291571053623001</v>
      </c>
      <c r="AL406">
        <v>1.8326759338849499E-2</v>
      </c>
      <c r="AM406">
        <v>0.12476178386688</v>
      </c>
      <c r="AN406">
        <v>0.21166661122033401</v>
      </c>
      <c r="AO406">
        <v>0.37721020588815002</v>
      </c>
      <c r="AP406">
        <v>1000</v>
      </c>
      <c r="AQ406">
        <v>1.74813738229938</v>
      </c>
      <c r="AR406">
        <v>2.0349613795749901</v>
      </c>
      <c r="AS406">
        <v>2</v>
      </c>
    </row>
    <row r="407" spans="1:45" x14ac:dyDescent="0.3">
      <c r="A407" t="s">
        <v>1227</v>
      </c>
      <c r="B407" t="s">
        <v>109</v>
      </c>
      <c r="C407" t="s">
        <v>25</v>
      </c>
      <c r="D407" t="s">
        <v>68</v>
      </c>
      <c r="E407" t="s">
        <v>511</v>
      </c>
      <c r="F407">
        <v>7</v>
      </c>
      <c r="G407" t="s">
        <v>24</v>
      </c>
      <c r="H407" t="s">
        <v>36</v>
      </c>
      <c r="I407" t="s">
        <v>33</v>
      </c>
      <c r="J407" t="s">
        <v>29</v>
      </c>
      <c r="K407" t="s">
        <v>111</v>
      </c>
      <c r="L407">
        <v>10</v>
      </c>
      <c r="M407">
        <v>332</v>
      </c>
      <c r="N407">
        <v>42</v>
      </c>
      <c r="O407">
        <v>42</v>
      </c>
      <c r="P407" t="b">
        <v>1</v>
      </c>
      <c r="Q407" t="s">
        <v>248</v>
      </c>
      <c r="R407">
        <v>1.9546809081434899</v>
      </c>
      <c r="S407">
        <v>42</v>
      </c>
      <c r="T407">
        <v>0</v>
      </c>
      <c r="U407" t="s">
        <v>1228</v>
      </c>
      <c r="V407" t="s">
        <v>492</v>
      </c>
      <c r="W407">
        <v>0.33333333333333298</v>
      </c>
      <c r="X407" t="b">
        <v>0</v>
      </c>
      <c r="Y407">
        <v>318.03598690009602</v>
      </c>
      <c r="Z407">
        <v>31.006001599933299</v>
      </c>
      <c r="AA407">
        <v>6632.3718290000097</v>
      </c>
      <c r="AB407">
        <v>332</v>
      </c>
      <c r="AC407">
        <v>1.9528890293354999</v>
      </c>
      <c r="AD407">
        <v>2.2282278597453402</v>
      </c>
      <c r="AE407">
        <v>4.6455465691534602E-2</v>
      </c>
      <c r="AF407">
        <v>0.22211459408794501</v>
      </c>
      <c r="AG407">
        <v>1000</v>
      </c>
      <c r="AH407">
        <v>1.80648372020096</v>
      </c>
      <c r="AI407">
        <v>2.1140191422410499</v>
      </c>
      <c r="AJ407">
        <v>2.0842456937712801</v>
      </c>
      <c r="AK407">
        <v>2.3852706686511498</v>
      </c>
      <c r="AL407">
        <v>-9.1847325063641894E-3</v>
      </c>
      <c r="AM407">
        <v>9.1058391056105095E-2</v>
      </c>
      <c r="AN407">
        <v>0.123403560561474</v>
      </c>
      <c r="AO407">
        <v>0.307870848182007</v>
      </c>
      <c r="AP407">
        <v>1000</v>
      </c>
      <c r="AQ407">
        <v>1.8108224652071001</v>
      </c>
      <c r="AR407">
        <v>2.11316721347296</v>
      </c>
      <c r="AS407">
        <v>5</v>
      </c>
    </row>
    <row r="408" spans="1:45" x14ac:dyDescent="0.3">
      <c r="A408" t="s">
        <v>1229</v>
      </c>
      <c r="B408" t="s">
        <v>109</v>
      </c>
      <c r="C408" t="s">
        <v>25</v>
      </c>
      <c r="D408" t="s">
        <v>68</v>
      </c>
      <c r="E408" t="s">
        <v>515</v>
      </c>
      <c r="F408">
        <v>8</v>
      </c>
      <c r="G408" t="s">
        <v>24</v>
      </c>
      <c r="H408" t="s">
        <v>36</v>
      </c>
      <c r="I408" t="s">
        <v>34</v>
      </c>
      <c r="J408" t="s">
        <v>29</v>
      </c>
      <c r="K408" t="s">
        <v>111</v>
      </c>
      <c r="L408">
        <v>10</v>
      </c>
      <c r="M408">
        <v>332</v>
      </c>
      <c r="N408">
        <v>42</v>
      </c>
      <c r="O408">
        <v>42</v>
      </c>
      <c r="P408" t="b">
        <v>1</v>
      </c>
      <c r="Q408" t="s">
        <v>248</v>
      </c>
      <c r="R408">
        <v>1.8885163196693999</v>
      </c>
      <c r="S408">
        <v>42</v>
      </c>
      <c r="T408">
        <v>0</v>
      </c>
      <c r="U408" t="s">
        <v>1230</v>
      </c>
      <c r="V408" t="s">
        <v>508</v>
      </c>
      <c r="W408">
        <v>0.40476190476190399</v>
      </c>
      <c r="X408" t="b">
        <v>0</v>
      </c>
      <c r="Y408">
        <v>340.00470169987199</v>
      </c>
      <c r="Z408">
        <v>33.386875799929797</v>
      </c>
      <c r="AA408">
        <v>6720.5690172000004</v>
      </c>
      <c r="AB408">
        <v>332</v>
      </c>
      <c r="AC408">
        <v>1.8873601987198101</v>
      </c>
      <c r="AD408">
        <v>2.1783934065411401</v>
      </c>
      <c r="AE408">
        <v>8.8630670929334895E-2</v>
      </c>
      <c r="AF408">
        <v>0.30555703885242702</v>
      </c>
      <c r="AG408">
        <v>1000</v>
      </c>
      <c r="AH408">
        <v>1.7427099402036901</v>
      </c>
      <c r="AI408">
        <v>2.0272389088146401</v>
      </c>
      <c r="AJ408">
        <v>2.0316370288313599</v>
      </c>
      <c r="AK408">
        <v>2.3171700947370302</v>
      </c>
      <c r="AL408">
        <v>5.1465135204736598E-2</v>
      </c>
      <c r="AM408">
        <v>0.12225091387806999</v>
      </c>
      <c r="AN408">
        <v>0.23553570814361799</v>
      </c>
      <c r="AO408">
        <v>0.37290186198043501</v>
      </c>
      <c r="AP408">
        <v>1000</v>
      </c>
      <c r="AQ408">
        <v>1.74411100527633</v>
      </c>
      <c r="AR408">
        <v>2.0271787657442299</v>
      </c>
      <c r="AS408">
        <v>1</v>
      </c>
    </row>
    <row r="409" spans="1:45" x14ac:dyDescent="0.3">
      <c r="A409" t="s">
        <v>1231</v>
      </c>
      <c r="B409" t="s">
        <v>109</v>
      </c>
      <c r="C409" t="s">
        <v>25</v>
      </c>
      <c r="D409" t="s">
        <v>68</v>
      </c>
      <c r="E409" t="s">
        <v>519</v>
      </c>
      <c r="F409">
        <v>9</v>
      </c>
      <c r="G409" t="s">
        <v>24</v>
      </c>
      <c r="H409" t="s">
        <v>36</v>
      </c>
      <c r="I409" t="s">
        <v>35</v>
      </c>
      <c r="J409" t="s">
        <v>29</v>
      </c>
      <c r="K409" t="s">
        <v>111</v>
      </c>
      <c r="L409">
        <v>10</v>
      </c>
      <c r="M409">
        <v>332</v>
      </c>
      <c r="N409">
        <v>42</v>
      </c>
      <c r="O409">
        <v>42</v>
      </c>
      <c r="P409" t="b">
        <v>1</v>
      </c>
      <c r="Q409" t="s">
        <v>248</v>
      </c>
      <c r="R409">
        <v>1.93958305759025</v>
      </c>
      <c r="S409">
        <v>42</v>
      </c>
      <c r="T409">
        <v>0</v>
      </c>
      <c r="U409" t="s">
        <v>1232</v>
      </c>
      <c r="V409" t="s">
        <v>492</v>
      </c>
      <c r="W409">
        <v>0.38095238095237999</v>
      </c>
      <c r="X409" t="b">
        <v>0</v>
      </c>
      <c r="Y409">
        <v>346.669686299923</v>
      </c>
      <c r="Z409">
        <v>36.643793199924403</v>
      </c>
      <c r="AA409">
        <v>6807.8763077000003</v>
      </c>
      <c r="AB409">
        <v>332</v>
      </c>
      <c r="AC409">
        <v>1.9380923292113099</v>
      </c>
      <c r="AD409">
        <v>2.2070864782854902</v>
      </c>
      <c r="AE409">
        <v>6.4464048948567207E-2</v>
      </c>
      <c r="AF409">
        <v>0.240953219062091</v>
      </c>
      <c r="AG409">
        <v>1000</v>
      </c>
      <c r="AH409">
        <v>1.79448068786465</v>
      </c>
      <c r="AI409">
        <v>2.0915795150160799</v>
      </c>
      <c r="AJ409">
        <v>2.06048664317388</v>
      </c>
      <c r="AK409">
        <v>2.35576415801575</v>
      </c>
      <c r="AL409">
        <v>2.5331388565990001E-2</v>
      </c>
      <c r="AM409">
        <v>9.7397496054917806E-2</v>
      </c>
      <c r="AN409">
        <v>0.16293250809988499</v>
      </c>
      <c r="AO409">
        <v>0.31554431278966999</v>
      </c>
      <c r="AP409">
        <v>1000</v>
      </c>
      <c r="AQ409">
        <v>1.79723092888216</v>
      </c>
      <c r="AR409">
        <v>2.0893966387776102</v>
      </c>
      <c r="AS409">
        <v>4</v>
      </c>
    </row>
    <row r="410" spans="1:45" x14ac:dyDescent="0.3">
      <c r="A410" t="s">
        <v>1233</v>
      </c>
      <c r="B410" t="s">
        <v>109</v>
      </c>
      <c r="C410" t="s">
        <v>37</v>
      </c>
      <c r="D410" t="s">
        <v>68</v>
      </c>
      <c r="E410" t="s">
        <v>480</v>
      </c>
      <c r="F410">
        <v>0</v>
      </c>
      <c r="G410" t="s">
        <v>24</v>
      </c>
      <c r="H410" t="s">
        <v>26</v>
      </c>
      <c r="I410" t="s">
        <v>27</v>
      </c>
      <c r="J410" t="s">
        <v>29</v>
      </c>
      <c r="K410" t="s">
        <v>111</v>
      </c>
      <c r="L410">
        <v>10</v>
      </c>
      <c r="M410">
        <v>332</v>
      </c>
      <c r="N410">
        <v>42</v>
      </c>
      <c r="O410">
        <v>42</v>
      </c>
      <c r="P410" t="b">
        <v>1</v>
      </c>
      <c r="Q410" t="s">
        <v>248</v>
      </c>
      <c r="R410">
        <v>1.7717999572983201</v>
      </c>
      <c r="S410">
        <v>42</v>
      </c>
      <c r="T410">
        <v>0</v>
      </c>
      <c r="U410" t="s">
        <v>1234</v>
      </c>
      <c r="V410" t="s">
        <v>508</v>
      </c>
      <c r="W410">
        <v>0.452380952380952</v>
      </c>
      <c r="X410" t="b">
        <v>0</v>
      </c>
      <c r="Y410">
        <v>333.30089270007699</v>
      </c>
      <c r="Z410">
        <v>32.1267422999953</v>
      </c>
      <c r="AA410">
        <v>5363.9501414999904</v>
      </c>
      <c r="AB410">
        <v>332</v>
      </c>
      <c r="AC410">
        <v>1.76909565333577</v>
      </c>
      <c r="AD410">
        <v>2.0889662405032299</v>
      </c>
      <c r="AE410">
        <v>-9.4950821328236804E-2</v>
      </c>
      <c r="AF410">
        <v>-6.6715798337190907E-2</v>
      </c>
      <c r="AG410">
        <v>1000</v>
      </c>
      <c r="AH410">
        <v>1.5954114616055699</v>
      </c>
      <c r="AI410">
        <v>1.95612868119457</v>
      </c>
      <c r="AJ410">
        <v>1.91661339009497</v>
      </c>
      <c r="AK410">
        <v>2.26976534411035</v>
      </c>
      <c r="AL410">
        <v>-0.20705165691990501</v>
      </c>
      <c r="AM410">
        <v>-1.81086614814975E-2</v>
      </c>
      <c r="AN410">
        <v>-0.21776827888636299</v>
      </c>
      <c r="AO410">
        <v>9.9347503238282495E-2</v>
      </c>
      <c r="AP410">
        <v>1000</v>
      </c>
      <c r="AQ410">
        <v>1.5985922681418101</v>
      </c>
      <c r="AR410">
        <v>1.9610768234562199</v>
      </c>
      <c r="AS410">
        <v>10</v>
      </c>
    </row>
    <row r="411" spans="1:45" x14ac:dyDescent="0.3">
      <c r="A411" t="s">
        <v>1235</v>
      </c>
      <c r="B411" t="s">
        <v>109</v>
      </c>
      <c r="C411" t="s">
        <v>37</v>
      </c>
      <c r="D411" t="s">
        <v>68</v>
      </c>
      <c r="E411" t="s">
        <v>485</v>
      </c>
      <c r="F411">
        <v>1</v>
      </c>
      <c r="G411" t="s">
        <v>24</v>
      </c>
      <c r="H411" t="s">
        <v>26</v>
      </c>
      <c r="I411" t="s">
        <v>32</v>
      </c>
      <c r="J411" t="s">
        <v>29</v>
      </c>
      <c r="K411" t="s">
        <v>111</v>
      </c>
      <c r="L411">
        <v>10</v>
      </c>
      <c r="M411">
        <v>332</v>
      </c>
      <c r="N411">
        <v>42</v>
      </c>
      <c r="O411">
        <v>42</v>
      </c>
      <c r="P411" t="b">
        <v>1</v>
      </c>
      <c r="Q411" t="s">
        <v>248</v>
      </c>
      <c r="R411">
        <v>1.7052527103071999</v>
      </c>
      <c r="S411">
        <v>42</v>
      </c>
      <c r="T411">
        <v>0</v>
      </c>
      <c r="U411" t="s">
        <v>1236</v>
      </c>
      <c r="V411" t="s">
        <v>482</v>
      </c>
      <c r="W411">
        <v>0.452380952380952</v>
      </c>
      <c r="X411" t="b">
        <v>0</v>
      </c>
      <c r="Y411">
        <v>338.18052020006797</v>
      </c>
      <c r="Z411">
        <v>34.8515332000242</v>
      </c>
      <c r="AA411">
        <v>5395.0309457999901</v>
      </c>
      <c r="AB411">
        <v>332</v>
      </c>
      <c r="AC411">
        <v>1.7035427309950499</v>
      </c>
      <c r="AD411">
        <v>2.01500029312905</v>
      </c>
      <c r="AE411">
        <v>-1.8783723951833298E-2</v>
      </c>
      <c r="AF411">
        <v>4.7193148595840201E-2</v>
      </c>
      <c r="AG411">
        <v>1000</v>
      </c>
      <c r="AH411">
        <v>1.5610004739869401</v>
      </c>
      <c r="AI411">
        <v>1.8495579636111601</v>
      </c>
      <c r="AJ411">
        <v>1.86887774512782</v>
      </c>
      <c r="AK411">
        <v>2.1631054055169501</v>
      </c>
      <c r="AL411">
        <v>-9.9514090283654794E-2</v>
      </c>
      <c r="AM411">
        <v>2.8146223813843699E-2</v>
      </c>
      <c r="AN411">
        <v>-9.6744457385325597E-2</v>
      </c>
      <c r="AO411">
        <v>0.19359782032662701</v>
      </c>
      <c r="AP411">
        <v>1000</v>
      </c>
      <c r="AQ411">
        <v>1.56308399308781</v>
      </c>
      <c r="AR411">
        <v>1.8541202941830901</v>
      </c>
      <c r="AS411">
        <v>1</v>
      </c>
    </row>
    <row r="412" spans="1:45" x14ac:dyDescent="0.3">
      <c r="A412" t="s">
        <v>1237</v>
      </c>
      <c r="B412" t="s">
        <v>109</v>
      </c>
      <c r="C412" t="s">
        <v>37</v>
      </c>
      <c r="D412" t="s">
        <v>68</v>
      </c>
      <c r="E412" t="s">
        <v>490</v>
      </c>
      <c r="F412">
        <v>2</v>
      </c>
      <c r="G412" t="s">
        <v>24</v>
      </c>
      <c r="H412" t="s">
        <v>26</v>
      </c>
      <c r="I412" t="s">
        <v>33</v>
      </c>
      <c r="J412" t="s">
        <v>29</v>
      </c>
      <c r="K412" t="s">
        <v>111</v>
      </c>
      <c r="L412">
        <v>10</v>
      </c>
      <c r="M412">
        <v>332</v>
      </c>
      <c r="N412">
        <v>42</v>
      </c>
      <c r="O412">
        <v>42</v>
      </c>
      <c r="P412" t="b">
        <v>1</v>
      </c>
      <c r="Q412" t="s">
        <v>248</v>
      </c>
      <c r="R412">
        <v>1.71268291309314</v>
      </c>
      <c r="S412">
        <v>42</v>
      </c>
      <c r="T412">
        <v>0</v>
      </c>
      <c r="U412" t="s">
        <v>1238</v>
      </c>
      <c r="V412" t="s">
        <v>508</v>
      </c>
      <c r="W412">
        <v>0.35714285714285698</v>
      </c>
      <c r="X412" t="b">
        <v>0</v>
      </c>
      <c r="Y412">
        <v>345.69516959997401</v>
      </c>
      <c r="Z412">
        <v>33.304301500014802</v>
      </c>
      <c r="AA412">
        <v>5426.3444594999801</v>
      </c>
      <c r="AB412">
        <v>332</v>
      </c>
      <c r="AC412">
        <v>1.70983394014866</v>
      </c>
      <c r="AD412">
        <v>2.0199994637743801</v>
      </c>
      <c r="AE412">
        <v>-2.38451540717654E-2</v>
      </c>
      <c r="AF412">
        <v>7.7999117770445395E-2</v>
      </c>
      <c r="AG412">
        <v>1000</v>
      </c>
      <c r="AH412">
        <v>1.5767345243941799</v>
      </c>
      <c r="AI412">
        <v>1.87254455229601</v>
      </c>
      <c r="AJ412">
        <v>1.87091164908389</v>
      </c>
      <c r="AK412">
        <v>2.1915873983377998</v>
      </c>
      <c r="AL412">
        <v>-0.14591375429210901</v>
      </c>
      <c r="AM412">
        <v>5.0650706553864402E-2</v>
      </c>
      <c r="AN412">
        <v>-9.3111336857948299E-2</v>
      </c>
      <c r="AO412">
        <v>0.23094410278585001</v>
      </c>
      <c r="AP412">
        <v>1000</v>
      </c>
      <c r="AQ412">
        <v>1.5789695368078001</v>
      </c>
      <c r="AR412">
        <v>1.87525460405394</v>
      </c>
      <c r="AS412">
        <v>4</v>
      </c>
    </row>
    <row r="413" spans="1:45" x14ac:dyDescent="0.3">
      <c r="A413" t="s">
        <v>1239</v>
      </c>
      <c r="B413" t="s">
        <v>109</v>
      </c>
      <c r="C413" t="s">
        <v>37</v>
      </c>
      <c r="D413" t="s">
        <v>68</v>
      </c>
      <c r="E413" t="s">
        <v>495</v>
      </c>
      <c r="F413">
        <v>3</v>
      </c>
      <c r="G413" t="s">
        <v>24</v>
      </c>
      <c r="H413" t="s">
        <v>26</v>
      </c>
      <c r="I413" t="s">
        <v>34</v>
      </c>
      <c r="J413" t="s">
        <v>29</v>
      </c>
      <c r="K413" t="s">
        <v>111</v>
      </c>
      <c r="L413">
        <v>10</v>
      </c>
      <c r="M413">
        <v>332</v>
      </c>
      <c r="N413">
        <v>42</v>
      </c>
      <c r="O413">
        <v>42</v>
      </c>
      <c r="P413" t="b">
        <v>1</v>
      </c>
      <c r="Q413" t="s">
        <v>248</v>
      </c>
      <c r="R413">
        <v>1.73490973293955</v>
      </c>
      <c r="S413">
        <v>42</v>
      </c>
      <c r="T413">
        <v>0</v>
      </c>
      <c r="U413" t="s">
        <v>1240</v>
      </c>
      <c r="V413" t="s">
        <v>487</v>
      </c>
      <c r="W413">
        <v>0.38095238095237999</v>
      </c>
      <c r="X413" t="b">
        <v>0</v>
      </c>
      <c r="Y413">
        <v>383.73881809996902</v>
      </c>
      <c r="Z413">
        <v>41.944440699982799</v>
      </c>
      <c r="AA413">
        <v>5457.7619269999996</v>
      </c>
      <c r="AB413">
        <v>332</v>
      </c>
      <c r="AC413">
        <v>1.73265127147022</v>
      </c>
      <c r="AD413">
        <v>2.0603533901276698</v>
      </c>
      <c r="AE413">
        <v>-6.5160870572773297E-2</v>
      </c>
      <c r="AF413">
        <v>-4.7437671581455197E-2</v>
      </c>
      <c r="AG413">
        <v>1000</v>
      </c>
      <c r="AH413">
        <v>1.55607394990982</v>
      </c>
      <c r="AI413">
        <v>1.90165769943425</v>
      </c>
      <c r="AJ413">
        <v>1.8817553346325899</v>
      </c>
      <c r="AK413">
        <v>2.2216392553062199</v>
      </c>
      <c r="AL413">
        <v>-0.17010798126773199</v>
      </c>
      <c r="AM413">
        <v>-2.1398664414238001E-3</v>
      </c>
      <c r="AN413">
        <v>-0.22268966339739699</v>
      </c>
      <c r="AO413">
        <v>0.116412615749484</v>
      </c>
      <c r="AP413">
        <v>1000</v>
      </c>
      <c r="AQ413">
        <v>1.5599230507445001</v>
      </c>
      <c r="AR413">
        <v>1.9037845483439699</v>
      </c>
      <c r="AS413">
        <v>5</v>
      </c>
    </row>
    <row r="414" spans="1:45" x14ac:dyDescent="0.3">
      <c r="A414" t="s">
        <v>1241</v>
      </c>
      <c r="B414" t="s">
        <v>109</v>
      </c>
      <c r="C414" t="s">
        <v>37</v>
      </c>
      <c r="D414" t="s">
        <v>68</v>
      </c>
      <c r="E414" t="s">
        <v>498</v>
      </c>
      <c r="F414">
        <v>4</v>
      </c>
      <c r="G414" t="s">
        <v>24</v>
      </c>
      <c r="H414" t="s">
        <v>26</v>
      </c>
      <c r="I414" t="s">
        <v>35</v>
      </c>
      <c r="J414" t="s">
        <v>29</v>
      </c>
      <c r="K414" t="s">
        <v>111</v>
      </c>
      <c r="L414">
        <v>10</v>
      </c>
      <c r="M414">
        <v>332</v>
      </c>
      <c r="N414">
        <v>42</v>
      </c>
      <c r="O414">
        <v>42</v>
      </c>
      <c r="P414" t="b">
        <v>1</v>
      </c>
      <c r="Q414" t="s">
        <v>248</v>
      </c>
      <c r="R414">
        <v>1.7480776840702099</v>
      </c>
      <c r="S414">
        <v>42</v>
      </c>
      <c r="T414">
        <v>0</v>
      </c>
      <c r="U414" t="s">
        <v>1242</v>
      </c>
      <c r="V414" t="s">
        <v>508</v>
      </c>
      <c r="W414">
        <v>0.35714285714285698</v>
      </c>
      <c r="X414" t="b">
        <v>0</v>
      </c>
      <c r="Y414">
        <v>365.18439540003601</v>
      </c>
      <c r="Z414">
        <v>42.249994400059201</v>
      </c>
      <c r="AA414">
        <v>5489.0231414999998</v>
      </c>
      <c r="AB414">
        <v>332</v>
      </c>
      <c r="AC414">
        <v>1.74569878247184</v>
      </c>
      <c r="AD414">
        <v>2.05645014741066</v>
      </c>
      <c r="AE414">
        <v>-6.1128898912903698E-2</v>
      </c>
      <c r="AF414">
        <v>1.6554898908408701E-2</v>
      </c>
      <c r="AG414">
        <v>1000</v>
      </c>
      <c r="AH414">
        <v>1.5813377202030801</v>
      </c>
      <c r="AI414">
        <v>1.9181593070268199</v>
      </c>
      <c r="AJ414">
        <v>1.8815180200924</v>
      </c>
      <c r="AK414">
        <v>2.23799774914675</v>
      </c>
      <c r="AL414">
        <v>-0.17352215486556299</v>
      </c>
      <c r="AM414">
        <v>1.3062466337096099E-2</v>
      </c>
      <c r="AN414">
        <v>-0.13020012921793001</v>
      </c>
      <c r="AO414">
        <v>0.169218235750313</v>
      </c>
      <c r="AP414">
        <v>1000</v>
      </c>
      <c r="AQ414">
        <v>1.5856691058875201</v>
      </c>
      <c r="AR414">
        <v>1.9225518858327999</v>
      </c>
      <c r="AS414">
        <v>9</v>
      </c>
    </row>
    <row r="415" spans="1:45" x14ac:dyDescent="0.3">
      <c r="A415" t="s">
        <v>1243</v>
      </c>
      <c r="B415" t="s">
        <v>109</v>
      </c>
      <c r="C415" t="s">
        <v>37</v>
      </c>
      <c r="D415" t="s">
        <v>68</v>
      </c>
      <c r="E415" t="s">
        <v>502</v>
      </c>
      <c r="F415">
        <v>5</v>
      </c>
      <c r="G415" t="s">
        <v>24</v>
      </c>
      <c r="H415" t="s">
        <v>36</v>
      </c>
      <c r="I415" t="s">
        <v>27</v>
      </c>
      <c r="J415" t="s">
        <v>29</v>
      </c>
      <c r="K415" t="s">
        <v>111</v>
      </c>
      <c r="L415">
        <v>10</v>
      </c>
      <c r="M415">
        <v>332</v>
      </c>
      <c r="N415">
        <v>42</v>
      </c>
      <c r="O415">
        <v>42</v>
      </c>
      <c r="P415" t="b">
        <v>1</v>
      </c>
      <c r="Q415" t="s">
        <v>248</v>
      </c>
      <c r="R415">
        <v>1.7419488270033501</v>
      </c>
      <c r="S415">
        <v>42</v>
      </c>
      <c r="T415">
        <v>0</v>
      </c>
      <c r="U415" t="s">
        <v>1244</v>
      </c>
      <c r="V415" t="s">
        <v>508</v>
      </c>
      <c r="W415">
        <v>0.40476190476190399</v>
      </c>
      <c r="X415" t="b">
        <v>0</v>
      </c>
      <c r="Y415">
        <v>243.91530520014899</v>
      </c>
      <c r="Z415">
        <v>23.143515500007101</v>
      </c>
      <c r="AA415">
        <v>5520.6785118999896</v>
      </c>
      <c r="AB415">
        <v>332</v>
      </c>
      <c r="AC415">
        <v>1.73966404116302</v>
      </c>
      <c r="AD415">
        <v>2.0536117225762598</v>
      </c>
      <c r="AE415">
        <v>-5.8201664324095202E-2</v>
      </c>
      <c r="AF415">
        <v>-3.9268736130891303E-2</v>
      </c>
      <c r="AG415">
        <v>1000</v>
      </c>
      <c r="AH415">
        <v>1.5784075392563099</v>
      </c>
      <c r="AI415">
        <v>1.90755802820497</v>
      </c>
      <c r="AJ415">
        <v>1.8783637848093699</v>
      </c>
      <c r="AK415">
        <v>2.2259284195776798</v>
      </c>
      <c r="AL415">
        <v>-0.16291541341249099</v>
      </c>
      <c r="AM415">
        <v>-1.7590182014064399E-3</v>
      </c>
      <c r="AN415">
        <v>-0.173129002951978</v>
      </c>
      <c r="AO415">
        <v>9.60678552547614E-2</v>
      </c>
      <c r="AP415">
        <v>1000</v>
      </c>
      <c r="AQ415">
        <v>1.5800324631998699</v>
      </c>
      <c r="AR415">
        <v>1.91095612457613</v>
      </c>
      <c r="AS415">
        <v>7</v>
      </c>
    </row>
    <row r="416" spans="1:45" x14ac:dyDescent="0.3">
      <c r="A416" t="s">
        <v>1245</v>
      </c>
      <c r="B416" t="s">
        <v>109</v>
      </c>
      <c r="C416" t="s">
        <v>37</v>
      </c>
      <c r="D416" t="s">
        <v>68</v>
      </c>
      <c r="E416" t="s">
        <v>506</v>
      </c>
      <c r="F416">
        <v>6</v>
      </c>
      <c r="G416" t="s">
        <v>24</v>
      </c>
      <c r="H416" t="s">
        <v>36</v>
      </c>
      <c r="I416" t="s">
        <v>32</v>
      </c>
      <c r="J416" t="s">
        <v>29</v>
      </c>
      <c r="K416" t="s">
        <v>111</v>
      </c>
      <c r="L416">
        <v>10</v>
      </c>
      <c r="M416">
        <v>332</v>
      </c>
      <c r="N416">
        <v>42</v>
      </c>
      <c r="O416">
        <v>42</v>
      </c>
      <c r="P416" t="b">
        <v>1</v>
      </c>
      <c r="Q416" t="s">
        <v>248</v>
      </c>
      <c r="R416">
        <v>1.71214439609722</v>
      </c>
      <c r="S416">
        <v>42</v>
      </c>
      <c r="T416">
        <v>0</v>
      </c>
      <c r="U416" t="s">
        <v>1246</v>
      </c>
      <c r="V416" t="s">
        <v>487</v>
      </c>
      <c r="W416">
        <v>0.30952380952380898</v>
      </c>
      <c r="X416" t="b">
        <v>0</v>
      </c>
      <c r="Y416">
        <v>1703.66648309997</v>
      </c>
      <c r="Z416">
        <v>26.081699399961501</v>
      </c>
      <c r="AA416">
        <v>5551.3777292000004</v>
      </c>
      <c r="AB416">
        <v>332</v>
      </c>
      <c r="AC416">
        <v>1.7106387340046201</v>
      </c>
      <c r="AD416">
        <v>2.0263255459964902</v>
      </c>
      <c r="AE416">
        <v>-3.0267997960980501E-2</v>
      </c>
      <c r="AF416">
        <v>6.5451044661701901E-2</v>
      </c>
      <c r="AG416">
        <v>1000</v>
      </c>
      <c r="AH416">
        <v>1.5707471370464099</v>
      </c>
      <c r="AI416">
        <v>1.8689318827652901</v>
      </c>
      <c r="AJ416">
        <v>1.88576435064958</v>
      </c>
      <c r="AK416">
        <v>2.17874080680166</v>
      </c>
      <c r="AL416">
        <v>-0.12278562857530199</v>
      </c>
      <c r="AM416">
        <v>1.9534456077523101E-2</v>
      </c>
      <c r="AN416">
        <v>-5.8119334503315599E-2</v>
      </c>
      <c r="AO416">
        <v>0.183310186722554</v>
      </c>
      <c r="AP416">
        <v>1000</v>
      </c>
      <c r="AQ416">
        <v>1.57358877049896</v>
      </c>
      <c r="AR416">
        <v>1.86835369962868</v>
      </c>
      <c r="AS416">
        <v>3</v>
      </c>
    </row>
    <row r="417" spans="1:45" x14ac:dyDescent="0.3">
      <c r="A417" t="s">
        <v>1247</v>
      </c>
      <c r="B417" t="s">
        <v>109</v>
      </c>
      <c r="C417" t="s">
        <v>37</v>
      </c>
      <c r="D417" t="s">
        <v>68</v>
      </c>
      <c r="E417" t="s">
        <v>511</v>
      </c>
      <c r="F417">
        <v>7</v>
      </c>
      <c r="G417" t="s">
        <v>24</v>
      </c>
      <c r="H417" t="s">
        <v>36</v>
      </c>
      <c r="I417" t="s">
        <v>33</v>
      </c>
      <c r="J417" t="s">
        <v>29</v>
      </c>
      <c r="K417" t="s">
        <v>111</v>
      </c>
      <c r="L417">
        <v>10</v>
      </c>
      <c r="M417">
        <v>332</v>
      </c>
      <c r="N417">
        <v>42</v>
      </c>
      <c r="O417">
        <v>42</v>
      </c>
      <c r="P417" t="b">
        <v>1</v>
      </c>
      <c r="Q417" t="s">
        <v>248</v>
      </c>
      <c r="R417">
        <v>1.709430543151</v>
      </c>
      <c r="S417">
        <v>42</v>
      </c>
      <c r="T417">
        <v>0</v>
      </c>
      <c r="U417" t="s">
        <v>1248</v>
      </c>
      <c r="V417" t="s">
        <v>487</v>
      </c>
      <c r="W417">
        <v>0.33333333333333298</v>
      </c>
      <c r="X417" t="b">
        <v>0</v>
      </c>
      <c r="Y417">
        <v>241.623869199887</v>
      </c>
      <c r="Z417">
        <v>26.394793799976402</v>
      </c>
      <c r="AA417">
        <v>5582.8879460999997</v>
      </c>
      <c r="AB417">
        <v>332</v>
      </c>
      <c r="AC417">
        <v>1.70585827687158</v>
      </c>
      <c r="AD417">
        <v>2.0275449088987201</v>
      </c>
      <c r="AE417">
        <v>-3.1508320440868598E-2</v>
      </c>
      <c r="AF417">
        <v>5.0305483307344898E-2</v>
      </c>
      <c r="AG417">
        <v>1000</v>
      </c>
      <c r="AH417">
        <v>1.5472493789442501</v>
      </c>
      <c r="AI417">
        <v>1.8755549189017899</v>
      </c>
      <c r="AJ417">
        <v>1.85748778078342</v>
      </c>
      <c r="AK417">
        <v>2.1903143748309999</v>
      </c>
      <c r="AL417">
        <v>-0.14035488681803701</v>
      </c>
      <c r="AM417">
        <v>2.9295520191981901E-2</v>
      </c>
      <c r="AN417">
        <v>-8.9711812690248999E-2</v>
      </c>
      <c r="AO417">
        <v>0.182542585373455</v>
      </c>
      <c r="AP417">
        <v>1000</v>
      </c>
      <c r="AQ417">
        <v>1.5526207993833601</v>
      </c>
      <c r="AR417">
        <v>1.88218723428988</v>
      </c>
      <c r="AS417">
        <v>2</v>
      </c>
    </row>
    <row r="418" spans="1:45" x14ac:dyDescent="0.3">
      <c r="A418" t="s">
        <v>1249</v>
      </c>
      <c r="B418" t="s">
        <v>109</v>
      </c>
      <c r="C418" t="s">
        <v>37</v>
      </c>
      <c r="D418" t="s">
        <v>68</v>
      </c>
      <c r="E418" t="s">
        <v>515</v>
      </c>
      <c r="F418">
        <v>8</v>
      </c>
      <c r="G418" t="s">
        <v>24</v>
      </c>
      <c r="H418" t="s">
        <v>36</v>
      </c>
      <c r="I418" t="s">
        <v>34</v>
      </c>
      <c r="J418" t="s">
        <v>29</v>
      </c>
      <c r="K418" t="s">
        <v>111</v>
      </c>
      <c r="L418">
        <v>10</v>
      </c>
      <c r="M418">
        <v>332</v>
      </c>
      <c r="N418">
        <v>42</v>
      </c>
      <c r="O418">
        <v>42</v>
      </c>
      <c r="P418" t="b">
        <v>1</v>
      </c>
      <c r="Q418" t="s">
        <v>248</v>
      </c>
      <c r="R418">
        <v>1.74239411470184</v>
      </c>
      <c r="S418">
        <v>42</v>
      </c>
      <c r="T418">
        <v>0</v>
      </c>
      <c r="U418" t="s">
        <v>1250</v>
      </c>
      <c r="V418" t="s">
        <v>487</v>
      </c>
      <c r="W418">
        <v>0.35714285714285698</v>
      </c>
      <c r="X418" t="b">
        <v>0</v>
      </c>
      <c r="Y418">
        <v>264.11550370004198</v>
      </c>
      <c r="Z418">
        <v>29.3547988000063</v>
      </c>
      <c r="AA418">
        <v>5613.7313950999896</v>
      </c>
      <c r="AB418">
        <v>332</v>
      </c>
      <c r="AC418">
        <v>1.74061184675528</v>
      </c>
      <c r="AD418">
        <v>2.05034101974648</v>
      </c>
      <c r="AE418">
        <v>-5.4833640083142801E-2</v>
      </c>
      <c r="AF418">
        <v>-1.8085498573907299E-2</v>
      </c>
      <c r="AG418">
        <v>1000</v>
      </c>
      <c r="AH418">
        <v>1.5898664270912899</v>
      </c>
      <c r="AI418">
        <v>1.89363418304537</v>
      </c>
      <c r="AJ418">
        <v>1.89513076941242</v>
      </c>
      <c r="AK418">
        <v>2.2000413155404401</v>
      </c>
      <c r="AL418">
        <v>-0.154695534465142</v>
      </c>
      <c r="AM418">
        <v>-4.1336561494746196E-3</v>
      </c>
      <c r="AN418">
        <v>-0.147088895825083</v>
      </c>
      <c r="AO418">
        <v>0.115796845377581</v>
      </c>
      <c r="AP418">
        <v>1000</v>
      </c>
      <c r="AQ418">
        <v>1.5920238057240299</v>
      </c>
      <c r="AR418">
        <v>1.89537952598489</v>
      </c>
      <c r="AS418">
        <v>8</v>
      </c>
    </row>
    <row r="419" spans="1:45" x14ac:dyDescent="0.3">
      <c r="A419" t="s">
        <v>1251</v>
      </c>
      <c r="B419" t="s">
        <v>109</v>
      </c>
      <c r="C419" t="s">
        <v>37</v>
      </c>
      <c r="D419" t="s">
        <v>68</v>
      </c>
      <c r="E419" t="s">
        <v>519</v>
      </c>
      <c r="F419">
        <v>9</v>
      </c>
      <c r="G419" t="s">
        <v>24</v>
      </c>
      <c r="H419" t="s">
        <v>36</v>
      </c>
      <c r="I419" t="s">
        <v>35</v>
      </c>
      <c r="J419" t="s">
        <v>29</v>
      </c>
      <c r="K419" t="s">
        <v>111</v>
      </c>
      <c r="L419">
        <v>10</v>
      </c>
      <c r="M419">
        <v>332</v>
      </c>
      <c r="N419">
        <v>42</v>
      </c>
      <c r="O419">
        <v>42</v>
      </c>
      <c r="P419" t="b">
        <v>1</v>
      </c>
      <c r="Q419" t="s">
        <v>248</v>
      </c>
      <c r="R419">
        <v>1.7351746885000101</v>
      </c>
      <c r="S419">
        <v>42</v>
      </c>
      <c r="T419">
        <v>0</v>
      </c>
      <c r="U419" t="s">
        <v>1252</v>
      </c>
      <c r="V419" t="s">
        <v>482</v>
      </c>
      <c r="W419">
        <v>0.35714285714285698</v>
      </c>
      <c r="X419" t="b">
        <v>0</v>
      </c>
      <c r="Y419">
        <v>263.45191250015301</v>
      </c>
      <c r="Z419">
        <v>27.524945500030299</v>
      </c>
      <c r="AA419">
        <v>5645.8164450999902</v>
      </c>
      <c r="AB419">
        <v>332</v>
      </c>
      <c r="AC419">
        <v>1.7317400710353199</v>
      </c>
      <c r="AD419">
        <v>2.04987948833559</v>
      </c>
      <c r="AE419">
        <v>-5.4358807789585503E-2</v>
      </c>
      <c r="AF419">
        <v>-4.5418905286864599E-3</v>
      </c>
      <c r="AG419">
        <v>1000</v>
      </c>
      <c r="AH419">
        <v>1.5774842089641301</v>
      </c>
      <c r="AI419">
        <v>1.8983919283060799</v>
      </c>
      <c r="AJ419">
        <v>1.8932849177208999</v>
      </c>
      <c r="AK419">
        <v>2.2184269007072599</v>
      </c>
      <c r="AL419">
        <v>-0.16294455438892899</v>
      </c>
      <c r="AM419">
        <v>8.6427336771043306E-3</v>
      </c>
      <c r="AN419">
        <v>-0.16767389009380601</v>
      </c>
      <c r="AO419">
        <v>0.144309088510442</v>
      </c>
      <c r="AP419">
        <v>1000</v>
      </c>
      <c r="AQ419">
        <v>1.5790503281756101</v>
      </c>
      <c r="AR419">
        <v>1.90153374941524</v>
      </c>
      <c r="AS419">
        <v>6</v>
      </c>
    </row>
    <row r="420" spans="1:45" x14ac:dyDescent="0.3">
      <c r="A420" t="s">
        <v>0</v>
      </c>
      <c r="B420" t="s">
        <v>69</v>
      </c>
      <c r="C420" t="s">
        <v>2</v>
      </c>
      <c r="D420" t="s">
        <v>70</v>
      </c>
      <c r="E420" t="s">
        <v>71</v>
      </c>
      <c r="F420" t="s">
        <v>72</v>
      </c>
      <c r="G420" t="s">
        <v>1</v>
      </c>
      <c r="H420" t="s">
        <v>3</v>
      </c>
      <c r="I420" t="s">
        <v>4</v>
      </c>
      <c r="J420" t="s">
        <v>5</v>
      </c>
      <c r="K420" t="s">
        <v>73</v>
      </c>
      <c r="L420" t="s">
        <v>74</v>
      </c>
      <c r="M420" t="s">
        <v>75</v>
      </c>
      <c r="N420" t="s">
        <v>6</v>
      </c>
      <c r="O420" t="s">
        <v>7</v>
      </c>
      <c r="P420" t="s">
        <v>8</v>
      </c>
      <c r="Q420" t="s">
        <v>76</v>
      </c>
      <c r="R420" t="s">
        <v>77</v>
      </c>
      <c r="S420" t="s">
        <v>78</v>
      </c>
      <c r="T420" t="s">
        <v>79</v>
      </c>
      <c r="U420" t="s">
        <v>80</v>
      </c>
      <c r="V420" t="s">
        <v>81</v>
      </c>
      <c r="W420" t="s">
        <v>82</v>
      </c>
      <c r="X420" t="s">
        <v>9</v>
      </c>
      <c r="Y420" t="s">
        <v>83</v>
      </c>
      <c r="Z420" t="s">
        <v>84</v>
      </c>
      <c r="AA420" t="s">
        <v>85</v>
      </c>
      <c r="AB420" t="s">
        <v>10</v>
      </c>
      <c r="AC420" t="s">
        <v>282</v>
      </c>
      <c r="AD420" t="s">
        <v>283</v>
      </c>
      <c r="AE420" t="s">
        <v>284</v>
      </c>
      <c r="AF420" t="s">
        <v>285</v>
      </c>
      <c r="AG420" t="s">
        <v>19</v>
      </c>
      <c r="AH420" t="s">
        <v>286</v>
      </c>
      <c r="AI420" t="s">
        <v>287</v>
      </c>
      <c r="AJ420" t="s">
        <v>288</v>
      </c>
      <c r="AK420" t="s">
        <v>289</v>
      </c>
      <c r="AL420" t="s">
        <v>290</v>
      </c>
      <c r="AM420" t="s">
        <v>291</v>
      </c>
      <c r="AN420" t="s">
        <v>292</v>
      </c>
      <c r="AO420" t="s">
        <v>293</v>
      </c>
      <c r="AP420" t="s">
        <v>104</v>
      </c>
      <c r="AQ420" t="s">
        <v>105</v>
      </c>
      <c r="AR420" t="s">
        <v>106</v>
      </c>
      <c r="AS420" t="s">
        <v>107</v>
      </c>
    </row>
    <row r="421" spans="1:45" x14ac:dyDescent="0.3">
      <c r="A421" t="s">
        <v>1255</v>
      </c>
      <c r="B421" t="s">
        <v>109</v>
      </c>
      <c r="C421" t="s">
        <v>25</v>
      </c>
      <c r="D421" t="s">
        <v>68</v>
      </c>
      <c r="E421" t="s">
        <v>878</v>
      </c>
      <c r="F421">
        <v>0</v>
      </c>
      <c r="G421" t="s">
        <v>24</v>
      </c>
      <c r="H421" t="s">
        <v>26</v>
      </c>
      <c r="I421" t="s">
        <v>27</v>
      </c>
      <c r="J421" t="s">
        <v>879</v>
      </c>
      <c r="K421" t="s">
        <v>111</v>
      </c>
      <c r="L421">
        <v>10</v>
      </c>
      <c r="M421">
        <v>332</v>
      </c>
      <c r="N421">
        <v>42</v>
      </c>
      <c r="O421">
        <v>42</v>
      </c>
      <c r="P421" t="b">
        <v>1</v>
      </c>
      <c r="Q421" t="s">
        <v>248</v>
      </c>
      <c r="R421">
        <v>2.0128239625954798</v>
      </c>
      <c r="S421">
        <v>42</v>
      </c>
      <c r="T421">
        <v>0</v>
      </c>
      <c r="U421" t="s">
        <v>880</v>
      </c>
      <c r="V421" t="s">
        <v>881</v>
      </c>
      <c r="W421">
        <v>1</v>
      </c>
      <c r="X421" t="b">
        <v>0</v>
      </c>
      <c r="Y421">
        <v>1799.5988687000499</v>
      </c>
      <c r="Z421">
        <v>339.76484049999198</v>
      </c>
      <c r="AA421">
        <v>16985.186463999999</v>
      </c>
      <c r="AB421">
        <v>332</v>
      </c>
      <c r="AC421">
        <v>2.0108453014062699</v>
      </c>
      <c r="AD421">
        <v>2.3005720473897502</v>
      </c>
      <c r="AE421">
        <v>-1.6467409424158998E-2</v>
      </c>
      <c r="AF421">
        <v>-4.7491278936985099E-2</v>
      </c>
      <c r="AG421">
        <v>1000</v>
      </c>
      <c r="AH421">
        <v>1.85071518429813</v>
      </c>
      <c r="AI421">
        <v>2.1815261472891398</v>
      </c>
      <c r="AJ421">
        <v>2.13050662149737</v>
      </c>
      <c r="AK421">
        <v>2.46912526398815</v>
      </c>
      <c r="AL421">
        <v>-3.8769662509239002E-2</v>
      </c>
      <c r="AM421">
        <v>1.429710438735E-3</v>
      </c>
      <c r="AN421">
        <v>-0.13529763941723699</v>
      </c>
      <c r="AO421">
        <v>4.9017702301413203E-2</v>
      </c>
      <c r="AP421">
        <v>1000</v>
      </c>
      <c r="AQ421">
        <v>1.8532504072552201</v>
      </c>
      <c r="AR421">
        <v>2.1820059305280699</v>
      </c>
      <c r="AS421">
        <v>6</v>
      </c>
    </row>
    <row r="422" spans="1:45" x14ac:dyDescent="0.3">
      <c r="A422" t="s">
        <v>1256</v>
      </c>
      <c r="B422" t="s">
        <v>109</v>
      </c>
      <c r="C422" t="s">
        <v>25</v>
      </c>
      <c r="D422" t="s">
        <v>68</v>
      </c>
      <c r="E422" t="s">
        <v>884</v>
      </c>
      <c r="F422">
        <v>1</v>
      </c>
      <c r="G422" t="s">
        <v>24</v>
      </c>
      <c r="H422" t="s">
        <v>26</v>
      </c>
      <c r="I422" t="s">
        <v>32</v>
      </c>
      <c r="J422" t="s">
        <v>879</v>
      </c>
      <c r="K422" t="s">
        <v>111</v>
      </c>
      <c r="L422">
        <v>10</v>
      </c>
      <c r="M422">
        <v>332</v>
      </c>
      <c r="N422">
        <v>42</v>
      </c>
      <c r="O422">
        <v>42</v>
      </c>
      <c r="P422" t="b">
        <v>1</v>
      </c>
      <c r="Q422" t="s">
        <v>248</v>
      </c>
      <c r="R422">
        <v>2.01341942293327</v>
      </c>
      <c r="S422">
        <v>42</v>
      </c>
      <c r="T422">
        <v>0</v>
      </c>
      <c r="U422" t="s">
        <v>880</v>
      </c>
      <c r="V422" t="s">
        <v>881</v>
      </c>
      <c r="W422">
        <v>1</v>
      </c>
      <c r="X422" t="b">
        <v>0</v>
      </c>
      <c r="Y422">
        <v>1791.6068276999899</v>
      </c>
      <c r="Z422">
        <v>340.405200999979</v>
      </c>
      <c r="AA422">
        <v>17015.1771066</v>
      </c>
      <c r="AB422">
        <v>332</v>
      </c>
      <c r="AC422">
        <v>2.0107551059594799</v>
      </c>
      <c r="AD422">
        <v>2.2941825704251602</v>
      </c>
      <c r="AE422">
        <v>-1.08290934165016E-2</v>
      </c>
      <c r="AF422">
        <v>-1.91822449746556E-2</v>
      </c>
      <c r="AG422">
        <v>1000</v>
      </c>
      <c r="AH422">
        <v>1.84655964273353</v>
      </c>
      <c r="AI422">
        <v>2.1691460103165898</v>
      </c>
      <c r="AJ422">
        <v>2.1292108141289798</v>
      </c>
      <c r="AK422">
        <v>2.4457596129150101</v>
      </c>
      <c r="AL422">
        <v>-3.5294561599436697E-2</v>
      </c>
      <c r="AM422">
        <v>1.23372969901668E-2</v>
      </c>
      <c r="AN422">
        <v>-0.10075011448099599</v>
      </c>
      <c r="AO422">
        <v>5.97029805874012E-2</v>
      </c>
      <c r="AP422">
        <v>1000</v>
      </c>
      <c r="AQ422">
        <v>1.84901920257924</v>
      </c>
      <c r="AR422">
        <v>2.17233605918064</v>
      </c>
      <c r="AS422">
        <v>7</v>
      </c>
    </row>
    <row r="423" spans="1:45" x14ac:dyDescent="0.3">
      <c r="A423" t="s">
        <v>1257</v>
      </c>
      <c r="B423" t="s">
        <v>109</v>
      </c>
      <c r="C423" t="s">
        <v>25</v>
      </c>
      <c r="D423" t="s">
        <v>68</v>
      </c>
      <c r="E423" t="s">
        <v>887</v>
      </c>
      <c r="F423">
        <v>2</v>
      </c>
      <c r="G423" t="s">
        <v>24</v>
      </c>
      <c r="H423" t="s">
        <v>26</v>
      </c>
      <c r="I423" t="s">
        <v>33</v>
      </c>
      <c r="J423" t="s">
        <v>879</v>
      </c>
      <c r="K423" t="s">
        <v>111</v>
      </c>
      <c r="L423">
        <v>10</v>
      </c>
      <c r="M423">
        <v>332</v>
      </c>
      <c r="N423">
        <v>42</v>
      </c>
      <c r="O423">
        <v>42</v>
      </c>
      <c r="P423" t="b">
        <v>1</v>
      </c>
      <c r="Q423" t="s">
        <v>248</v>
      </c>
      <c r="R423">
        <v>2.02129902875068</v>
      </c>
      <c r="S423">
        <v>42</v>
      </c>
      <c r="T423">
        <v>0</v>
      </c>
      <c r="U423" t="s">
        <v>1258</v>
      </c>
      <c r="V423" t="s">
        <v>881</v>
      </c>
      <c r="W423">
        <v>0.97619047619047605</v>
      </c>
      <c r="X423" t="b">
        <v>0</v>
      </c>
      <c r="Y423">
        <v>1769.61116789997</v>
      </c>
      <c r="Z423">
        <v>299.88203929999099</v>
      </c>
      <c r="AA423">
        <v>17044.9820024</v>
      </c>
      <c r="AB423">
        <v>332</v>
      </c>
      <c r="AC423">
        <v>2.0192924345038499</v>
      </c>
      <c r="AD423">
        <v>2.2966633532801</v>
      </c>
      <c r="AE423">
        <v>-1.3016367717743201E-2</v>
      </c>
      <c r="AF423">
        <v>-7.5988661330113505E-2</v>
      </c>
      <c r="AG423">
        <v>1000</v>
      </c>
      <c r="AH423">
        <v>1.84227412678999</v>
      </c>
      <c r="AI423">
        <v>2.1878927937644801</v>
      </c>
      <c r="AJ423">
        <v>2.12968552477051</v>
      </c>
      <c r="AK423">
        <v>2.45578523433434</v>
      </c>
      <c r="AL423">
        <v>-2.62693388149275E-2</v>
      </c>
      <c r="AM423">
        <v>-3.80091876075318E-3</v>
      </c>
      <c r="AN423">
        <v>-0.17223312352853101</v>
      </c>
      <c r="AO423">
        <v>1.64946559087496E-2</v>
      </c>
      <c r="AP423">
        <v>1000</v>
      </c>
      <c r="AQ423">
        <v>1.84175111278384</v>
      </c>
      <c r="AR423">
        <v>2.1870148711173898</v>
      </c>
      <c r="AS423">
        <v>9</v>
      </c>
    </row>
    <row r="424" spans="1:45" x14ac:dyDescent="0.3">
      <c r="A424" t="s">
        <v>1259</v>
      </c>
      <c r="B424" t="s">
        <v>109</v>
      </c>
      <c r="C424" t="s">
        <v>25</v>
      </c>
      <c r="D424" t="s">
        <v>68</v>
      </c>
      <c r="E424" t="s">
        <v>890</v>
      </c>
      <c r="F424">
        <v>3</v>
      </c>
      <c r="G424" t="s">
        <v>24</v>
      </c>
      <c r="H424" t="s">
        <v>26</v>
      </c>
      <c r="I424" t="s">
        <v>34</v>
      </c>
      <c r="J424" t="s">
        <v>879</v>
      </c>
      <c r="K424" t="s">
        <v>111</v>
      </c>
      <c r="L424">
        <v>10</v>
      </c>
      <c r="M424">
        <v>332</v>
      </c>
      <c r="N424">
        <v>42</v>
      </c>
      <c r="O424">
        <v>42</v>
      </c>
      <c r="P424" t="b">
        <v>1</v>
      </c>
      <c r="Q424" t="s">
        <v>248</v>
      </c>
      <c r="R424">
        <v>2.01030166166887</v>
      </c>
      <c r="S424">
        <v>42</v>
      </c>
      <c r="T424">
        <v>0</v>
      </c>
      <c r="U424" t="s">
        <v>880</v>
      </c>
      <c r="V424" t="s">
        <v>881</v>
      </c>
      <c r="W424">
        <v>1</v>
      </c>
      <c r="X424" t="b">
        <v>0</v>
      </c>
      <c r="Y424">
        <v>1839.03957350008</v>
      </c>
      <c r="Z424">
        <v>357.46673779999401</v>
      </c>
      <c r="AA424">
        <v>17074.7191199999</v>
      </c>
      <c r="AB424">
        <v>332</v>
      </c>
      <c r="AC424">
        <v>2.0088368576642801</v>
      </c>
      <c r="AD424">
        <v>2.28909827575312</v>
      </c>
      <c r="AE424">
        <v>-6.3537232305157501E-3</v>
      </c>
      <c r="AF424">
        <v>5.6979869040411503E-2</v>
      </c>
      <c r="AG424">
        <v>1000</v>
      </c>
      <c r="AH424">
        <v>1.8544073788709601</v>
      </c>
      <c r="AI424">
        <v>2.17152373256173</v>
      </c>
      <c r="AJ424">
        <v>2.13432001765212</v>
      </c>
      <c r="AK424">
        <v>2.4368408702474702</v>
      </c>
      <c r="AL424">
        <v>-3.65498737144207E-2</v>
      </c>
      <c r="AM424">
        <v>2.0268784900992001E-2</v>
      </c>
      <c r="AN424">
        <v>-2.48125196556277E-2</v>
      </c>
      <c r="AO424">
        <v>0.14890463213886301</v>
      </c>
      <c r="AP424">
        <v>1000</v>
      </c>
      <c r="AQ424">
        <v>1.8540171064234501</v>
      </c>
      <c r="AR424">
        <v>2.1699767184472498</v>
      </c>
      <c r="AS424">
        <v>5</v>
      </c>
    </row>
    <row r="425" spans="1:45" x14ac:dyDescent="0.3">
      <c r="A425" t="s">
        <v>1260</v>
      </c>
      <c r="B425" t="s">
        <v>109</v>
      </c>
      <c r="C425" t="s">
        <v>25</v>
      </c>
      <c r="D425" t="s">
        <v>68</v>
      </c>
      <c r="E425" t="s">
        <v>893</v>
      </c>
      <c r="F425">
        <v>4</v>
      </c>
      <c r="G425" t="s">
        <v>24</v>
      </c>
      <c r="H425" t="s">
        <v>26</v>
      </c>
      <c r="I425" t="s">
        <v>35</v>
      </c>
      <c r="J425" t="s">
        <v>879</v>
      </c>
      <c r="K425" t="s">
        <v>111</v>
      </c>
      <c r="L425">
        <v>10</v>
      </c>
      <c r="M425">
        <v>332</v>
      </c>
      <c r="N425">
        <v>42</v>
      </c>
      <c r="O425">
        <v>42</v>
      </c>
      <c r="P425" t="b">
        <v>1</v>
      </c>
      <c r="Q425" t="s">
        <v>248</v>
      </c>
      <c r="R425">
        <v>2.0292908591355898</v>
      </c>
      <c r="S425">
        <v>42</v>
      </c>
      <c r="T425">
        <v>0</v>
      </c>
      <c r="U425" t="s">
        <v>880</v>
      </c>
      <c r="V425" t="s">
        <v>881</v>
      </c>
      <c r="W425">
        <v>1</v>
      </c>
      <c r="X425" t="b">
        <v>0</v>
      </c>
      <c r="Y425">
        <v>1808.4166726999899</v>
      </c>
      <c r="Z425">
        <v>312.77527939998203</v>
      </c>
      <c r="AA425">
        <v>17103.8424248999</v>
      </c>
      <c r="AB425">
        <v>332</v>
      </c>
      <c r="AC425">
        <v>2.0282229544546402</v>
      </c>
      <c r="AD425">
        <v>2.3114991297318399</v>
      </c>
      <c r="AE425">
        <v>-2.6146220170985199E-2</v>
      </c>
      <c r="AF425">
        <v>-4.00940515502324E-2</v>
      </c>
      <c r="AG425">
        <v>1000</v>
      </c>
      <c r="AH425">
        <v>1.8481843149427399</v>
      </c>
      <c r="AI425">
        <v>2.2078418991393098</v>
      </c>
      <c r="AJ425">
        <v>2.1343289962038798</v>
      </c>
      <c r="AK425">
        <v>2.4825835491714301</v>
      </c>
      <c r="AL425">
        <v>-5.2728447234016103E-2</v>
      </c>
      <c r="AM425">
        <v>-7.7015401370974998E-3</v>
      </c>
      <c r="AN425">
        <v>-0.13810364804361699</v>
      </c>
      <c r="AO425">
        <v>7.1930555601492696E-2</v>
      </c>
      <c r="AP425">
        <v>1000</v>
      </c>
      <c r="AQ425">
        <v>1.8481475485240799</v>
      </c>
      <c r="AR425">
        <v>2.2103333454108198</v>
      </c>
      <c r="AS425">
        <v>10</v>
      </c>
    </row>
    <row r="426" spans="1:45" x14ac:dyDescent="0.3">
      <c r="A426" t="s">
        <v>1261</v>
      </c>
      <c r="B426" t="s">
        <v>109</v>
      </c>
      <c r="C426" t="s">
        <v>25</v>
      </c>
      <c r="D426" t="s">
        <v>68</v>
      </c>
      <c r="E426" t="s">
        <v>896</v>
      </c>
      <c r="F426">
        <v>5</v>
      </c>
      <c r="G426" t="s">
        <v>24</v>
      </c>
      <c r="H426" t="s">
        <v>36</v>
      </c>
      <c r="I426" t="s">
        <v>27</v>
      </c>
      <c r="J426" t="s">
        <v>879</v>
      </c>
      <c r="K426" t="s">
        <v>111</v>
      </c>
      <c r="L426">
        <v>10</v>
      </c>
      <c r="M426">
        <v>332</v>
      </c>
      <c r="N426">
        <v>42</v>
      </c>
      <c r="O426">
        <v>42</v>
      </c>
      <c r="P426" t="b">
        <v>1</v>
      </c>
      <c r="Q426" t="s">
        <v>248</v>
      </c>
      <c r="R426">
        <v>1.9741362596179799</v>
      </c>
      <c r="S426">
        <v>42</v>
      </c>
      <c r="T426">
        <v>0</v>
      </c>
      <c r="U426" t="s">
        <v>880</v>
      </c>
      <c r="V426" t="s">
        <v>881</v>
      </c>
      <c r="W426">
        <v>1</v>
      </c>
      <c r="X426" t="b">
        <v>0</v>
      </c>
      <c r="Y426">
        <v>936.13469279994001</v>
      </c>
      <c r="Z426">
        <v>221.40012019996999</v>
      </c>
      <c r="AA426">
        <v>17133.236812700001</v>
      </c>
      <c r="AB426">
        <v>332</v>
      </c>
      <c r="AC426">
        <v>1.97179906195904</v>
      </c>
      <c r="AD426">
        <v>2.2504046046330002</v>
      </c>
      <c r="AE426">
        <v>2.7380445531082501E-2</v>
      </c>
      <c r="AF426">
        <v>9.8959059981504296E-2</v>
      </c>
      <c r="AG426">
        <v>1000</v>
      </c>
      <c r="AH426">
        <v>1.8186218434500701</v>
      </c>
      <c r="AI426">
        <v>2.1251614944403401</v>
      </c>
      <c r="AJ426">
        <v>2.0968147408428499</v>
      </c>
      <c r="AK426">
        <v>2.39441293762202</v>
      </c>
      <c r="AL426">
        <v>9.5754845410877497E-3</v>
      </c>
      <c r="AM426">
        <v>4.0419705839846103E-2</v>
      </c>
      <c r="AN426">
        <v>3.7730057978254697E-2</v>
      </c>
      <c r="AO426">
        <v>0.16076619340505599</v>
      </c>
      <c r="AP426">
        <v>1000</v>
      </c>
      <c r="AQ426">
        <v>1.8225203312038001</v>
      </c>
      <c r="AR426">
        <v>2.12569872222317</v>
      </c>
      <c r="AS426">
        <v>1</v>
      </c>
    </row>
    <row r="427" spans="1:45" x14ac:dyDescent="0.3">
      <c r="A427" t="s">
        <v>1262</v>
      </c>
      <c r="B427" t="s">
        <v>109</v>
      </c>
      <c r="C427" t="s">
        <v>25</v>
      </c>
      <c r="D427" t="s">
        <v>68</v>
      </c>
      <c r="E427" t="s">
        <v>899</v>
      </c>
      <c r="F427">
        <v>6</v>
      </c>
      <c r="G427" t="s">
        <v>24</v>
      </c>
      <c r="H427" t="s">
        <v>36</v>
      </c>
      <c r="I427" t="s">
        <v>32</v>
      </c>
      <c r="J427" t="s">
        <v>879</v>
      </c>
      <c r="K427" t="s">
        <v>111</v>
      </c>
      <c r="L427">
        <v>10</v>
      </c>
      <c r="M427">
        <v>332</v>
      </c>
      <c r="N427">
        <v>42</v>
      </c>
      <c r="O427">
        <v>42</v>
      </c>
      <c r="P427" t="b">
        <v>1</v>
      </c>
      <c r="Q427" t="s">
        <v>248</v>
      </c>
      <c r="R427">
        <v>2.0142387773444499</v>
      </c>
      <c r="S427">
        <v>42</v>
      </c>
      <c r="T427">
        <v>0</v>
      </c>
      <c r="U427" t="s">
        <v>880</v>
      </c>
      <c r="V427" t="s">
        <v>881</v>
      </c>
      <c r="W427">
        <v>1</v>
      </c>
      <c r="X427" t="b">
        <v>0</v>
      </c>
      <c r="Y427">
        <v>935.88295469994</v>
      </c>
      <c r="Z427">
        <v>217.56249899999199</v>
      </c>
      <c r="AA427">
        <v>17163.0084689</v>
      </c>
      <c r="AB427">
        <v>332</v>
      </c>
      <c r="AC427">
        <v>2.0124836599970402</v>
      </c>
      <c r="AD427">
        <v>2.2866962836373701</v>
      </c>
      <c r="AE427">
        <v>-4.2428610622191601E-3</v>
      </c>
      <c r="AF427">
        <v>5.6861365106798102E-2</v>
      </c>
      <c r="AG427">
        <v>1000</v>
      </c>
      <c r="AH427">
        <v>1.84630670425953</v>
      </c>
      <c r="AI427">
        <v>2.17535561970633</v>
      </c>
      <c r="AJ427">
        <v>2.1343864282472702</v>
      </c>
      <c r="AK427">
        <v>2.43571330248712</v>
      </c>
      <c r="AL427">
        <v>-3.5975767902475003E-2</v>
      </c>
      <c r="AM427">
        <v>2.04311258572655E-2</v>
      </c>
      <c r="AN427">
        <v>-3.2450892720847203E-2</v>
      </c>
      <c r="AO427">
        <v>0.146386115156557</v>
      </c>
      <c r="AP427">
        <v>1000</v>
      </c>
      <c r="AQ427">
        <v>1.84818864158711</v>
      </c>
      <c r="AR427">
        <v>2.1732041506286701</v>
      </c>
      <c r="AS427">
        <v>8</v>
      </c>
    </row>
    <row r="428" spans="1:45" x14ac:dyDescent="0.3">
      <c r="A428" t="s">
        <v>1263</v>
      </c>
      <c r="B428" t="s">
        <v>109</v>
      </c>
      <c r="C428" t="s">
        <v>25</v>
      </c>
      <c r="D428" t="s">
        <v>68</v>
      </c>
      <c r="E428" t="s">
        <v>902</v>
      </c>
      <c r="F428">
        <v>7</v>
      </c>
      <c r="G428" t="s">
        <v>24</v>
      </c>
      <c r="H428" t="s">
        <v>36</v>
      </c>
      <c r="I428" t="s">
        <v>33</v>
      </c>
      <c r="J428" t="s">
        <v>879</v>
      </c>
      <c r="K428" t="s">
        <v>111</v>
      </c>
      <c r="L428">
        <v>10</v>
      </c>
      <c r="M428">
        <v>332</v>
      </c>
      <c r="N428">
        <v>42</v>
      </c>
      <c r="O428">
        <v>42</v>
      </c>
      <c r="P428" t="b">
        <v>1</v>
      </c>
      <c r="Q428" t="s">
        <v>248</v>
      </c>
      <c r="R428">
        <v>2.0045283300603498</v>
      </c>
      <c r="S428">
        <v>42</v>
      </c>
      <c r="T428">
        <v>0</v>
      </c>
      <c r="U428" t="s">
        <v>880</v>
      </c>
      <c r="V428" t="s">
        <v>881</v>
      </c>
      <c r="W428">
        <v>1</v>
      </c>
      <c r="X428" t="b">
        <v>0</v>
      </c>
      <c r="Y428">
        <v>936.08580820001896</v>
      </c>
      <c r="Z428">
        <v>212.22712610000599</v>
      </c>
      <c r="AA428">
        <v>17192.211275299898</v>
      </c>
      <c r="AB428">
        <v>332</v>
      </c>
      <c r="AC428">
        <v>2.0030727408018398</v>
      </c>
      <c r="AD428">
        <v>2.2732969514425498</v>
      </c>
      <c r="AE428">
        <v>7.4917617301654103E-3</v>
      </c>
      <c r="AF428">
        <v>0.12643509073450901</v>
      </c>
      <c r="AG428">
        <v>1000</v>
      </c>
      <c r="AH428">
        <v>1.8557769322276401</v>
      </c>
      <c r="AI428">
        <v>2.1611640463358701</v>
      </c>
      <c r="AJ428">
        <v>2.12519326844847</v>
      </c>
      <c r="AK428">
        <v>2.4284068874830602</v>
      </c>
      <c r="AL428">
        <v>-2.0368384840261398E-2</v>
      </c>
      <c r="AM428">
        <v>2.6105504230056101E-2</v>
      </c>
      <c r="AN428">
        <v>3.2158945864689502E-2</v>
      </c>
      <c r="AO428">
        <v>0.215852168109643</v>
      </c>
      <c r="AP428">
        <v>1000</v>
      </c>
      <c r="AQ428">
        <v>1.8603560030908</v>
      </c>
      <c r="AR428">
        <v>2.1603492053795801</v>
      </c>
      <c r="AS428">
        <v>4</v>
      </c>
    </row>
    <row r="429" spans="1:45" x14ac:dyDescent="0.3">
      <c r="A429" t="s">
        <v>1264</v>
      </c>
      <c r="B429" t="s">
        <v>109</v>
      </c>
      <c r="C429" t="s">
        <v>25</v>
      </c>
      <c r="D429" t="s">
        <v>68</v>
      </c>
      <c r="E429" t="s">
        <v>905</v>
      </c>
      <c r="F429">
        <v>8</v>
      </c>
      <c r="G429" t="s">
        <v>24</v>
      </c>
      <c r="H429" t="s">
        <v>36</v>
      </c>
      <c r="I429" t="s">
        <v>34</v>
      </c>
      <c r="J429" t="s">
        <v>879</v>
      </c>
      <c r="K429" t="s">
        <v>111</v>
      </c>
      <c r="L429">
        <v>10</v>
      </c>
      <c r="M429">
        <v>332</v>
      </c>
      <c r="N429">
        <v>42</v>
      </c>
      <c r="O429">
        <v>42</v>
      </c>
      <c r="P429" t="b">
        <v>1</v>
      </c>
      <c r="Q429" t="s">
        <v>248</v>
      </c>
      <c r="R429">
        <v>1.9873197027006899</v>
      </c>
      <c r="S429">
        <v>42</v>
      </c>
      <c r="T429">
        <v>0</v>
      </c>
      <c r="U429" t="s">
        <v>880</v>
      </c>
      <c r="V429" t="s">
        <v>881</v>
      </c>
      <c r="W429">
        <v>1</v>
      </c>
      <c r="X429" t="b">
        <v>0</v>
      </c>
      <c r="Y429">
        <v>945.35422060001201</v>
      </c>
      <c r="Z429">
        <v>219.754811399994</v>
      </c>
      <c r="AA429">
        <v>17222.489660699899</v>
      </c>
      <c r="AB429">
        <v>332</v>
      </c>
      <c r="AC429">
        <v>1.9855747790221701</v>
      </c>
      <c r="AD429">
        <v>2.2620751144970201</v>
      </c>
      <c r="AE429">
        <v>1.72663541245325E-2</v>
      </c>
      <c r="AF429">
        <v>0.10402559966833599</v>
      </c>
      <c r="AG429">
        <v>1000</v>
      </c>
      <c r="AH429">
        <v>1.83799258420085</v>
      </c>
      <c r="AI429">
        <v>2.1332438100807001</v>
      </c>
      <c r="AJ429">
        <v>2.1098807561639799</v>
      </c>
      <c r="AK429">
        <v>2.41394676970403</v>
      </c>
      <c r="AL429">
        <v>-9.4788550862437999E-3</v>
      </c>
      <c r="AM429">
        <v>3.8091593265253798E-2</v>
      </c>
      <c r="AN429">
        <v>2.5258488461401701E-2</v>
      </c>
      <c r="AO429">
        <v>0.18383422640185401</v>
      </c>
      <c r="AP429">
        <v>1000</v>
      </c>
      <c r="AQ429">
        <v>1.8400178734719901</v>
      </c>
      <c r="AR429">
        <v>2.1352922924192299</v>
      </c>
      <c r="AS429">
        <v>2</v>
      </c>
    </row>
    <row r="430" spans="1:45" x14ac:dyDescent="0.3">
      <c r="A430" t="s">
        <v>1265</v>
      </c>
      <c r="B430" t="s">
        <v>109</v>
      </c>
      <c r="C430" t="s">
        <v>25</v>
      </c>
      <c r="D430" t="s">
        <v>68</v>
      </c>
      <c r="E430" t="s">
        <v>908</v>
      </c>
      <c r="F430">
        <v>9</v>
      </c>
      <c r="G430" t="s">
        <v>24</v>
      </c>
      <c r="H430" t="s">
        <v>36</v>
      </c>
      <c r="I430" t="s">
        <v>35</v>
      </c>
      <c r="J430" t="s">
        <v>879</v>
      </c>
      <c r="K430" t="s">
        <v>111</v>
      </c>
      <c r="L430">
        <v>10</v>
      </c>
      <c r="M430">
        <v>332</v>
      </c>
      <c r="N430">
        <v>42</v>
      </c>
      <c r="O430">
        <v>42</v>
      </c>
      <c r="P430" t="b">
        <v>1</v>
      </c>
      <c r="Q430" t="s">
        <v>248</v>
      </c>
      <c r="R430">
        <v>1.9878006934308601</v>
      </c>
      <c r="S430">
        <v>42</v>
      </c>
      <c r="T430">
        <v>0</v>
      </c>
      <c r="U430" t="s">
        <v>880</v>
      </c>
      <c r="V430" t="s">
        <v>881</v>
      </c>
      <c r="W430">
        <v>1</v>
      </c>
      <c r="X430" t="b">
        <v>0</v>
      </c>
      <c r="Y430">
        <v>943.56838220002101</v>
      </c>
      <c r="Z430">
        <v>221.703709800014</v>
      </c>
      <c r="AA430">
        <v>17252.353146299902</v>
      </c>
      <c r="AB430">
        <v>332</v>
      </c>
      <c r="AC430">
        <v>1.98650867177779</v>
      </c>
      <c r="AD430">
        <v>2.2600444716191501</v>
      </c>
      <c r="AE430">
        <v>1.9029943104558002E-2</v>
      </c>
      <c r="AF430">
        <v>0.122351008240315</v>
      </c>
      <c r="AG430">
        <v>1000</v>
      </c>
      <c r="AH430">
        <v>1.8296049615557901</v>
      </c>
      <c r="AI430">
        <v>2.1463047635072701</v>
      </c>
      <c r="AJ430">
        <v>2.1001204766824202</v>
      </c>
      <c r="AK430">
        <v>2.4131761386130801</v>
      </c>
      <c r="AL430">
        <v>-7.6765639989059197E-3</v>
      </c>
      <c r="AM430">
        <v>3.8531626107500903E-2</v>
      </c>
      <c r="AN430">
        <v>3.4145893185924002E-2</v>
      </c>
      <c r="AO430">
        <v>0.20173999502575801</v>
      </c>
      <c r="AP430">
        <v>1000</v>
      </c>
      <c r="AQ430">
        <v>1.8347006358408999</v>
      </c>
      <c r="AR430">
        <v>2.1482284836369701</v>
      </c>
      <c r="AS430">
        <v>3</v>
      </c>
    </row>
    <row r="431" spans="1:45" x14ac:dyDescent="0.3">
      <c r="A431" t="s">
        <v>1266</v>
      </c>
      <c r="B431" t="s">
        <v>109</v>
      </c>
      <c r="C431" t="s">
        <v>37</v>
      </c>
      <c r="D431" t="s">
        <v>68</v>
      </c>
      <c r="E431" t="s">
        <v>878</v>
      </c>
      <c r="F431">
        <v>0</v>
      </c>
      <c r="G431" t="s">
        <v>24</v>
      </c>
      <c r="H431" t="s">
        <v>26</v>
      </c>
      <c r="I431" t="s">
        <v>27</v>
      </c>
      <c r="J431" t="s">
        <v>879</v>
      </c>
      <c r="K431" t="s">
        <v>111</v>
      </c>
      <c r="L431">
        <v>10</v>
      </c>
      <c r="M431">
        <v>332</v>
      </c>
      <c r="N431">
        <v>42</v>
      </c>
      <c r="O431">
        <v>42</v>
      </c>
      <c r="P431" t="b">
        <v>1</v>
      </c>
      <c r="Q431" t="s">
        <v>248</v>
      </c>
      <c r="R431">
        <v>1.7601930295444801</v>
      </c>
      <c r="S431">
        <v>42</v>
      </c>
      <c r="T431">
        <v>0</v>
      </c>
      <c r="U431" t="s">
        <v>1267</v>
      </c>
      <c r="V431" t="s">
        <v>881</v>
      </c>
      <c r="W431">
        <v>0.71428571428571397</v>
      </c>
      <c r="X431" t="b">
        <v>0</v>
      </c>
      <c r="Y431">
        <v>1883.8249220001501</v>
      </c>
      <c r="Z431">
        <v>362.721197599959</v>
      </c>
      <c r="AA431">
        <v>18160.6634974999</v>
      </c>
      <c r="AB431">
        <v>332</v>
      </c>
      <c r="AC431">
        <v>1.75674042561119</v>
      </c>
      <c r="AD431">
        <v>2.0611979231611302</v>
      </c>
      <c r="AE431">
        <v>-6.6034262399377902E-2</v>
      </c>
      <c r="AF431">
        <v>-0.25369599262067</v>
      </c>
      <c r="AG431">
        <v>1000</v>
      </c>
      <c r="AH431">
        <v>1.61798535985476</v>
      </c>
      <c r="AI431">
        <v>1.9102164615334101</v>
      </c>
      <c r="AJ431">
        <v>1.9136482808647901</v>
      </c>
      <c r="AK431">
        <v>2.2089518797064098</v>
      </c>
      <c r="AL431">
        <v>-0.15380037458190601</v>
      </c>
      <c r="AM431">
        <v>-3.0377756453211401E-2</v>
      </c>
      <c r="AN431">
        <v>-0.41213032200579103</v>
      </c>
      <c r="AO431">
        <v>-6.5710271552153199E-2</v>
      </c>
      <c r="AP431">
        <v>1000</v>
      </c>
      <c r="AQ431">
        <v>1.6175453258910899</v>
      </c>
      <c r="AR431">
        <v>1.91689950079306</v>
      </c>
      <c r="AS431">
        <v>8</v>
      </c>
    </row>
    <row r="432" spans="1:45" x14ac:dyDescent="0.3">
      <c r="A432" t="s">
        <v>1268</v>
      </c>
      <c r="B432" t="s">
        <v>109</v>
      </c>
      <c r="C432" t="s">
        <v>37</v>
      </c>
      <c r="D432" t="s">
        <v>68</v>
      </c>
      <c r="E432" t="s">
        <v>884</v>
      </c>
      <c r="F432">
        <v>1</v>
      </c>
      <c r="G432" t="s">
        <v>24</v>
      </c>
      <c r="H432" t="s">
        <v>26</v>
      </c>
      <c r="I432" t="s">
        <v>32</v>
      </c>
      <c r="J432" t="s">
        <v>879</v>
      </c>
      <c r="K432" t="s">
        <v>111</v>
      </c>
      <c r="L432">
        <v>10</v>
      </c>
      <c r="M432">
        <v>332</v>
      </c>
      <c r="N432">
        <v>42</v>
      </c>
      <c r="O432">
        <v>42</v>
      </c>
      <c r="P432" t="b">
        <v>1</v>
      </c>
      <c r="Q432" t="s">
        <v>248</v>
      </c>
      <c r="R432">
        <v>1.7285999715999201</v>
      </c>
      <c r="S432">
        <v>42</v>
      </c>
      <c r="T432">
        <v>0</v>
      </c>
      <c r="U432" t="s">
        <v>1269</v>
      </c>
      <c r="V432" t="s">
        <v>881</v>
      </c>
      <c r="W432">
        <v>0.78571428571428503</v>
      </c>
      <c r="X432" t="b">
        <v>0</v>
      </c>
      <c r="Y432">
        <v>1867.3457100998601</v>
      </c>
      <c r="Z432">
        <v>337.35878439995503</v>
      </c>
      <c r="AA432">
        <v>18212.489756800001</v>
      </c>
      <c r="AB432">
        <v>332</v>
      </c>
      <c r="AC432">
        <v>1.7257842784375399</v>
      </c>
      <c r="AD432">
        <v>2.0290286108358502</v>
      </c>
      <c r="AE432">
        <v>-3.3018531985435598E-2</v>
      </c>
      <c r="AF432">
        <v>-0.22395579969137699</v>
      </c>
      <c r="AG432">
        <v>1000</v>
      </c>
      <c r="AH432">
        <v>1.5833827099794</v>
      </c>
      <c r="AI432">
        <v>1.86532829045106</v>
      </c>
      <c r="AJ432">
        <v>1.8866468538360599</v>
      </c>
      <c r="AK432">
        <v>2.16215212024305</v>
      </c>
      <c r="AL432">
        <v>-0.115078415435219</v>
      </c>
      <c r="AM432">
        <v>-1.49294400079271E-2</v>
      </c>
      <c r="AN432">
        <v>-0.39616314813695003</v>
      </c>
      <c r="AO432">
        <v>-2.6907311843786499E-2</v>
      </c>
      <c r="AP432">
        <v>1000</v>
      </c>
      <c r="AQ432">
        <v>1.5843499571170301</v>
      </c>
      <c r="AR432">
        <v>1.86962892074596</v>
      </c>
      <c r="AS432">
        <v>3</v>
      </c>
    </row>
    <row r="433" spans="1:45" x14ac:dyDescent="0.3">
      <c r="A433" t="s">
        <v>1270</v>
      </c>
      <c r="B433" t="s">
        <v>109</v>
      </c>
      <c r="C433" t="s">
        <v>37</v>
      </c>
      <c r="D433" t="s">
        <v>68</v>
      </c>
      <c r="E433" t="s">
        <v>887</v>
      </c>
      <c r="F433">
        <v>2</v>
      </c>
      <c r="G433" t="s">
        <v>24</v>
      </c>
      <c r="H433" t="s">
        <v>26</v>
      </c>
      <c r="I433" t="s">
        <v>33</v>
      </c>
      <c r="J433" t="s">
        <v>879</v>
      </c>
      <c r="K433" t="s">
        <v>111</v>
      </c>
      <c r="L433">
        <v>10</v>
      </c>
      <c r="M433">
        <v>332</v>
      </c>
      <c r="N433">
        <v>42</v>
      </c>
      <c r="O433">
        <v>42</v>
      </c>
      <c r="P433" t="b">
        <v>1</v>
      </c>
      <c r="Q433" t="s">
        <v>248</v>
      </c>
      <c r="R433">
        <v>1.7421183370801501</v>
      </c>
      <c r="S433">
        <v>42</v>
      </c>
      <c r="T433">
        <v>0</v>
      </c>
      <c r="U433" t="s">
        <v>1271</v>
      </c>
      <c r="V433" t="s">
        <v>881</v>
      </c>
      <c r="W433">
        <v>0.66666666666666596</v>
      </c>
      <c r="X433" t="b">
        <v>0</v>
      </c>
      <c r="Y433">
        <v>1905.60199610002</v>
      </c>
      <c r="Z433">
        <v>374.47341089998298</v>
      </c>
      <c r="AA433">
        <v>18266.0591398</v>
      </c>
      <c r="AB433">
        <v>332</v>
      </c>
      <c r="AC433">
        <v>1.74060359810124</v>
      </c>
      <c r="AD433">
        <v>2.0509016689478301</v>
      </c>
      <c r="AE433">
        <v>-5.5410590441944102E-2</v>
      </c>
      <c r="AF433">
        <v>-0.185846265015987</v>
      </c>
      <c r="AG433">
        <v>1000</v>
      </c>
      <c r="AH433">
        <v>1.5864798549760499</v>
      </c>
      <c r="AI433">
        <v>1.9097098367837899</v>
      </c>
      <c r="AJ433">
        <v>1.89074072055696</v>
      </c>
      <c r="AK433">
        <v>2.2211637104942299</v>
      </c>
      <c r="AL433">
        <v>-0.157893930899449</v>
      </c>
      <c r="AM433">
        <v>-1.48156268157436E-2</v>
      </c>
      <c r="AN433">
        <v>-0.36511318939512799</v>
      </c>
      <c r="AO433">
        <v>6.0593870828666799E-3</v>
      </c>
      <c r="AP433">
        <v>1000</v>
      </c>
      <c r="AQ433">
        <v>1.5896848675769599</v>
      </c>
      <c r="AR433">
        <v>1.91187414699588</v>
      </c>
      <c r="AS433">
        <v>6</v>
      </c>
    </row>
    <row r="434" spans="1:45" x14ac:dyDescent="0.3">
      <c r="A434" t="s">
        <v>1272</v>
      </c>
      <c r="B434" t="s">
        <v>109</v>
      </c>
      <c r="C434" t="s">
        <v>37</v>
      </c>
      <c r="D434" t="s">
        <v>68</v>
      </c>
      <c r="E434" t="s">
        <v>890</v>
      </c>
      <c r="F434">
        <v>3</v>
      </c>
      <c r="G434" t="s">
        <v>24</v>
      </c>
      <c r="H434" t="s">
        <v>26</v>
      </c>
      <c r="I434" t="s">
        <v>34</v>
      </c>
      <c r="J434" t="s">
        <v>879</v>
      </c>
      <c r="K434" t="s">
        <v>111</v>
      </c>
      <c r="L434">
        <v>10</v>
      </c>
      <c r="M434">
        <v>332</v>
      </c>
      <c r="N434">
        <v>42</v>
      </c>
      <c r="O434">
        <v>42</v>
      </c>
      <c r="P434" t="b">
        <v>1</v>
      </c>
      <c r="Q434" t="s">
        <v>248</v>
      </c>
      <c r="R434">
        <v>1.76371608037564</v>
      </c>
      <c r="S434">
        <v>42</v>
      </c>
      <c r="T434">
        <v>0</v>
      </c>
      <c r="U434" t="s">
        <v>1273</v>
      </c>
      <c r="V434" t="s">
        <v>881</v>
      </c>
      <c r="W434">
        <v>0.76190476190476097</v>
      </c>
      <c r="X434" t="b">
        <v>0</v>
      </c>
      <c r="Y434">
        <v>1901.15815489996</v>
      </c>
      <c r="Z434">
        <v>383.34968559996099</v>
      </c>
      <c r="AA434">
        <v>18321.298151899999</v>
      </c>
      <c r="AB434">
        <v>332</v>
      </c>
      <c r="AC434">
        <v>1.7604328206592801</v>
      </c>
      <c r="AD434">
        <v>2.0703075469618799</v>
      </c>
      <c r="AE434">
        <v>-7.5477926800587999E-2</v>
      </c>
      <c r="AF434">
        <v>-0.17852828817958799</v>
      </c>
      <c r="AG434">
        <v>1000</v>
      </c>
      <c r="AH434">
        <v>1.60246447151501</v>
      </c>
      <c r="AI434">
        <v>1.91300731897652</v>
      </c>
      <c r="AJ434">
        <v>1.9100383245164201</v>
      </c>
      <c r="AK434">
        <v>2.2249794753415801</v>
      </c>
      <c r="AL434">
        <v>-0.223848436518644</v>
      </c>
      <c r="AM434">
        <v>-1.4375157069568699E-2</v>
      </c>
      <c r="AN434">
        <v>-0.36967654463981803</v>
      </c>
      <c r="AO434">
        <v>1.68745315053213E-2</v>
      </c>
      <c r="AP434">
        <v>1000</v>
      </c>
      <c r="AQ434">
        <v>1.60563115773387</v>
      </c>
      <c r="AR434">
        <v>1.9178663491246699</v>
      </c>
      <c r="AS434">
        <v>10</v>
      </c>
    </row>
    <row r="435" spans="1:45" x14ac:dyDescent="0.3">
      <c r="A435" t="s">
        <v>1274</v>
      </c>
      <c r="B435" t="s">
        <v>109</v>
      </c>
      <c r="C435" t="s">
        <v>37</v>
      </c>
      <c r="D435" t="s">
        <v>68</v>
      </c>
      <c r="E435" t="s">
        <v>893</v>
      </c>
      <c r="F435">
        <v>4</v>
      </c>
      <c r="G435" t="s">
        <v>24</v>
      </c>
      <c r="H435" t="s">
        <v>26</v>
      </c>
      <c r="I435" t="s">
        <v>35</v>
      </c>
      <c r="J435" t="s">
        <v>879</v>
      </c>
      <c r="K435" t="s">
        <v>111</v>
      </c>
      <c r="L435">
        <v>10</v>
      </c>
      <c r="M435">
        <v>332</v>
      </c>
      <c r="N435">
        <v>42</v>
      </c>
      <c r="O435">
        <v>42</v>
      </c>
      <c r="P435" t="b">
        <v>1</v>
      </c>
      <c r="Q435" t="s">
        <v>248</v>
      </c>
      <c r="R435">
        <v>1.7472878713542299</v>
      </c>
      <c r="S435">
        <v>42</v>
      </c>
      <c r="T435">
        <v>0</v>
      </c>
      <c r="U435" t="s">
        <v>935</v>
      </c>
      <c r="V435" t="s">
        <v>881</v>
      </c>
      <c r="W435">
        <v>0.64285714285714202</v>
      </c>
      <c r="X435" t="b">
        <v>0</v>
      </c>
      <c r="Y435">
        <v>1945.7826129999301</v>
      </c>
      <c r="Z435">
        <v>380.26899870001199</v>
      </c>
      <c r="AA435">
        <v>18370.816056899999</v>
      </c>
      <c r="AB435">
        <v>332</v>
      </c>
      <c r="AC435">
        <v>1.74603594142547</v>
      </c>
      <c r="AD435">
        <v>2.0311603042510198</v>
      </c>
      <c r="AE435">
        <v>-3.5190246608301598E-2</v>
      </c>
      <c r="AF435">
        <v>-0.178212895271432</v>
      </c>
      <c r="AG435">
        <v>1000</v>
      </c>
      <c r="AH435">
        <v>1.60082044381533</v>
      </c>
      <c r="AI435">
        <v>1.8969366941905901</v>
      </c>
      <c r="AJ435">
        <v>1.88604517881601</v>
      </c>
      <c r="AK435">
        <v>2.1744562615508101</v>
      </c>
      <c r="AL435">
        <v>-0.119966340730826</v>
      </c>
      <c r="AM435">
        <v>-3.1069597368008398E-4</v>
      </c>
      <c r="AN435">
        <v>-0.363456091590382</v>
      </c>
      <c r="AO435">
        <v>3.9357756082418298E-4</v>
      </c>
      <c r="AP435">
        <v>1000</v>
      </c>
      <c r="AQ435">
        <v>1.59934781179408</v>
      </c>
      <c r="AR435">
        <v>1.8960526866442</v>
      </c>
      <c r="AS435">
        <v>7</v>
      </c>
    </row>
    <row r="436" spans="1:45" x14ac:dyDescent="0.3">
      <c r="A436" t="s">
        <v>1275</v>
      </c>
      <c r="B436" t="s">
        <v>109</v>
      </c>
      <c r="C436" t="s">
        <v>37</v>
      </c>
      <c r="D436" t="s">
        <v>68</v>
      </c>
      <c r="E436" t="s">
        <v>896</v>
      </c>
      <c r="F436">
        <v>5</v>
      </c>
      <c r="G436" t="s">
        <v>24</v>
      </c>
      <c r="H436" t="s">
        <v>36</v>
      </c>
      <c r="I436" t="s">
        <v>27</v>
      </c>
      <c r="J436" t="s">
        <v>879</v>
      </c>
      <c r="K436" t="s">
        <v>111</v>
      </c>
      <c r="L436">
        <v>10</v>
      </c>
      <c r="M436">
        <v>332</v>
      </c>
      <c r="N436">
        <v>42</v>
      </c>
      <c r="O436">
        <v>42</v>
      </c>
      <c r="P436" t="b">
        <v>1</v>
      </c>
      <c r="Q436" t="s">
        <v>248</v>
      </c>
      <c r="R436">
        <v>1.7604276532826699</v>
      </c>
      <c r="S436">
        <v>42</v>
      </c>
      <c r="T436">
        <v>0</v>
      </c>
      <c r="U436" t="s">
        <v>880</v>
      </c>
      <c r="V436" t="s">
        <v>881</v>
      </c>
      <c r="W436">
        <v>1</v>
      </c>
      <c r="X436" t="b">
        <v>0</v>
      </c>
      <c r="Y436">
        <v>1027.60878719991</v>
      </c>
      <c r="Z436">
        <v>206.892800299974</v>
      </c>
      <c r="AA436">
        <v>18419.093107299999</v>
      </c>
      <c r="AB436">
        <v>332</v>
      </c>
      <c r="AC436">
        <v>1.7570409006383001</v>
      </c>
      <c r="AD436">
        <v>2.0589625251150898</v>
      </c>
      <c r="AE436">
        <v>-6.3723258030471602E-2</v>
      </c>
      <c r="AF436">
        <v>-0.28029766168923498</v>
      </c>
      <c r="AG436">
        <v>1000</v>
      </c>
      <c r="AH436">
        <v>1.6084594026996499</v>
      </c>
      <c r="AI436">
        <v>1.90647798562392</v>
      </c>
      <c r="AJ436">
        <v>1.9102278833814801</v>
      </c>
      <c r="AK436">
        <v>2.20083384652763</v>
      </c>
      <c r="AL436">
        <v>-0.15873727008919</v>
      </c>
      <c r="AM436">
        <v>-2.61827657362163E-2</v>
      </c>
      <c r="AN436">
        <v>-0.42078318761233302</v>
      </c>
      <c r="AO436">
        <v>-8.8647251743412703E-2</v>
      </c>
      <c r="AP436">
        <v>1000</v>
      </c>
      <c r="AQ436">
        <v>1.60854694063768</v>
      </c>
      <c r="AR436">
        <v>1.9120200431037699</v>
      </c>
      <c r="AS436">
        <v>9</v>
      </c>
    </row>
    <row r="437" spans="1:45" x14ac:dyDescent="0.3">
      <c r="A437" t="s">
        <v>1276</v>
      </c>
      <c r="B437" t="s">
        <v>109</v>
      </c>
      <c r="C437" t="s">
        <v>37</v>
      </c>
      <c r="D437" t="s">
        <v>68</v>
      </c>
      <c r="E437" t="s">
        <v>899</v>
      </c>
      <c r="F437">
        <v>6</v>
      </c>
      <c r="G437" t="s">
        <v>24</v>
      </c>
      <c r="H437" t="s">
        <v>36</v>
      </c>
      <c r="I437" t="s">
        <v>32</v>
      </c>
      <c r="J437" t="s">
        <v>879</v>
      </c>
      <c r="K437" t="s">
        <v>111</v>
      </c>
      <c r="L437">
        <v>10</v>
      </c>
      <c r="M437">
        <v>332</v>
      </c>
      <c r="N437">
        <v>42</v>
      </c>
      <c r="O437">
        <v>42</v>
      </c>
      <c r="P437" t="b">
        <v>1</v>
      </c>
      <c r="Q437" t="s">
        <v>248</v>
      </c>
      <c r="R437">
        <v>1.7194385153501199</v>
      </c>
      <c r="S437">
        <v>42</v>
      </c>
      <c r="T437">
        <v>0</v>
      </c>
      <c r="U437" t="s">
        <v>880</v>
      </c>
      <c r="V437" t="s">
        <v>881</v>
      </c>
      <c r="W437">
        <v>1</v>
      </c>
      <c r="X437" t="b">
        <v>0</v>
      </c>
      <c r="Y437">
        <v>1021.55060309996</v>
      </c>
      <c r="Z437">
        <v>212.82030889992799</v>
      </c>
      <c r="AA437">
        <v>18467.911455199999</v>
      </c>
      <c r="AB437">
        <v>332</v>
      </c>
      <c r="AC437">
        <v>1.71906880011041</v>
      </c>
      <c r="AD437">
        <v>2.0178341557350499</v>
      </c>
      <c r="AE437">
        <v>-2.1651339692049899E-2</v>
      </c>
      <c r="AF437">
        <v>-0.198029641273789</v>
      </c>
      <c r="AG437">
        <v>1000</v>
      </c>
      <c r="AH437">
        <v>1.5837005282224801</v>
      </c>
      <c r="AI437">
        <v>1.86379738335345</v>
      </c>
      <c r="AJ437">
        <v>1.8732075421191701</v>
      </c>
      <c r="AK437">
        <v>2.1579108894981398</v>
      </c>
      <c r="AL437">
        <v>-9.44493752955433E-2</v>
      </c>
      <c r="AM437">
        <v>-1.8410636287923999E-4</v>
      </c>
      <c r="AN437">
        <v>-0.39831921047673702</v>
      </c>
      <c r="AO437">
        <v>3.1509629460214003E-2</v>
      </c>
      <c r="AP437">
        <v>1000</v>
      </c>
      <c r="AQ437">
        <v>1.5785559375117799</v>
      </c>
      <c r="AR437">
        <v>1.8677301755162301</v>
      </c>
      <c r="AS437">
        <v>1</v>
      </c>
    </row>
    <row r="438" spans="1:45" x14ac:dyDescent="0.3">
      <c r="A438" t="s">
        <v>1277</v>
      </c>
      <c r="B438" t="s">
        <v>109</v>
      </c>
      <c r="C438" t="s">
        <v>37</v>
      </c>
      <c r="D438" t="s">
        <v>68</v>
      </c>
      <c r="E438" t="s">
        <v>902</v>
      </c>
      <c r="F438">
        <v>7</v>
      </c>
      <c r="G438" t="s">
        <v>24</v>
      </c>
      <c r="H438" t="s">
        <v>36</v>
      </c>
      <c r="I438" t="s">
        <v>33</v>
      </c>
      <c r="J438" t="s">
        <v>879</v>
      </c>
      <c r="K438" t="s">
        <v>111</v>
      </c>
      <c r="L438">
        <v>10</v>
      </c>
      <c r="M438">
        <v>332</v>
      </c>
      <c r="N438">
        <v>42</v>
      </c>
      <c r="O438">
        <v>42</v>
      </c>
      <c r="P438" t="b">
        <v>1</v>
      </c>
      <c r="Q438" t="s">
        <v>248</v>
      </c>
      <c r="R438">
        <v>1.7279992642856701</v>
      </c>
      <c r="S438">
        <v>42</v>
      </c>
      <c r="T438">
        <v>0</v>
      </c>
      <c r="U438" t="s">
        <v>880</v>
      </c>
      <c r="V438" t="s">
        <v>881</v>
      </c>
      <c r="W438">
        <v>1</v>
      </c>
      <c r="X438" t="b">
        <v>0</v>
      </c>
      <c r="Y438">
        <v>1019.86843420002</v>
      </c>
      <c r="Z438">
        <v>223.053377200027</v>
      </c>
      <c r="AA438">
        <v>18517.069613200001</v>
      </c>
      <c r="AB438">
        <v>332</v>
      </c>
      <c r="AC438">
        <v>1.7243305904319399</v>
      </c>
      <c r="AD438">
        <v>2.0241872468786899</v>
      </c>
      <c r="AE438">
        <v>-2.8094745221717898E-2</v>
      </c>
      <c r="AF438">
        <v>-0.1528487789428</v>
      </c>
      <c r="AG438">
        <v>1000</v>
      </c>
      <c r="AH438">
        <v>1.58948280168864</v>
      </c>
      <c r="AI438">
        <v>1.86131390533069</v>
      </c>
      <c r="AJ438">
        <v>1.8816003058091799</v>
      </c>
      <c r="AK438">
        <v>2.15856274012594</v>
      </c>
      <c r="AL438">
        <v>-9.5431411668290195E-2</v>
      </c>
      <c r="AM438">
        <v>-3.6378123454688599E-3</v>
      </c>
      <c r="AN438">
        <v>-0.33893273148497699</v>
      </c>
      <c r="AO438">
        <v>4.66784670528929E-2</v>
      </c>
      <c r="AP438">
        <v>1000</v>
      </c>
      <c r="AQ438">
        <v>1.58768817505666</v>
      </c>
      <c r="AR438">
        <v>1.86828851089591</v>
      </c>
      <c r="AS438">
        <v>2</v>
      </c>
    </row>
    <row r="439" spans="1:45" x14ac:dyDescent="0.3">
      <c r="A439" t="s">
        <v>1278</v>
      </c>
      <c r="B439" t="s">
        <v>109</v>
      </c>
      <c r="C439" t="s">
        <v>37</v>
      </c>
      <c r="D439" t="s">
        <v>68</v>
      </c>
      <c r="E439" t="s">
        <v>905</v>
      </c>
      <c r="F439">
        <v>8</v>
      </c>
      <c r="G439" t="s">
        <v>24</v>
      </c>
      <c r="H439" t="s">
        <v>36</v>
      </c>
      <c r="I439" t="s">
        <v>34</v>
      </c>
      <c r="J439" t="s">
        <v>879</v>
      </c>
      <c r="K439" t="s">
        <v>111</v>
      </c>
      <c r="L439">
        <v>10</v>
      </c>
      <c r="M439">
        <v>332</v>
      </c>
      <c r="N439">
        <v>42</v>
      </c>
      <c r="O439">
        <v>42</v>
      </c>
      <c r="P439" t="b">
        <v>1</v>
      </c>
      <c r="Q439" t="s">
        <v>248</v>
      </c>
      <c r="R439">
        <v>1.7401680384093099</v>
      </c>
      <c r="S439">
        <v>42</v>
      </c>
      <c r="T439">
        <v>0</v>
      </c>
      <c r="U439" t="s">
        <v>880</v>
      </c>
      <c r="V439" t="s">
        <v>881</v>
      </c>
      <c r="W439">
        <v>1</v>
      </c>
      <c r="X439" t="b">
        <v>0</v>
      </c>
      <c r="Y439">
        <v>1036.0259992000599</v>
      </c>
      <c r="Z439">
        <v>218.936382300009</v>
      </c>
      <c r="AA439">
        <v>18566.013702999899</v>
      </c>
      <c r="AB439">
        <v>332</v>
      </c>
      <c r="AC439">
        <v>1.73849615993269</v>
      </c>
      <c r="AD439">
        <v>2.0461071076478801</v>
      </c>
      <c r="AE439">
        <v>-5.0481718433647599E-2</v>
      </c>
      <c r="AF439">
        <v>-0.28186371660000098</v>
      </c>
      <c r="AG439">
        <v>1000</v>
      </c>
      <c r="AH439">
        <v>1.5961775140291099</v>
      </c>
      <c r="AI439">
        <v>1.8916034138218001</v>
      </c>
      <c r="AJ439">
        <v>1.90344749290116</v>
      </c>
      <c r="AK439">
        <v>2.1977264964515699</v>
      </c>
      <c r="AL439">
        <v>-0.132567730227134</v>
      </c>
      <c r="AM439">
        <v>-1.79769166033888E-2</v>
      </c>
      <c r="AN439">
        <v>-0.46089871416412498</v>
      </c>
      <c r="AO439">
        <v>-7.3932987970135602E-2</v>
      </c>
      <c r="AP439">
        <v>1000</v>
      </c>
      <c r="AQ439">
        <v>1.5945629150824201</v>
      </c>
      <c r="AR439">
        <v>1.8980598324364899</v>
      </c>
      <c r="AS439">
        <v>5</v>
      </c>
    </row>
    <row r="440" spans="1:45" x14ac:dyDescent="0.3">
      <c r="A440" t="s">
        <v>1279</v>
      </c>
      <c r="B440" t="s">
        <v>109</v>
      </c>
      <c r="C440" t="s">
        <v>37</v>
      </c>
      <c r="D440" t="s">
        <v>68</v>
      </c>
      <c r="E440" t="s">
        <v>908</v>
      </c>
      <c r="F440">
        <v>9</v>
      </c>
      <c r="G440" t="s">
        <v>24</v>
      </c>
      <c r="H440" t="s">
        <v>36</v>
      </c>
      <c r="I440" t="s">
        <v>35</v>
      </c>
      <c r="J440" t="s">
        <v>879</v>
      </c>
      <c r="K440" t="s">
        <v>111</v>
      </c>
      <c r="L440">
        <v>10</v>
      </c>
      <c r="M440">
        <v>332</v>
      </c>
      <c r="N440">
        <v>42</v>
      </c>
      <c r="O440">
        <v>42</v>
      </c>
      <c r="P440" t="b">
        <v>1</v>
      </c>
      <c r="Q440" t="s">
        <v>248</v>
      </c>
      <c r="R440">
        <v>1.72969903068747</v>
      </c>
      <c r="S440">
        <v>42</v>
      </c>
      <c r="T440">
        <v>0</v>
      </c>
      <c r="U440" t="s">
        <v>880</v>
      </c>
      <c r="V440" t="s">
        <v>881</v>
      </c>
      <c r="W440">
        <v>1</v>
      </c>
      <c r="X440" t="b">
        <v>0</v>
      </c>
      <c r="Y440">
        <v>1022.19757770017</v>
      </c>
      <c r="Z440">
        <v>212.761341399971</v>
      </c>
      <c r="AA440">
        <v>18615.531336200002</v>
      </c>
      <c r="AB440">
        <v>332</v>
      </c>
      <c r="AC440">
        <v>1.72721256836351</v>
      </c>
      <c r="AD440">
        <v>2.0265777672388698</v>
      </c>
      <c r="AE440">
        <v>-3.0524493416349701E-2</v>
      </c>
      <c r="AF440">
        <v>-0.19139015674401</v>
      </c>
      <c r="AG440">
        <v>1000</v>
      </c>
      <c r="AH440">
        <v>1.58999998444538</v>
      </c>
      <c r="AI440">
        <v>1.87430622177715</v>
      </c>
      <c r="AJ440">
        <v>1.88805446993355</v>
      </c>
      <c r="AK440">
        <v>2.1688926492615002</v>
      </c>
      <c r="AL440">
        <v>-0.118658384571935</v>
      </c>
      <c r="AM440">
        <v>-3.6496234078285698E-3</v>
      </c>
      <c r="AN440">
        <v>-0.368173764206779</v>
      </c>
      <c r="AO440">
        <v>-4.0562424056043002E-4</v>
      </c>
      <c r="AP440">
        <v>1000</v>
      </c>
      <c r="AQ440">
        <v>1.59418575458583</v>
      </c>
      <c r="AR440">
        <v>1.8782330064225401</v>
      </c>
      <c r="AS44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CF50-CB17-4CBD-89F5-BEAA62AA47EA}">
  <dimension ref="A1:CA24"/>
  <sheetViews>
    <sheetView tabSelected="1" zoomScale="90" zoomScaleNormal="90" workbookViewId="0">
      <selection activeCell="B24" sqref="B24"/>
    </sheetView>
  </sheetViews>
  <sheetFormatPr defaultRowHeight="14.4" x14ac:dyDescent="0.3"/>
  <cols>
    <col min="2" max="2" width="16.6640625" bestFit="1" customWidth="1"/>
    <col min="3" max="3" width="85.44140625" hidden="1" customWidth="1"/>
    <col min="4" max="4" width="9.5546875" customWidth="1"/>
    <col min="5" max="5" width="9.109375" hidden="1" customWidth="1"/>
    <col min="6" max="6" width="9.109375" customWidth="1"/>
    <col min="7" max="7" width="9.109375" hidden="1" customWidth="1"/>
    <col min="8" max="8" width="9.109375" customWidth="1"/>
    <col min="9" max="9" width="9.109375" hidden="1" customWidth="1"/>
    <col min="10" max="10" width="9.109375" customWidth="1"/>
    <col min="11" max="11" width="9.109375" hidden="1" customWidth="1"/>
    <col min="12" max="12" width="9.109375" customWidth="1"/>
    <col min="13" max="13" width="9.109375" hidden="1" customWidth="1"/>
    <col min="14" max="14" width="9.109375" customWidth="1"/>
    <col min="15" max="15" width="9.109375" hidden="1" customWidth="1"/>
    <col min="16" max="16" width="9.109375" customWidth="1"/>
    <col min="17" max="17" width="9.109375" hidden="1" customWidth="1"/>
    <col min="18" max="18" width="9.109375" customWidth="1"/>
    <col min="19" max="19" width="9.109375" hidden="1" customWidth="1"/>
    <col min="20" max="20" width="9.109375" customWidth="1"/>
    <col min="21" max="21" width="9.109375" hidden="1" customWidth="1"/>
    <col min="22" max="22" width="9.109375" customWidth="1"/>
    <col min="23" max="23" width="9.109375" hidden="1" customWidth="1"/>
    <col min="24" max="24" width="9.109375" customWidth="1"/>
    <col min="25" max="25" width="9.109375" hidden="1" customWidth="1"/>
    <col min="26" max="26" width="9.109375" customWidth="1"/>
    <col min="27" max="27" width="9.109375" hidden="1" customWidth="1"/>
    <col min="28" max="28" width="9.109375" customWidth="1"/>
    <col min="29" max="29" width="9.109375" hidden="1" customWidth="1"/>
    <col min="30" max="30" width="9.109375" customWidth="1"/>
    <col min="31" max="31" width="9.109375" hidden="1" customWidth="1"/>
    <col min="32" max="32" width="9.109375" customWidth="1"/>
    <col min="33" max="33" width="9.109375" hidden="1" customWidth="1"/>
    <col min="34" max="34" width="9.109375" customWidth="1"/>
    <col min="35" max="35" width="9.109375" hidden="1" customWidth="1"/>
    <col min="36" max="36" width="9.109375" customWidth="1"/>
    <col min="37" max="37" width="9.109375" hidden="1" customWidth="1"/>
    <col min="38" max="38" width="9.109375" customWidth="1"/>
    <col min="39" max="39" width="9.109375" hidden="1" customWidth="1"/>
    <col min="40" max="40" width="9.109375" customWidth="1"/>
    <col min="41" max="41" width="9.109375" hidden="1" customWidth="1"/>
    <col min="42" max="42" width="9.109375" customWidth="1"/>
    <col min="43" max="43" width="9.109375" hidden="1" customWidth="1"/>
  </cols>
  <sheetData>
    <row r="1" spans="1:79" x14ac:dyDescent="0.3">
      <c r="BP1" t="s">
        <v>52</v>
      </c>
      <c r="BQ1" t="s">
        <v>46</v>
      </c>
      <c r="BR1" t="s">
        <v>52</v>
      </c>
      <c r="BS1" t="s">
        <v>47</v>
      </c>
      <c r="BT1" t="s">
        <v>52</v>
      </c>
      <c r="BU1" t="s">
        <v>53</v>
      </c>
      <c r="BV1" t="s">
        <v>52</v>
      </c>
      <c r="BW1" t="s">
        <v>58</v>
      </c>
      <c r="BX1" t="s">
        <v>52</v>
      </c>
      <c r="BY1" t="s">
        <v>62</v>
      </c>
      <c r="BZ1" t="s">
        <v>52</v>
      </c>
      <c r="CA1" t="s">
        <v>65</v>
      </c>
    </row>
    <row r="2" spans="1:79" x14ac:dyDescent="0.3">
      <c r="B2" s="2" t="s">
        <v>38</v>
      </c>
      <c r="C2">
        <v>1</v>
      </c>
      <c r="D2" t="str">
        <f>VLOOKUP(C2,Win,2,0)</f>
        <v>w60_o30</v>
      </c>
      <c r="BP2">
        <v>1</v>
      </c>
      <c r="BQ2" t="s">
        <v>295</v>
      </c>
      <c r="BR2">
        <v>1</v>
      </c>
      <c r="BS2" t="s">
        <v>26</v>
      </c>
      <c r="BT2">
        <v>1</v>
      </c>
      <c r="BU2" t="s">
        <v>25</v>
      </c>
      <c r="BV2">
        <v>1</v>
      </c>
      <c r="BW2" t="s">
        <v>59</v>
      </c>
      <c r="BX2">
        <v>1</v>
      </c>
      <c r="BY2" t="s">
        <v>63</v>
      </c>
      <c r="BZ2">
        <v>1</v>
      </c>
      <c r="CA2" t="s">
        <v>66</v>
      </c>
    </row>
    <row r="3" spans="1:79" x14ac:dyDescent="0.3">
      <c r="B3" s="2"/>
      <c r="BP3">
        <v>2</v>
      </c>
      <c r="BQ3" t="s">
        <v>296</v>
      </c>
      <c r="BR3">
        <v>2</v>
      </c>
      <c r="BS3" t="s">
        <v>36</v>
      </c>
      <c r="BT3">
        <v>2</v>
      </c>
      <c r="BU3" t="s">
        <v>37</v>
      </c>
      <c r="BV3">
        <v>2</v>
      </c>
      <c r="BW3" t="s">
        <v>64</v>
      </c>
      <c r="BX3">
        <v>2</v>
      </c>
      <c r="BY3" t="s">
        <v>305</v>
      </c>
      <c r="BZ3">
        <v>2</v>
      </c>
      <c r="CA3" t="s">
        <v>67</v>
      </c>
    </row>
    <row r="4" spans="1:79" x14ac:dyDescent="0.3">
      <c r="B4" s="2" t="s">
        <v>39</v>
      </c>
      <c r="C4">
        <v>2</v>
      </c>
      <c r="D4" t="str">
        <f>VLOOKUP(C4,InputMode,2,0)</f>
        <v>aggregated</v>
      </c>
      <c r="BP4">
        <v>3</v>
      </c>
      <c r="BQ4" t="s">
        <v>297</v>
      </c>
      <c r="BX4">
        <v>3</v>
      </c>
      <c r="BY4" t="s">
        <v>1253</v>
      </c>
      <c r="BZ4">
        <v>3</v>
      </c>
      <c r="CA4" t="s">
        <v>68</v>
      </c>
    </row>
    <row r="5" spans="1:79" x14ac:dyDescent="0.3">
      <c r="B5" s="2"/>
      <c r="BP5">
        <v>4</v>
      </c>
      <c r="BQ5" t="s">
        <v>302</v>
      </c>
      <c r="BX5">
        <v>4</v>
      </c>
      <c r="BY5" t="s">
        <v>306</v>
      </c>
    </row>
    <row r="6" spans="1:79" x14ac:dyDescent="0.3">
      <c r="B6" s="2" t="s">
        <v>53</v>
      </c>
      <c r="C6">
        <v>2</v>
      </c>
      <c r="D6" t="str">
        <f>VLOOKUP(C6,Target,2,0)</f>
        <v>arousal</v>
      </c>
      <c r="BP6">
        <v>5</v>
      </c>
      <c r="BQ6" t="s">
        <v>303</v>
      </c>
      <c r="BX6">
        <v>5</v>
      </c>
      <c r="BY6" t="s">
        <v>307</v>
      </c>
    </row>
    <row r="7" spans="1:79" x14ac:dyDescent="0.3">
      <c r="BP7">
        <v>6</v>
      </c>
      <c r="BQ7" t="s">
        <v>300</v>
      </c>
    </row>
    <row r="8" spans="1:79" x14ac:dyDescent="0.3">
      <c r="B8" s="1" t="s">
        <v>60</v>
      </c>
      <c r="C8">
        <v>2</v>
      </c>
      <c r="BP8">
        <v>7</v>
      </c>
      <c r="BQ8" t="s">
        <v>298</v>
      </c>
    </row>
    <row r="9" spans="1:79" x14ac:dyDescent="0.3">
      <c r="B9" s="1"/>
      <c r="BP9">
        <v>8</v>
      </c>
      <c r="BQ9" t="s">
        <v>301</v>
      </c>
    </row>
    <row r="10" spans="1:79" x14ac:dyDescent="0.3">
      <c r="B10" s="1" t="s">
        <v>61</v>
      </c>
      <c r="C10">
        <v>2</v>
      </c>
      <c r="BP10">
        <v>9</v>
      </c>
      <c r="BQ10" t="s">
        <v>299</v>
      </c>
    </row>
    <row r="11" spans="1:79" x14ac:dyDescent="0.3">
      <c r="B11" s="1"/>
    </row>
    <row r="12" spans="1:79" s="3" customFormat="1" x14ac:dyDescent="0.3">
      <c r="A12"/>
      <c r="B12" s="1" t="s">
        <v>65</v>
      </c>
      <c r="C12">
        <v>2</v>
      </c>
      <c r="D12" t="str">
        <f>VLOOKUP(C12,Class,2,0)</f>
        <v>ternary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79" ht="15" thickBot="1" x14ac:dyDescent="0.35">
      <c r="D13" s="26"/>
      <c r="E13" s="26"/>
      <c r="F13" s="26"/>
    </row>
    <row r="14" spans="1:79" ht="15" thickBot="1" x14ac:dyDescent="0.35">
      <c r="A14" s="3"/>
      <c r="B14" s="27" t="s">
        <v>57</v>
      </c>
      <c r="C14" s="33" t="s">
        <v>294</v>
      </c>
      <c r="D14" s="29" t="s">
        <v>48</v>
      </c>
      <c r="E14" s="30"/>
      <c r="F14" s="30"/>
      <c r="G14" s="30"/>
      <c r="H14" s="30"/>
      <c r="I14" s="30"/>
      <c r="J14" s="30"/>
      <c r="K14" s="32"/>
      <c r="L14" s="29" t="s">
        <v>49</v>
      </c>
      <c r="M14" s="30"/>
      <c r="N14" s="30"/>
      <c r="O14" s="30"/>
      <c r="P14" s="30"/>
      <c r="Q14" s="30"/>
      <c r="R14" s="30"/>
      <c r="S14" s="31"/>
      <c r="T14" s="29" t="s">
        <v>50</v>
      </c>
      <c r="U14" s="30"/>
      <c r="V14" s="30"/>
      <c r="W14" s="30"/>
      <c r="X14" s="30"/>
      <c r="Y14" s="30"/>
      <c r="Z14" s="30"/>
      <c r="AA14" s="31"/>
      <c r="AB14" s="29" t="s">
        <v>55</v>
      </c>
      <c r="AC14" s="30"/>
      <c r="AD14" s="30"/>
      <c r="AE14" s="30"/>
      <c r="AF14" s="30"/>
      <c r="AG14" s="30"/>
      <c r="AH14" s="30"/>
      <c r="AI14" s="31"/>
      <c r="AJ14" s="29" t="s">
        <v>56</v>
      </c>
      <c r="AK14" s="30"/>
      <c r="AL14" s="30"/>
      <c r="AM14" s="30"/>
      <c r="AN14" s="30"/>
      <c r="AO14" s="30"/>
      <c r="AP14" s="31"/>
      <c r="AR14" s="3"/>
      <c r="AS14" s="3"/>
    </row>
    <row r="15" spans="1:79" ht="28.2" thickBot="1" x14ac:dyDescent="0.35">
      <c r="B15" s="28"/>
      <c r="C15" s="34"/>
      <c r="D15" s="20" t="str">
        <f>IF($C$12=3,"MAE ↓","Accuracy ↑")</f>
        <v>Accuracy ↑</v>
      </c>
      <c r="E15" s="21" t="s">
        <v>54</v>
      </c>
      <c r="F15" s="21" t="str">
        <f>IF($C$12=3,"RMSE ↓","Recall ↑")</f>
        <v>Recall ↑</v>
      </c>
      <c r="G15" s="21" t="s">
        <v>54</v>
      </c>
      <c r="H15" s="21" t="str">
        <f>IF($C$12=3,"R2 ↑","Precision ↑")</f>
        <v>Precision ↑</v>
      </c>
      <c r="I15" s="21" t="s">
        <v>54</v>
      </c>
      <c r="J15" s="21" t="str">
        <f>IF($C$12=3,"Primary Score ↓","F1 ↑")</f>
        <v>F1 ↑</v>
      </c>
      <c r="K15" s="23" t="s">
        <v>54</v>
      </c>
      <c r="L15" s="20" t="str">
        <f>IF($C$12=3,"MAE ↓","Accuracy ↑")</f>
        <v>Accuracy ↑</v>
      </c>
      <c r="M15" s="21" t="s">
        <v>54</v>
      </c>
      <c r="N15" s="21" t="str">
        <f>IF($C$12=3,"RMSE ↓","Recall ↑")</f>
        <v>Recall ↑</v>
      </c>
      <c r="O15" s="21" t="s">
        <v>54</v>
      </c>
      <c r="P15" s="21" t="str">
        <f>IF($C$12=3,"R2 ↑","Precision ↑")</f>
        <v>Precision ↑</v>
      </c>
      <c r="Q15" s="21" t="s">
        <v>54</v>
      </c>
      <c r="R15" s="21" t="str">
        <f>IF($C$12=3,"Primary Score ↓","F1 ↑")</f>
        <v>F1 ↑</v>
      </c>
      <c r="S15" s="22" t="s">
        <v>54</v>
      </c>
      <c r="T15" s="20" t="str">
        <f>IF($C$12=3,"MAE ↓","Accuracy ↑")</f>
        <v>Accuracy ↑</v>
      </c>
      <c r="U15" s="21" t="s">
        <v>54</v>
      </c>
      <c r="V15" s="21" t="str">
        <f>IF($C$12=3,"RMSE ↓","Recall ↑")</f>
        <v>Recall ↑</v>
      </c>
      <c r="W15" s="21" t="s">
        <v>54</v>
      </c>
      <c r="X15" s="21" t="str">
        <f>IF($C$12=3,"R2 ↑","Precision ↑")</f>
        <v>Precision ↑</v>
      </c>
      <c r="Y15" s="21" t="s">
        <v>54</v>
      </c>
      <c r="Z15" s="21" t="str">
        <f>IF($C$12=3,"Primary Score ↓","F1 ↑")</f>
        <v>F1 ↑</v>
      </c>
      <c r="AA15" s="22" t="s">
        <v>54</v>
      </c>
      <c r="AB15" s="20" t="str">
        <f>IF($C$12=3,"MAE ↓","Accuracy ↑")</f>
        <v>Accuracy ↑</v>
      </c>
      <c r="AC15" s="21" t="s">
        <v>54</v>
      </c>
      <c r="AD15" s="21" t="str">
        <f>IF($C$12=3,"RMSE ↓","Recall ↑")</f>
        <v>Recall ↑</v>
      </c>
      <c r="AE15" s="21" t="s">
        <v>54</v>
      </c>
      <c r="AF15" s="21" t="str">
        <f>IF($C$12=3,"R2 ↑","Precision ↑")</f>
        <v>Precision ↑</v>
      </c>
      <c r="AG15" s="21" t="s">
        <v>54</v>
      </c>
      <c r="AH15" s="21" t="str">
        <f>IF($C$12=3,"Primary Score ↓","F1 ↑")</f>
        <v>F1 ↑</v>
      </c>
      <c r="AI15" s="22" t="s">
        <v>54</v>
      </c>
      <c r="AJ15" s="20" t="str">
        <f>IF($C$12=3,"MAE ↓","Accuracy ↑")</f>
        <v>Accuracy ↑</v>
      </c>
      <c r="AK15" s="21" t="s">
        <v>54</v>
      </c>
      <c r="AL15" s="21" t="str">
        <f>IF($C$12=3,"RMSE ↓","Recall ↑")</f>
        <v>Recall ↑</v>
      </c>
      <c r="AM15" s="21" t="s">
        <v>54</v>
      </c>
      <c r="AN15" s="21" t="str">
        <f>IF($C$12=3,"R2 ↑","Precision ↑")</f>
        <v>Precision ↑</v>
      </c>
      <c r="AO15" s="21" t="s">
        <v>54</v>
      </c>
      <c r="AP15" s="22" t="str">
        <f>IF($C$12=3,"Primary Score ↓","F1 ↑")</f>
        <v>F1 ↑</v>
      </c>
      <c r="AQ15" s="9" t="s">
        <v>54</v>
      </c>
    </row>
    <row r="16" spans="1:79" x14ac:dyDescent="0.3">
      <c r="B16" s="10" t="s">
        <v>51</v>
      </c>
      <c r="C16" s="13" t="str">
        <f>_xlfn.CONCAT("nested__physiological_features__",$D$6,"__",$D$12,"__",LOWER($B16),"__",$D$4,"__%Z%__emognition_features_",$D$2)</f>
        <v>nested__physiological_features__arousal__ternary__rf__aggregated__%Z%__emognition_features_w60_o30</v>
      </c>
      <c r="D16" s="17">
        <f>SUMIF(DATA!$A:$A,REPLACE($C16,FIND("%Z%",$C16),3,LOWER($D$14)),IF($C$12=3,DATA!$AC:$AC,DATA!$AD:$AD))</f>
        <v>0.36144578313253001</v>
      </c>
      <c r="E16" s="18" t="b">
        <f t="shared" ref="E16:E22" si="0">IF($C$12&lt;&gt;3,IF($C$8=1,AND(MAX($D16,$L16,$T16,$AB16,$AJ16)=D16,D16&lt;&gt;0),AND(MAX($D$16:$D$22,$L$16:$L$22,$T$16:$T$22,$AB$16:$AB$22,$AJ$16:$AJ$22)=D16,D16&lt;&gt;0)),IF($C$8=1,AND(MIN($D16,$L16,$T16,$AB16,$AJ16)=D16,D16&lt;&gt;0),AND(MIN($D$16:$D$22,$L$16:$L$22,$T$16:$T$22,$AB$16:$AB$22,$AJ$16:$AJ$22)=D16,D16&lt;&gt;0)))</f>
        <v>0</v>
      </c>
      <c r="F16" s="17">
        <f>SUMIF(DATA!$A:$A,REPLACE($C16,FIND("%Z%",$C16),3,LOWER($D$14)),IF($C$12=3,DATA!$AD:$AD,DATA!$AE:$AE))</f>
        <v>0.29357107916978398</v>
      </c>
      <c r="G16" s="18" t="b">
        <f t="shared" ref="G16:G22" si="1">IF($C$12&lt;&gt;3,IF($C$8=1,AND(MAX($F16,$N16,$V16,$AD16,$AL16)=F16,F16&lt;&gt;0),AND(MAX($F$16:$F$22,$N$16:$N$22,$V$16:$V$22,$AD$16:$AD$22,$AL$16:$AL$16)=F16,F16&lt;&gt;0)),IF($C$8=1,AND(MIN($F16,$N16,$V16,$AD16,$AL16)=F16,F16&lt;&gt;0),AND(MIN($F$16:$F$22,$N$16:$N$22,$V$16:$V$22,$AD$16:$AD$22,$AL$16:$AL$16)=F16,F16&lt;&gt;0)))</f>
        <v>0</v>
      </c>
      <c r="H16" s="17">
        <f>SUMIF(DATA!$A:$A,REPLACE($C16,FIND("%Z%",$C16),3,LOWER($D$14)),IF($C$12=3,DATA!$AE:$AE,DATA!$AF:$AF))</f>
        <v>0.26398322422258502</v>
      </c>
      <c r="I16" s="18" t="b">
        <f t="shared" ref="I16:I22" si="2">IF($C$8=1,AND(MAX($H16,$P16,$X16,$AF16,$AN16)=H16,H16&lt;&gt;0),AND(MAX($H$16:$H$22,$P$16:$P$22,$X$16:$X$22,$AF$16:$AF$22,$AN$16:$AN$22)=H16,H16&lt;&gt;0))</f>
        <v>0</v>
      </c>
      <c r="J16" s="17">
        <f>SUMIF(DATA!$A:$A,REPLACE($C16,FIND("%Z%",$C16),3,LOWER($D$14)),IF($C$12=3,DATA!$R:$R,DATA!$AH:$AH))</f>
        <v>0.26145144626394101</v>
      </c>
      <c r="K16" s="19" t="b">
        <f t="shared" ref="K16:K22" si="3">IF($C$12&lt;&gt;3,IF($C$8=1,AND(MAX($J16,$R16,$Z16,$AH16,$AP16)=J16,J16&lt;&gt;0),AND(MAX($J$16:$J$22,$R$16:$R$22,$Z$16:$Z$22,$AH$16:$AH$22,$AP$16:$AP$22)=J16,J16&lt;&gt;0)), IF($C$8=1,AND(MIN($J16,$R16,$Z16,$AH16,$AP16)=J16,J16&lt;&gt;0),AND(MIN($J$16:$J$22,$R$16:$R$22,$Z$16:$Z$22,$AH$16:$AH$22,$AP$16:$AP$22)=J16,J16&lt;&gt;0)))</f>
        <v>0</v>
      </c>
      <c r="L16" s="17">
        <f>SUMIF(DATA!$A:$A,REPLACE($C16,FIND("%Z%",$C16),3,LOWER($L$14)),IF($C$12=3,DATA!$AC:$AC,DATA!$AD:$AD))</f>
        <v>0.39156626506024</v>
      </c>
      <c r="M16" s="18" t="b">
        <f t="shared" ref="M16:M22" si="4">IF($C$12&lt;&gt;3,IF($C$8=1,AND(MAX($D16,$L16,$T16,$AB16,$AJ16)=L16,L16&lt;&gt;0),AND(MAX($D$16:$D$22,$L$16:$L$22,$T$16:$T$22,$AB$16:$AB$22,$AJ$16:$AJ$22)=L16,L16&lt;&gt;0)),IF($C$8=1,AND(MIN($D16,$L16,$T16,$AB16,$AJ16)=L16,L16&lt;&gt;0),AND(MIN($D$16:$D$22,$L$16:$L$22,$T$16:$T$22,$AB$16:$AB$22,$AJ$16:$AJ$22)=L16,L16&lt;&gt;0)))</f>
        <v>0</v>
      </c>
      <c r="N16" s="18">
        <f>SUMIF(DATA!$A:$A,REPLACE($C16,FIND("%Z%",$C16),3,LOWER($L$14)),IF($C$12=3,DATA!$AD:$AD,DATA!$AE:$AE))</f>
        <v>0.32386053799214498</v>
      </c>
      <c r="O16" s="18" t="b">
        <f t="shared" ref="O16:O22" si="5">IF($C$12&lt;&gt;3,IF($C$8=1,AND(MAX($F16,$N16,$V16,$AD16,$AL16)=N16,N16&lt;&gt;0),AND(MAX($F$16:$F$22,$N$16:$N$22,$V$16:$V$22,$AD$16:$AD$22,$AL$16:$AL$16)=N16,N16&lt;&gt;0)),IF($C$8=1,AND(MIN($F16,$N16,$V16,$AD16,$AL16)=N16,N16&lt;&gt;0),AND(MIN($F$16:$F$22,$N$16:$N$22,$V$16:$V$22,$AD$16:$AD$22,$AL$16:$AL$16)=N16,N16&lt;&gt;0)))</f>
        <v>0</v>
      </c>
      <c r="P16" s="18">
        <f>SUMIF(DATA!$A:$A,REPLACE($C16,FIND("%Z%",$C16),3,LOWER($L$14)),IF($C$12=3,DATA!$AE:$AE,DATA!$AF:$AF))</f>
        <v>0.31546155422365602</v>
      </c>
      <c r="Q16" s="18" t="b">
        <f t="shared" ref="Q16:Q22" si="6">IF($C$8=1,AND(MAX($H16,$P16,$X16,$AF16,$AN16)=P16,P16&lt;&gt;0),AND(MAX($H$16:$H$22,$P$16:$P$22,$X$16:$X$22,$AF$16:$AF$22,$AN$16:$AN$22)=P16,P16&lt;&gt;0))</f>
        <v>0</v>
      </c>
      <c r="R16" s="18">
        <f>SUMIF(DATA!$A:$A,REPLACE($C16,FIND("%Z%",$C16),3,LOWER($L$14)),IF($C$12=3,DATA!$R:$R,DATA!$AH:$AH))</f>
        <v>0.29530693920166901</v>
      </c>
      <c r="S16" s="19" t="b">
        <f t="shared" ref="S16:S22" si="7">IF($C$12&lt;&gt;3,IF($C$8=1,AND(MAX($J16,$R16,$Z16,$AH16,$AP16)=R16,R16&lt;&gt;0),AND(MAX($J$16:$J$22,$R$16:$R$22,$Z$16:$Z$22,$AH$16:$AH$22,$AP$16:$AP$22)=R16,R16&lt;&gt;0)), IF($C$8=1,AND(MIN($J16,$R16,$Z16,$AH16,$AP16)=R16,R16&lt;&gt;0),AND(MIN($J$16:$J$22,$R$16:$R$22,$Z$16:$Z$22,$AH$16:$AH$22,$AP$16:$AP$22)=R16,R16&lt;&gt;0)))</f>
        <v>0</v>
      </c>
      <c r="T16" s="17">
        <f>SUMIF(DATA!$A:$A,REPLACE($C16,FIND("%Z%",$C16),3,LOWER($T$14)),IF($C$12=3,DATA!$AC:$AC,DATA!$AD:$AD))</f>
        <v>0.37951807228915602</v>
      </c>
      <c r="U16" s="18" t="b">
        <f t="shared" ref="U16:U22" si="8">IF($C$12&lt;&gt;3,IF($C$8=1,AND(MAX($D16,$L16,$T16,$AB16,$AJ16)=T16,T16&lt;&gt;0),AND(MAX($D$16:$D$22,$L$16:$L$22,$T$16:$T$22,$AB$16:$AB$22,$AJ$16:$AJ$22)=T16,T16&lt;&gt;0)),IF($C$8=1,AND(MIN($D16,$L16,$T16,$AB16,$AJ16)=T16,T16&lt;&gt;0),AND(MIN($D$16:$D$22,$L$16:$L$22,$T$16:$T$22,$AB$16:$AB$22,$AJ$16:$AJ$22)=T16,T16&lt;&gt;0)))</f>
        <v>0</v>
      </c>
      <c r="V16" s="18">
        <f>SUMIF(DATA!$A:$A,REPLACE($C16,FIND("%Z%",$C16),3,LOWER($T$14)),IF($C$12=3,DATA!$AD:$AD,DATA!$AE:$AE))</f>
        <v>0.31790852341014098</v>
      </c>
      <c r="W16" s="18" t="b">
        <f t="shared" ref="W16:W22" si="9">IF($C$12&lt;&gt;3,IF($C$8=1,AND(MAX($F16,$N16,$V16,$AD16,$AL16)=V16,V16&lt;&gt;0),AND(MAX($F$16:$F$22,$N$16:$N$22,$V$16:$V$22,$AD$16:$AD$22,$AL$16:$AL$16)=V16,V16&lt;&gt;0)),IF($C$8=1,AND(MIN($F16,$N16,$V16,$AD16,$AL16)=V16,V16&lt;&gt;0),AND(MIN($F$16:$F$22,$N$16:$N$22,$V$16:$V$22,$AD$16:$AD$22,$AL$16:$AL$16)=V16,V16&lt;&gt;0)))</f>
        <v>0</v>
      </c>
      <c r="X16" s="18">
        <f>SUMIF(DATA!$A:$A,REPLACE($C16,FIND("%Z%",$C16),3,LOWER($T$14)),IF($C$12=3,DATA!$AE:$AE,DATA!$AF:$AF))</f>
        <v>0.29576207485558198</v>
      </c>
      <c r="Y16" s="18" t="b">
        <f t="shared" ref="Y16:Y22" si="10">IF($C$8=1,AND(MAX($H16,$P16,$X16,$AF16,$AN16)=X16,X16&lt;&gt;0),AND(MAX($H$16:$H$22,$P$16:$P$22,$X$16:$X$22,$AF$16:$AF$22,$AN$16:$AN$22)=X16,X16&lt;&gt;0))</f>
        <v>0</v>
      </c>
      <c r="Z16" s="18">
        <f>SUMIF(DATA!$A:$A,REPLACE($C16,FIND("%Z%",$C16),3,LOWER($T$14)),IF($C$12=3,DATA!$R:$R,DATA!$AH:$AH))</f>
        <v>0.293453618453618</v>
      </c>
      <c r="AA16" s="19" t="b">
        <f t="shared" ref="AA16:AA22" si="11">IF($C$12&lt;&gt;3,IF($C$8=1,AND(MAX($J16,$R16,$Z16,$AH16,$AP16)=Z16,Z16&lt;&gt;0),AND(MAX($J$16:$J$22,$R$16:$R$22,$Z$16:$Z$22,$AH$16:$AH$22,$AP$16:$AP$22)=Z16,Z16&lt;&gt;0)), IF($C$8=1,AND(MIN($J16,$R16,$Z16,$AH16,$AP16)=Z16,Z16&lt;&gt;0),AND(MIN($J$16:$J$22,$R$16:$R$22,$Z$16:$Z$22,$AH$16:$AH$22,$AP$16:$AP$22)=Z16,Z16&lt;&gt;0)))</f>
        <v>0</v>
      </c>
      <c r="AB16" s="17">
        <f>SUMIF(DATA!$A:$A,REPLACE($C16,FIND("%Z%",$C16),3,LOWER($AB$14)),IF($C$12=3,DATA!$AC:$AC,DATA!$AD:$AD))</f>
        <v>0.39457831325301201</v>
      </c>
      <c r="AC16" s="18" t="b">
        <f t="shared" ref="AC16:AC22" si="12">IF($C$12&lt;&gt;3,IF($C$8=1,AND(MAX($D16,$L16,$T16,$AB16,$AJ16)=AB16,AB16&lt;&gt;0),AND(MAX($D$16:$D$22,$L$16:$L$22,$T$16:$T$22,$AB$16:$AB$22,$AJ$16:$AJ$22)=AB16,AB16&lt;&gt;0)),IF($C$8=1,AND(MIN($D16,$L16,$T16,$AB16,$AJ16)=AB16,AB16&lt;&gt;0),AND(MIN($D$16:$D$22,$L$16:$L$22,$T$16:$T$22,$AB$16:$AB$22,$AJ$16:$AJ$22)=AB16,AB16&lt;&gt;0)))</f>
        <v>0</v>
      </c>
      <c r="AD16" s="18">
        <f>SUMIF(DATA!$A:$A,REPLACE($C16,FIND("%Z%",$C16),3,LOWER($AB$14)),IF($C$12=3,DATA!$AD:$AD,DATA!$AE:$AE))</f>
        <v>0.31845086726424299</v>
      </c>
      <c r="AE16" s="18" t="b">
        <f t="shared" ref="AE16:AE22" si="13">IF($C$12&lt;&gt;3,IF($C$8=1,AND(MAX($F16,$N16,$V16,$AD16,$AL16)=AD16,AD16&lt;&gt;0),AND(MAX($F$16:$F$22,$N$16:$N$22,$V$16:$V$22,$AD$16:$AD$22,$AL$16:$AL$16)=AD16,AD16&lt;&gt;0)),IF($C$8=1,AND(MIN($F16,$N16,$V16,$AD16,$AL16)=AD16,AD16&lt;&gt;0),AND(MIN($F$16:$F$22,$N$16:$N$22,$V$16:$V$22,$AD$16:$AD$22,$AL$16:$AL$16)=AD16,AD16&lt;&gt;0)))</f>
        <v>0</v>
      </c>
      <c r="AF16" s="18">
        <f>SUMIF(DATA!$A:$A,REPLACE($C16,FIND("%Z%",$C16),3,LOWER($AB$14)),IF($C$12=3,DATA!$AE:$AE,DATA!$AF:$AF))</f>
        <v>0.28980884358458697</v>
      </c>
      <c r="AG16" s="18" t="b">
        <f t="shared" ref="AG16:AG22" si="14">IF($C$8=1,AND(MAX($H16,$P16,$X16,$AF16,$AN16)=AF16,AF16&lt;&gt;0),AND(MAX($H$16:$H$22,$P$16:$P$22,$X$16:$X$22,$AF$16:$AF$22,$AN$16:$AN$22)=AF16,AF16&lt;&gt;0))</f>
        <v>0</v>
      </c>
      <c r="AH16" s="18">
        <f>SUMIF(DATA!$A:$A,REPLACE($C16,FIND("%Z%",$C16),3,LOWER($AB$14)),IF($C$12=3,DATA!$R:$R,DATA!$AH:$AH))</f>
        <v>0.27634655692058202</v>
      </c>
      <c r="AI16" s="19" t="b">
        <f t="shared" ref="AI16:AI22" si="15">IF($C$12&lt;&gt;3,IF($C$8=1,AND(MAX($J16,$R16,$Z16,$AH16,$AP16)=AH16,AH16&lt;&gt;0),AND(MAX($J$16:$J$22,$R$16:$R$22,$Z$16:$Z$22,$AH$16:$AH$22,$AP$16:$AP$22)=AH16,AH16&lt;&gt;0)), IF($C$8=1,AND(MIN($J16,$R16,$Z16,$AH16,$AP16)=AH16,AH16&lt;&gt;0),AND(MIN($J$16:$J$22,$R$16:$R$22,$Z$16:$Z$22,$AH$16:$AH$22,$AP$16:$AP$22)=AH16,AH16&lt;&gt;0)))</f>
        <v>0</v>
      </c>
      <c r="AJ16" s="17">
        <f>SUMIF(DATA!$A:$A,REPLACE($C16,FIND("%Z%",$C16),3,LOWER($AJ$14)),IF($C$12=3,DATA!$AC:$AC,DATA!$AD:$AD))</f>
        <v>0.37048192771084298</v>
      </c>
      <c r="AK16" s="18" t="b">
        <f t="shared" ref="AK16:AK22" si="16">IF($C$12&lt;&gt;3,IF($C$8=1,AND(MAX($D16,$L16,$T16,$AB16,$AJ16)=AJ16,AJ16&lt;&gt;0),AND(MAX($D$16:$D$22,$L$16:$L$22,$T$16:$T$22,$AB$16:$AB$22,$AJ$16:$AJ$22)=AJ16,AJ16&lt;&gt;0)),IF($C$8=1,AND(MIN($D16,$L16,$T16,$AB16,$AJ16)=AJ16,AJ16&lt;&gt;0),AND(MIN($D$16:$D$22,$L$16:$L$22,$T$16:$T$22,$AB$16:$AB$22,$AJ$16:$AJ$22)=AJ16,AJ16&lt;&gt;0)))</f>
        <v>0</v>
      </c>
      <c r="AL16" s="18">
        <f>SUMIF(DATA!$A:$A,REPLACE($C16,FIND("%Z%",$C16),3,LOWER($AJ$14)),IF($C$12=3,DATA!$AD:$AD,DATA!$AE:$AE))</f>
        <v>0.30317480371417799</v>
      </c>
      <c r="AM16" s="18" t="b">
        <f t="shared" ref="AM16:AM22" si="17">IF($C$12&lt;&gt;3,IF($C$8=1,AND(MAX($F16,$N16,$V16,$AD16,$AL16)=AL16,AL16&lt;&gt;0),AND(MAX($F$16:$F$22,$N$16:$N$22,$V$16:$V$22,$AD$16:$AD$22,$AL$16:$AL$16)=AL16,AL16&lt;&gt;0)),IF($C$8=1,AND(MIN($F16,$N16,$V16,$AD16,$AL16)=AL16,AL16&lt;&gt;0),AND(MIN($F$16:$F$22,$N$16:$N$22,$V$16:$V$22,$AD$16:$AD$22,$AL$16:$AL$16)=AL16,AL16&lt;&gt;0)))</f>
        <v>0</v>
      </c>
      <c r="AN16" s="18">
        <f>SUMIF(DATA!$A:$A,REPLACE($C16,FIND("%Z%",$C16),3,LOWER($AJ$14)),IF($C$12=3,DATA!$AE:$AE,DATA!$AF:$AF))</f>
        <v>0.28125045886377897</v>
      </c>
      <c r="AO16" s="18" t="b">
        <f t="shared" ref="AO16:AO22" si="18">IF($C$8=1,AND(MAX($H16,$P16,$X16,$AF16,$AN16)=AN16,AN16&lt;&gt;0),AND(MAX($H$16:$H$22,$P$16:$P$22,$X$16:$X$22,$AF$16:$AF$22,$AN$16:$AN$22)=AN16,AN16&lt;&gt;0))</f>
        <v>0</v>
      </c>
      <c r="AP16" s="19">
        <f>SUMIF(DATA!$A:$A,REPLACE($C16,FIND("%Z%",$C16),3,LOWER($AJ$14)),IF($C$12=3,DATA!$R:$R,DATA!$AH:$AH))</f>
        <v>0.27217264648641099</v>
      </c>
      <c r="AQ16" s="19" t="b">
        <f t="shared" ref="AQ16:AQ22" si="19">IF($C$12&lt;&gt;3,IF($C$8=1,AND(MAX($J16,$R16,$Z16,$AH16,$AP16)=AP16,AP16&lt;&gt;0),AND(MAX($J$16:$J$22,$R$16:$R$22,$Z$16:$Z$22,$AH$16:$AH$22,$AP$16:$AP$22)=AP16,AP16&lt;&gt;0)), IF($C$8=1,AND(MIN($J16,$R16,$Z16,$AH16,$AP16)=AP16,AP16&lt;&gt;0),AND(MIN($J$16:$J$22,$R$16:$R$22,$Z$16:$Z$22,$AH$16:$AH$22,$AP$16:$AP$22)=AP16,AP16&lt;&gt;0)))</f>
        <v>0</v>
      </c>
    </row>
    <row r="17" spans="2:43" x14ac:dyDescent="0.3">
      <c r="B17" s="11" t="s">
        <v>40</v>
      </c>
      <c r="C17" s="13" t="str">
        <f t="shared" ref="C17:C22" si="20">_xlfn.CONCAT("nested__physiological_features__",$D$6,"__",$D$12,"__",LOWER($B17),"__",$D$4,"__%Z%__emognition_features_",$D$2)</f>
        <v>nested__physiological_features__arousal__ternary__knn__aggregated__%Z%__emognition_features_w60_o30</v>
      </c>
      <c r="D17" s="4">
        <f>SUMIF(DATA!$A:$A,REPLACE($C17,FIND("%Z%",$C17),3,LOWER($D$14)),IF($C$12=3,DATA!$AC:$AC,DATA!$AD:$AD))</f>
        <v>0.39457831325301201</v>
      </c>
      <c r="E17" s="18" t="b">
        <f t="shared" si="0"/>
        <v>0</v>
      </c>
      <c r="F17" s="4">
        <f>SUMIF(DATA!$A:$A,REPLACE($C17,FIND("%Z%",$C17),3,LOWER($D$14)),IF($C$12=3,DATA!$AD:$AD,DATA!$AE:$AE))</f>
        <v>0.35830841629115601</v>
      </c>
      <c r="G17" s="18" t="b">
        <f t="shared" si="1"/>
        <v>0</v>
      </c>
      <c r="H17" s="4">
        <f>SUMIF(DATA!$A:$A,REPLACE($C17,FIND("%Z%",$C17),3,LOWER($D$14)),IF($C$12=3,DATA!$AE:$AE,DATA!$AF:$AF))</f>
        <v>0.35801413737315002</v>
      </c>
      <c r="I17" s="5" t="b">
        <f t="shared" si="2"/>
        <v>0</v>
      </c>
      <c r="J17" s="4">
        <f>SUMIF(DATA!$A:$A,REPLACE($C17,FIND("%Z%",$C17),3,LOWER($D$14)),IF($C$12=3,DATA!$R:$R,DATA!$AH:$AH))</f>
        <v>0.35617577191201699</v>
      </c>
      <c r="K17" s="19" t="b">
        <f t="shared" si="3"/>
        <v>0</v>
      </c>
      <c r="L17" s="4">
        <f>SUMIF(DATA!$A:$A,REPLACE($C17,FIND("%Z%",$C17),3,LOWER($L$14)),IF($C$12=3,DATA!$AC:$AC,DATA!$AD:$AD))</f>
        <v>0.37650602409638501</v>
      </c>
      <c r="M17" s="18" t="b">
        <f t="shared" si="4"/>
        <v>0</v>
      </c>
      <c r="N17" s="5">
        <f>SUMIF(DATA!$A:$A,REPLACE($C17,FIND("%Z%",$C17),3,LOWER($L$14)),IF($C$12=3,DATA!$AD:$AD,DATA!$AE:$AE))</f>
        <v>0.33143904422221498</v>
      </c>
      <c r="O17" s="18" t="b">
        <f t="shared" si="5"/>
        <v>0</v>
      </c>
      <c r="P17" s="5">
        <f>SUMIF(DATA!$A:$A,REPLACE($C17,FIND("%Z%",$C17),3,LOWER($L$14)),IF($C$12=3,DATA!$AE:$AE,DATA!$AF:$AF))</f>
        <v>0.33715032018874203</v>
      </c>
      <c r="Q17" s="5" t="b">
        <f t="shared" si="6"/>
        <v>0</v>
      </c>
      <c r="R17" s="5">
        <f>SUMIF(DATA!$A:$A,REPLACE($C17,FIND("%Z%",$C17),3,LOWER($L$14)),IF($C$12=3,DATA!$R:$R,DATA!$AH:$AH))</f>
        <v>0.32459280712516297</v>
      </c>
      <c r="S17" s="19" t="b">
        <f t="shared" si="7"/>
        <v>0</v>
      </c>
      <c r="T17" s="4">
        <f>SUMIF(DATA!$A:$A,REPLACE($C17,FIND("%Z%",$C17),3,LOWER($T$14)),IF($C$12=3,DATA!$AC:$AC,DATA!$AD:$AD))</f>
        <v>0.38855421686746899</v>
      </c>
      <c r="U17" s="18" t="b">
        <f t="shared" si="8"/>
        <v>0</v>
      </c>
      <c r="V17" s="5">
        <f>SUMIF(DATA!$A:$A,REPLACE($C17,FIND("%Z%",$C17),3,LOWER($T$14)),IF($C$12=3,DATA!$AD:$AD,DATA!$AE:$AE))</f>
        <v>0.34515799510405698</v>
      </c>
      <c r="W17" s="18" t="b">
        <f t="shared" si="9"/>
        <v>0</v>
      </c>
      <c r="X17" s="5">
        <f>SUMIF(DATA!$A:$A,REPLACE($C17,FIND("%Z%",$C17),3,LOWER($T$14)),IF($C$12=3,DATA!$AE:$AE,DATA!$AF:$AF))</f>
        <v>0.34825121675079002</v>
      </c>
      <c r="Y17" s="5" t="b">
        <f t="shared" si="10"/>
        <v>0</v>
      </c>
      <c r="Z17" s="5">
        <f>SUMIF(DATA!$A:$A,REPLACE($C17,FIND("%Z%",$C17),3,LOWER($T$14)),IF($C$12=3,DATA!$R:$R,DATA!$AH:$AH))</f>
        <v>0.33998095541122197</v>
      </c>
      <c r="AA17" s="19" t="b">
        <f t="shared" si="11"/>
        <v>0</v>
      </c>
      <c r="AB17" s="4">
        <f>SUMIF(DATA!$A:$A,REPLACE($C17,FIND("%Z%",$C17),3,LOWER($AB$14)),IF($C$12=3,DATA!$AC:$AC,DATA!$AD:$AD))</f>
        <v>0.36144578313253001</v>
      </c>
      <c r="AC17" s="18" t="b">
        <f t="shared" si="12"/>
        <v>0</v>
      </c>
      <c r="AD17" s="5">
        <f>SUMIF(DATA!$A:$A,REPLACE($C17,FIND("%Z%",$C17),3,LOWER($AB$14)),IF($C$12=3,DATA!$AD:$AD,DATA!$AE:$AE))</f>
        <v>0.32738077883708899</v>
      </c>
      <c r="AE17" s="18" t="b">
        <f t="shared" si="13"/>
        <v>0</v>
      </c>
      <c r="AF17" s="5">
        <f>SUMIF(DATA!$A:$A,REPLACE($C17,FIND("%Z%",$C17),3,LOWER($AB$14)),IF($C$12=3,DATA!$AE:$AE,DATA!$AF:$AF))</f>
        <v>0.31888145803553197</v>
      </c>
      <c r="AG17" s="5" t="b">
        <f t="shared" si="14"/>
        <v>0</v>
      </c>
      <c r="AH17" s="5">
        <f>SUMIF(DATA!$A:$A,REPLACE($C17,FIND("%Z%",$C17),3,LOWER($AB$14)),IF($C$12=3,DATA!$R:$R,DATA!$AH:$AH))</f>
        <v>0.318811826771431</v>
      </c>
      <c r="AI17" s="19" t="b">
        <f t="shared" si="15"/>
        <v>0</v>
      </c>
      <c r="AJ17" s="4">
        <f>SUMIF(DATA!$A:$A,REPLACE($C17,FIND("%Z%",$C17),3,LOWER($AJ$14)),IF($C$12=3,DATA!$AC:$AC,DATA!$AD:$AD))</f>
        <v>0.39457831325301201</v>
      </c>
      <c r="AK17" s="18" t="b">
        <f t="shared" si="16"/>
        <v>0</v>
      </c>
      <c r="AL17" s="5">
        <f>SUMIF(DATA!$A:$A,REPLACE($C17,FIND("%Z%",$C17),3,LOWER($AJ$14)),IF($C$12=3,DATA!$AD:$AD,DATA!$AE:$AE))</f>
        <v>0.35468748144044798</v>
      </c>
      <c r="AM17" s="18" t="b">
        <f t="shared" si="17"/>
        <v>0</v>
      </c>
      <c r="AN17" s="5">
        <f>SUMIF(DATA!$A:$A,REPLACE($C17,FIND("%Z%",$C17),3,LOWER($AJ$14)),IF($C$12=3,DATA!$AE:$AE,DATA!$AF:$AF))</f>
        <v>0.35088157278826598</v>
      </c>
      <c r="AO17" s="5" t="b">
        <f t="shared" si="18"/>
        <v>0</v>
      </c>
      <c r="AP17" s="6">
        <f>SUMIF(DATA!$A:$A,REPLACE($C17,FIND("%Z%",$C17),3,LOWER($AJ$14)),IF($C$12=3,DATA!$R:$R,DATA!$AH:$AH))</f>
        <v>0.35019990570300102</v>
      </c>
      <c r="AQ17" s="19" t="b">
        <f t="shared" si="19"/>
        <v>0</v>
      </c>
    </row>
    <row r="18" spans="2:43" x14ac:dyDescent="0.3">
      <c r="B18" s="7" t="s">
        <v>41</v>
      </c>
      <c r="C18" s="13" t="str">
        <f t="shared" si="20"/>
        <v>nested__physiological_features__arousal__ternary__svm__aggregated__%Z%__emognition_features_w60_o30</v>
      </c>
      <c r="D18" s="4">
        <f>SUMIF(DATA!$A:$A,REPLACE($C18,FIND("%Z%",$C18),3,LOWER($D$14)),IF($C$12=3,DATA!$AC:$AC,DATA!$AD:$AD))</f>
        <v>0.373493975903614</v>
      </c>
      <c r="E18" s="18" t="b">
        <f t="shared" si="0"/>
        <v>0</v>
      </c>
      <c r="F18" s="4">
        <f>SUMIF(DATA!$A:$A,REPLACE($C18,FIND("%Z%",$C18),3,LOWER($D$14)),IF($C$12=3,DATA!$AD:$AD,DATA!$AE:$AE))</f>
        <v>0.34584854541704502</v>
      </c>
      <c r="G18" s="18" t="b">
        <f t="shared" si="1"/>
        <v>0</v>
      </c>
      <c r="H18" s="4">
        <f>SUMIF(DATA!$A:$A,REPLACE($C18,FIND("%Z%",$C18),3,LOWER($D$14)),IF($C$12=3,DATA!$AE:$AE,DATA!$AF:$AF))</f>
        <v>0.35352079900961503</v>
      </c>
      <c r="I18" s="5" t="b">
        <f t="shared" si="2"/>
        <v>0</v>
      </c>
      <c r="J18" s="4">
        <f>SUMIF(DATA!$A:$A,REPLACE($C18,FIND("%Z%",$C18),3,LOWER($D$14)),IF($C$12=3,DATA!$R:$R,DATA!$AH:$AH))</f>
        <v>0.344385257379</v>
      </c>
      <c r="K18" s="19" t="b">
        <f t="shared" si="3"/>
        <v>0</v>
      </c>
      <c r="L18" s="4">
        <f>SUMIF(DATA!$A:$A,REPLACE($C18,FIND("%Z%",$C18),3,LOWER($L$14)),IF($C$12=3,DATA!$AC:$AC,DATA!$AD:$AD))</f>
        <v>0.37048192771084298</v>
      </c>
      <c r="M18" s="18" t="b">
        <f t="shared" si="4"/>
        <v>0</v>
      </c>
      <c r="N18" s="5">
        <f>SUMIF(DATA!$A:$A,REPLACE($C18,FIND("%Z%",$C18),3,LOWER($L$14)),IF($C$12=3,DATA!$AD:$AD,DATA!$AE:$AE))</f>
        <v>0.35825118538171302</v>
      </c>
      <c r="O18" s="18" t="b">
        <f t="shared" si="5"/>
        <v>0</v>
      </c>
      <c r="P18" s="5">
        <f>SUMIF(DATA!$A:$A,REPLACE($C18,FIND("%Z%",$C18),3,LOWER($L$14)),IF($C$12=3,DATA!$AE:$AE,DATA!$AF:$AF))</f>
        <v>0.36041740639917902</v>
      </c>
      <c r="Q18" s="5" t="b">
        <f t="shared" si="6"/>
        <v>0</v>
      </c>
      <c r="R18" s="5">
        <f>SUMIF(DATA!$A:$A,REPLACE($C18,FIND("%Z%",$C18),3,LOWER($L$14)),IF($C$12=3,DATA!$R:$R,DATA!$AH:$AH))</f>
        <v>0.35822419515704401</v>
      </c>
      <c r="S18" s="19" t="b">
        <f t="shared" si="7"/>
        <v>0</v>
      </c>
      <c r="T18" s="4">
        <f>SUMIF(DATA!$A:$A,REPLACE($C18,FIND("%Z%",$C18),3,LOWER($T$14)),IF($C$12=3,DATA!$AC:$AC,DATA!$AD:$AD))</f>
        <v>0.343373493975903</v>
      </c>
      <c r="U18" s="18" t="b">
        <f t="shared" si="8"/>
        <v>0</v>
      </c>
      <c r="V18" s="5">
        <f>SUMIF(DATA!$A:$A,REPLACE($C18,FIND("%Z%",$C18),3,LOWER($T$14)),IF($C$12=3,DATA!$AD:$AD,DATA!$AE:$AE))</f>
        <v>0.32364106285357602</v>
      </c>
      <c r="W18" s="18" t="b">
        <f t="shared" si="9"/>
        <v>0</v>
      </c>
      <c r="X18" s="5">
        <f>SUMIF(DATA!$A:$A,REPLACE($C18,FIND("%Z%",$C18),3,LOWER($T$14)),IF($C$12=3,DATA!$AE:$AE,DATA!$AF:$AF))</f>
        <v>0.32747545959707203</v>
      </c>
      <c r="Y18" s="5" t="b">
        <f t="shared" si="10"/>
        <v>0</v>
      </c>
      <c r="Z18" s="5">
        <f>SUMIF(DATA!$A:$A,REPLACE($C18,FIND("%Z%",$C18),3,LOWER($T$14)),IF($C$12=3,DATA!$R:$R,DATA!$AH:$AH))</f>
        <v>0.32472006890611499</v>
      </c>
      <c r="AA18" s="19" t="b">
        <f t="shared" si="11"/>
        <v>0</v>
      </c>
      <c r="AB18" s="4">
        <f>SUMIF(DATA!$A:$A,REPLACE($C18,FIND("%Z%",$C18),3,LOWER($AB$14)),IF($C$12=3,DATA!$AC:$AC,DATA!$AD:$AD))</f>
        <v>0.38855421686746899</v>
      </c>
      <c r="AC18" s="18" t="b">
        <f t="shared" si="12"/>
        <v>0</v>
      </c>
      <c r="AD18" s="5">
        <f>SUMIF(DATA!$A:$A,REPLACE($C18,FIND("%Z%",$C18),3,LOWER($AB$14)),IF($C$12=3,DATA!$AD:$AD,DATA!$AE:$AE))</f>
        <v>0.354367852210354</v>
      </c>
      <c r="AE18" s="18" t="b">
        <f t="shared" si="13"/>
        <v>0</v>
      </c>
      <c r="AF18" s="5">
        <f>SUMIF(DATA!$A:$A,REPLACE($C18,FIND("%Z%",$C18),3,LOWER($AB$14)),IF($C$12=3,DATA!$AE:$AE,DATA!$AF:$AF))</f>
        <v>0.364726857794893</v>
      </c>
      <c r="AG18" s="5" t="b">
        <f t="shared" si="14"/>
        <v>0</v>
      </c>
      <c r="AH18" s="5">
        <f>SUMIF(DATA!$A:$A,REPLACE($C18,FIND("%Z%",$C18),3,LOWER($AB$14)),IF($C$12=3,DATA!$R:$R,DATA!$AH:$AH))</f>
        <v>0.35359564524867299</v>
      </c>
      <c r="AI18" s="19" t="b">
        <f t="shared" si="15"/>
        <v>0</v>
      </c>
      <c r="AJ18" s="4">
        <f>SUMIF(DATA!$A:$A,REPLACE($C18,FIND("%Z%",$C18),3,LOWER($AJ$14)),IF($C$12=3,DATA!$AC:$AC,DATA!$AD:$AD))</f>
        <v>0.37951807228915602</v>
      </c>
      <c r="AK18" s="18" t="b">
        <f t="shared" si="16"/>
        <v>0</v>
      </c>
      <c r="AL18" s="5">
        <f>SUMIF(DATA!$A:$A,REPLACE($C18,FIND("%Z%",$C18),3,LOWER($AJ$14)),IF($C$12=3,DATA!$AD:$AD,DATA!$AE:$AE))</f>
        <v>0.34409517392257399</v>
      </c>
      <c r="AM18" s="18" t="b">
        <f t="shared" si="17"/>
        <v>0</v>
      </c>
      <c r="AN18" s="5">
        <f>SUMIF(DATA!$A:$A,REPLACE($C18,FIND("%Z%",$C18),3,LOWER($AJ$14)),IF($C$12=3,DATA!$AE:$AE,DATA!$AF:$AF))</f>
        <v>0.35410388530310399</v>
      </c>
      <c r="AO18" s="5" t="b">
        <f t="shared" si="18"/>
        <v>0</v>
      </c>
      <c r="AP18" s="6">
        <f>SUMIF(DATA!$A:$A,REPLACE($C18,FIND("%Z%",$C18),3,LOWER($AJ$14)),IF($C$12=3,DATA!$R:$R,DATA!$AH:$AH))</f>
        <v>0.34280870369375599</v>
      </c>
      <c r="AQ18" s="19" t="b">
        <f t="shared" si="19"/>
        <v>0</v>
      </c>
    </row>
    <row r="19" spans="2:43" x14ac:dyDescent="0.3">
      <c r="B19" s="11" t="s">
        <v>42</v>
      </c>
      <c r="C19" s="13" t="str">
        <f t="shared" si="20"/>
        <v>nested__physiological_features__arousal__ternary__xgboost__aggregated__%Z%__emognition_features_w60_o30</v>
      </c>
      <c r="D19" s="4">
        <f>SUMIF(DATA!$A:$A,REPLACE($C19,FIND("%Z%",$C19),3,LOWER($D$14)),IF($C$12=3,DATA!$AC:$AC,DATA!$AD:$AD))</f>
        <v>0.358433734939759</v>
      </c>
      <c r="E19" s="18" t="b">
        <f t="shared" si="0"/>
        <v>0</v>
      </c>
      <c r="F19" s="4">
        <f>SUMIF(DATA!$A:$A,REPLACE($C19,FIND("%Z%",$C19),3,LOWER($D$14)),IF($C$12=3,DATA!$AD:$AD,DATA!$AE:$AE))</f>
        <v>0.319014537730826</v>
      </c>
      <c r="G19" s="18" t="b">
        <f t="shared" si="1"/>
        <v>0</v>
      </c>
      <c r="H19" s="4">
        <f>SUMIF(DATA!$A:$A,REPLACE($C19,FIND("%Z%",$C19),3,LOWER($D$14)),IF($C$12=3,DATA!$AE:$AE,DATA!$AF:$AF))</f>
        <v>0.32271505376344001</v>
      </c>
      <c r="I19" s="5" t="b">
        <f t="shared" si="2"/>
        <v>0</v>
      </c>
      <c r="J19" s="4">
        <f>SUMIF(DATA!$A:$A,REPLACE($C19,FIND("%Z%",$C19),3,LOWER($D$14)),IF($C$12=3,DATA!$R:$R,DATA!$AH:$AH))</f>
        <v>0.316511840821535</v>
      </c>
      <c r="K19" s="19" t="b">
        <f t="shared" si="3"/>
        <v>0</v>
      </c>
      <c r="L19" s="4">
        <f>SUMIF(DATA!$A:$A,REPLACE($C19,FIND("%Z%",$C19),3,LOWER($L$14)),IF($C$12=3,DATA!$AC:$AC,DATA!$AD:$AD))</f>
        <v>0.40361445783132499</v>
      </c>
      <c r="M19" s="18" t="b">
        <f t="shared" si="4"/>
        <v>0</v>
      </c>
      <c r="N19" s="5">
        <f>SUMIF(DATA!$A:$A,REPLACE($C19,FIND("%Z%",$C19),3,LOWER($L$14)),IF($C$12=3,DATA!$AD:$AD,DATA!$AE:$AE))</f>
        <v>0.376348030878775</v>
      </c>
      <c r="O19" s="18" t="b">
        <f t="shared" si="5"/>
        <v>0</v>
      </c>
      <c r="P19" s="5">
        <f>SUMIF(DATA!$A:$A,REPLACE($C19,FIND("%Z%",$C19),3,LOWER($L$14)),IF($C$12=3,DATA!$AE:$AE,DATA!$AF:$AF))</f>
        <v>0.38187949595857701</v>
      </c>
      <c r="Q19" s="5" t="b">
        <f t="shared" si="6"/>
        <v>0</v>
      </c>
      <c r="R19" s="5">
        <f>SUMIF(DATA!$A:$A,REPLACE($C19,FIND("%Z%",$C19),3,LOWER($L$14)),IF($C$12=3,DATA!$R:$R,DATA!$AH:$AH))</f>
        <v>0.37716174592442298</v>
      </c>
      <c r="S19" s="19" t="b">
        <f t="shared" si="7"/>
        <v>0</v>
      </c>
      <c r="T19" s="4">
        <f>SUMIF(DATA!$A:$A,REPLACE($C19,FIND("%Z%",$C19),3,LOWER($T$14)),IF($C$12=3,DATA!$AC:$AC,DATA!$AD:$AD))</f>
        <v>0.38554216867469798</v>
      </c>
      <c r="U19" s="18" t="b">
        <f t="shared" si="8"/>
        <v>0</v>
      </c>
      <c r="V19" s="5">
        <f>SUMIF(DATA!$A:$A,REPLACE($C19,FIND("%Z%",$C19),3,LOWER($T$14)),IF($C$12=3,DATA!$AD:$AD,DATA!$AE:$AE))</f>
        <v>0.349793698768887</v>
      </c>
      <c r="W19" s="18" t="b">
        <f t="shared" si="9"/>
        <v>0</v>
      </c>
      <c r="X19" s="5">
        <f>SUMIF(DATA!$A:$A,REPLACE($C19,FIND("%Z%",$C19),3,LOWER($T$14)),IF($C$12=3,DATA!$AE:$AE,DATA!$AF:$AF))</f>
        <v>0.34701768819415801</v>
      </c>
      <c r="Y19" s="5" t="b">
        <f t="shared" si="10"/>
        <v>0</v>
      </c>
      <c r="Z19" s="5">
        <f>SUMIF(DATA!$A:$A,REPLACE($C19,FIND("%Z%",$C19),3,LOWER($T$14)),IF($C$12=3,DATA!$R:$R,DATA!$AH:$AH))</f>
        <v>0.34713429667449103</v>
      </c>
      <c r="AA19" s="19" t="b">
        <f t="shared" si="11"/>
        <v>0</v>
      </c>
      <c r="AB19" s="4">
        <f>SUMIF(DATA!$A:$A,REPLACE($C19,FIND("%Z%",$C19),3,LOWER($AB$14)),IF($C$12=3,DATA!$AC:$AC,DATA!$AD:$AD))</f>
        <v>0.34939759036144502</v>
      </c>
      <c r="AC19" s="18" t="b">
        <f t="shared" si="12"/>
        <v>0</v>
      </c>
      <c r="AD19" s="5">
        <f>SUMIF(DATA!$A:$A,REPLACE($C19,FIND("%Z%",$C19),3,LOWER($AB$14)),IF($C$12=3,DATA!$AD:$AD,DATA!$AE:$AE))</f>
        <v>0.305474838376672</v>
      </c>
      <c r="AE19" s="18" t="b">
        <f t="shared" si="13"/>
        <v>0</v>
      </c>
      <c r="AF19" s="5">
        <f>SUMIF(DATA!$A:$A,REPLACE($C19,FIND("%Z%",$C19),3,LOWER($AB$14)),IF($C$12=3,DATA!$AE:$AE,DATA!$AF:$AF))</f>
        <v>0.30159748965910699</v>
      </c>
      <c r="AG19" s="5" t="b">
        <f t="shared" si="14"/>
        <v>0</v>
      </c>
      <c r="AH19" s="5">
        <f>SUMIF(DATA!$A:$A,REPLACE($C19,FIND("%Z%",$C19),3,LOWER($AB$14)),IF($C$12=3,DATA!$R:$R,DATA!$AH:$AH))</f>
        <v>0.29876594459245798</v>
      </c>
      <c r="AI19" s="19" t="b">
        <f t="shared" si="15"/>
        <v>0</v>
      </c>
      <c r="AJ19" s="4">
        <f>SUMIF(DATA!$A:$A,REPLACE($C19,FIND("%Z%",$C19),3,LOWER($AJ$14)),IF($C$12=3,DATA!$AC:$AC,DATA!$AD:$AD))</f>
        <v>0.35240963855421598</v>
      </c>
      <c r="AK19" s="18" t="b">
        <f t="shared" si="16"/>
        <v>0</v>
      </c>
      <c r="AL19" s="5">
        <f>SUMIF(DATA!$A:$A,REPLACE($C19,FIND("%Z%",$C19),3,LOWER($AJ$14)),IF($C$12=3,DATA!$AD:$AD,DATA!$AE:$AE))</f>
        <v>0.31057405841656099</v>
      </c>
      <c r="AM19" s="18" t="b">
        <f t="shared" si="17"/>
        <v>0</v>
      </c>
      <c r="AN19" s="5">
        <f>SUMIF(DATA!$A:$A,REPLACE($C19,FIND("%Z%",$C19),3,LOWER($AJ$14)),IF($C$12=3,DATA!$AE:$AE,DATA!$AF:$AF))</f>
        <v>0.30698125404007698</v>
      </c>
      <c r="AO19" s="5" t="b">
        <f t="shared" si="18"/>
        <v>0</v>
      </c>
      <c r="AP19" s="6">
        <f>SUMIF(DATA!$A:$A,REPLACE($C19,FIND("%Z%",$C19),3,LOWER($AJ$14)),IF($C$12=3,DATA!$R:$R,DATA!$AH:$AH))</f>
        <v>0.30556895094930597</v>
      </c>
      <c r="AQ19" s="19" t="b">
        <f t="shared" si="19"/>
        <v>0</v>
      </c>
    </row>
    <row r="20" spans="2:43" x14ac:dyDescent="0.3">
      <c r="B20" s="7" t="s">
        <v>43</v>
      </c>
      <c r="C20" s="13" t="str">
        <f t="shared" si="20"/>
        <v>nested__physiological_features__arousal__ternary__mlp__aggregated__%Z%__emognition_features_w60_o30</v>
      </c>
      <c r="D20" s="4">
        <f>SUMIF(DATA!$A:$A,REPLACE($C20,FIND("%Z%",$C20),3,LOWER($D$14)),IF($C$12=3,DATA!$AC:$AC,DATA!$AD:$AD))</f>
        <v>0.36144578313253001</v>
      </c>
      <c r="E20" s="18" t="b">
        <f t="shared" si="0"/>
        <v>0</v>
      </c>
      <c r="F20" s="4">
        <f>SUMIF(DATA!$A:$A,REPLACE($C20,FIND("%Z%",$C20),3,LOWER($D$14)),IF($C$12=3,DATA!$AD:$AD,DATA!$AE:$AE))</f>
        <v>0.344921512666928</v>
      </c>
      <c r="G20" s="18" t="b">
        <f t="shared" si="1"/>
        <v>0</v>
      </c>
      <c r="H20" s="4">
        <f>SUMIF(DATA!$A:$A,REPLACE($C20,FIND("%Z%",$C20),3,LOWER($D$14)),IF($C$12=3,DATA!$AE:$AE,DATA!$AF:$AF))</f>
        <v>0.34495139244818301</v>
      </c>
      <c r="I20" s="5" t="b">
        <f t="shared" si="2"/>
        <v>0</v>
      </c>
      <c r="J20" s="4">
        <f>SUMIF(DATA!$A:$A,REPLACE($C20,FIND("%Z%",$C20),3,LOWER($D$14)),IF($C$12=3,DATA!$R:$R,DATA!$AH:$AH))</f>
        <v>0.34404481908357198</v>
      </c>
      <c r="K20" s="19" t="b">
        <f t="shared" si="3"/>
        <v>0</v>
      </c>
      <c r="L20" s="4">
        <f>SUMIF(DATA!$A:$A,REPLACE($C20,FIND("%Z%",$C20),3,LOWER($L$14)),IF($C$12=3,DATA!$AC:$AC,DATA!$AD:$AD))</f>
        <v>0.41566265060240898</v>
      </c>
      <c r="M20" s="18" t="b">
        <f t="shared" si="4"/>
        <v>1</v>
      </c>
      <c r="N20" s="5">
        <f>SUMIF(DATA!$A:$A,REPLACE($C20,FIND("%Z%",$C20),3,LOWER($L$14)),IF($C$12=3,DATA!$AD:$AD,DATA!$AE:$AE))</f>
        <v>0.403212813676675</v>
      </c>
      <c r="O20" s="18" t="b">
        <f t="shared" si="5"/>
        <v>1</v>
      </c>
      <c r="P20" s="5">
        <f>SUMIF(DATA!$A:$A,REPLACE($C20,FIND("%Z%",$C20),3,LOWER($L$14)),IF($C$12=3,DATA!$AE:$AE,DATA!$AF:$AF))</f>
        <v>0.40264700257613001</v>
      </c>
      <c r="Q20" s="5" t="b">
        <f t="shared" si="6"/>
        <v>1</v>
      </c>
      <c r="R20" s="5">
        <f>SUMIF(DATA!$A:$A,REPLACE($C20,FIND("%Z%",$C20),3,LOWER($L$14)),IF($C$12=3,DATA!$R:$R,DATA!$AH:$AH))</f>
        <v>0.40290753754995101</v>
      </c>
      <c r="S20" s="19" t="b">
        <f t="shared" si="7"/>
        <v>1</v>
      </c>
      <c r="T20" s="4">
        <f>SUMIF(DATA!$A:$A,REPLACE($C20,FIND("%Z%",$C20),3,LOWER($T$14)),IF($C$12=3,DATA!$AC:$AC,DATA!$AD:$AD))</f>
        <v>0.32530120481927699</v>
      </c>
      <c r="U20" s="18" t="b">
        <f t="shared" si="8"/>
        <v>0</v>
      </c>
      <c r="V20" s="5">
        <f>SUMIF(DATA!$A:$A,REPLACE($C20,FIND("%Z%",$C20),3,LOWER($T$14)),IF($C$12=3,DATA!$AD:$AD,DATA!$AE:$AE))</f>
        <v>0.31592649823502</v>
      </c>
      <c r="W20" s="18" t="b">
        <f t="shared" si="9"/>
        <v>0</v>
      </c>
      <c r="X20" s="5">
        <f>SUMIF(DATA!$A:$A,REPLACE($C20,FIND("%Z%",$C20),3,LOWER($T$14)),IF($C$12=3,DATA!$AE:$AE,DATA!$AF:$AF))</f>
        <v>0.31418272756041599</v>
      </c>
      <c r="Y20" s="5" t="b">
        <f t="shared" si="10"/>
        <v>0</v>
      </c>
      <c r="Z20" s="5">
        <f>SUMIF(DATA!$A:$A,REPLACE($C20,FIND("%Z%",$C20),3,LOWER($T$14)),IF($C$12=3,DATA!$R:$R,DATA!$AH:$AH))</f>
        <v>0.31418534802415099</v>
      </c>
      <c r="AA20" s="19" t="b">
        <f t="shared" si="11"/>
        <v>0</v>
      </c>
      <c r="AB20" s="4">
        <f>SUMIF(DATA!$A:$A,REPLACE($C20,FIND("%Z%",$C20),3,LOWER($AB$14)),IF($C$12=3,DATA!$AC:$AC,DATA!$AD:$AD))</f>
        <v>0.32530120481927699</v>
      </c>
      <c r="AC20" s="18" t="b">
        <f t="shared" si="12"/>
        <v>0</v>
      </c>
      <c r="AD20" s="5">
        <f>SUMIF(DATA!$A:$A,REPLACE($C20,FIND("%Z%",$C20),3,LOWER($AB$14)),IF($C$12=3,DATA!$AD:$AD,DATA!$AE:$AE))</f>
        <v>0.29578769708219499</v>
      </c>
      <c r="AE20" s="18" t="b">
        <f t="shared" si="13"/>
        <v>0</v>
      </c>
      <c r="AF20" s="5">
        <f>SUMIF(DATA!$A:$A,REPLACE($C20,FIND("%Z%",$C20),3,LOWER($AB$14)),IF($C$12=3,DATA!$AE:$AE,DATA!$AF:$AF))</f>
        <v>0.29493146714149598</v>
      </c>
      <c r="AG20" s="5" t="b">
        <f t="shared" si="14"/>
        <v>0</v>
      </c>
      <c r="AH20" s="5">
        <f>SUMIF(DATA!$A:$A,REPLACE($C20,FIND("%Z%",$C20),3,LOWER($AB$14)),IF($C$12=3,DATA!$R:$R,DATA!$AH:$AH))</f>
        <v>0.29513973892276701</v>
      </c>
      <c r="AI20" s="19" t="b">
        <f t="shared" si="15"/>
        <v>0</v>
      </c>
      <c r="AJ20" s="4">
        <f>SUMIF(DATA!$A:$A,REPLACE($C20,FIND("%Z%",$C20),3,LOWER($AJ$14)),IF($C$12=3,DATA!$AC:$AC,DATA!$AD:$AD))</f>
        <v>0.29518072289156599</v>
      </c>
      <c r="AK20" s="18" t="b">
        <f t="shared" si="16"/>
        <v>0</v>
      </c>
      <c r="AL20" s="5">
        <f>SUMIF(DATA!$A:$A,REPLACE($C20,FIND("%Z%",$C20),3,LOWER($AJ$14)),IF($C$12=3,DATA!$AD:$AD,DATA!$AE:$AE))</f>
        <v>0.287289986858487</v>
      </c>
      <c r="AM20" s="18" t="b">
        <f t="shared" si="17"/>
        <v>0</v>
      </c>
      <c r="AN20" s="5">
        <f>SUMIF(DATA!$A:$A,REPLACE($C20,FIND("%Z%",$C20),3,LOWER($AJ$14)),IF($C$12=3,DATA!$AE:$AE,DATA!$AF:$AF))</f>
        <v>0.28951064296686402</v>
      </c>
      <c r="AO20" s="5" t="b">
        <f t="shared" si="18"/>
        <v>0</v>
      </c>
      <c r="AP20" s="6">
        <f>SUMIF(DATA!$A:$A,REPLACE($C20,FIND("%Z%",$C20),3,LOWER($AJ$14)),IF($C$12=3,DATA!$R:$R,DATA!$AH:$AH))</f>
        <v>0.28557333954393899</v>
      </c>
      <c r="AQ20" s="19" t="b">
        <f t="shared" si="19"/>
        <v>0</v>
      </c>
    </row>
    <row r="21" spans="2:43" x14ac:dyDescent="0.3">
      <c r="B21" s="11" t="s">
        <v>44</v>
      </c>
      <c r="C21" s="13" t="str">
        <f t="shared" si="20"/>
        <v>nested__physiological_features__arousal__ternary__gcn__aggregated__%Z%__emognition_features_w60_o30</v>
      </c>
      <c r="D21" s="4">
        <f>SUMIF(DATA!$A:$A,REPLACE($C21,FIND("%Z%",$C21),3,LOWER($D$14)),IF($C$12=3,DATA!$AC:$AC,DATA!$AD:$AD))</f>
        <v>0.30421686746987903</v>
      </c>
      <c r="E21" s="18" t="b">
        <f t="shared" si="0"/>
        <v>0</v>
      </c>
      <c r="F21" s="4">
        <f>SUMIF(DATA!$A:$A,REPLACE($C21,FIND("%Z%",$C21),3,LOWER($D$14)),IF($C$12=3,DATA!$AD:$AD,DATA!$AE:$AE))</f>
        <v>0.28582088021138702</v>
      </c>
      <c r="G21" s="18" t="b">
        <f t="shared" si="1"/>
        <v>0</v>
      </c>
      <c r="H21" s="4">
        <f>SUMIF(DATA!$A:$A,REPLACE($C21,FIND("%Z%",$C21),3,LOWER($D$14)),IF($C$12=3,DATA!$AE:$AE,DATA!$AF:$AF))</f>
        <v>0.28950782435038402</v>
      </c>
      <c r="I21" s="5" t="b">
        <f t="shared" si="2"/>
        <v>0</v>
      </c>
      <c r="J21" s="4">
        <f>SUMIF(DATA!$A:$A,REPLACE($C21,FIND("%Z%",$C21),3,LOWER($D$14)),IF($C$12=3,DATA!$R:$R,DATA!$AH:$AH))</f>
        <v>0.28666171713546401</v>
      </c>
      <c r="K21" s="19" t="b">
        <f t="shared" si="3"/>
        <v>0</v>
      </c>
      <c r="L21" s="4">
        <f>SUMIF(DATA!$A:$A,REPLACE($C21,FIND("%Z%",$C21),3,LOWER($L$14)),IF($C$12=3,DATA!$AC:$AC,DATA!$AD:$AD))</f>
        <v>0.33433734939759002</v>
      </c>
      <c r="M21" s="18" t="b">
        <f t="shared" si="4"/>
        <v>0</v>
      </c>
      <c r="N21" s="5">
        <f>SUMIF(DATA!$A:$A,REPLACE($C21,FIND("%Z%",$C21),3,LOWER($L$14)),IF($C$12=3,DATA!$AD:$AD,DATA!$AE:$AE))</f>
        <v>0.33298211912019798</v>
      </c>
      <c r="O21" s="18" t="b">
        <f t="shared" si="5"/>
        <v>0</v>
      </c>
      <c r="P21" s="5">
        <f>SUMIF(DATA!$A:$A,REPLACE($C21,FIND("%Z%",$C21),3,LOWER($L$14)),IF($C$12=3,DATA!$AE:$AE,DATA!$AF:$AF))</f>
        <v>0.33321590158776498</v>
      </c>
      <c r="Q21" s="5" t="b">
        <f t="shared" si="6"/>
        <v>0</v>
      </c>
      <c r="R21" s="5">
        <f>SUMIF(DATA!$A:$A,REPLACE($C21,FIND("%Z%",$C21),3,LOWER($L$14)),IF($C$12=3,DATA!$R:$R,DATA!$AH:$AH))</f>
        <v>0.32844988335722702</v>
      </c>
      <c r="S21" s="19" t="b">
        <f t="shared" si="7"/>
        <v>0</v>
      </c>
      <c r="T21" s="4">
        <f>SUMIF(DATA!$A:$A,REPLACE($C21,FIND("%Z%",$C21),3,LOWER($T$14)),IF($C$12=3,DATA!$AC:$AC,DATA!$AD:$AD))</f>
        <v>0.34939759036144502</v>
      </c>
      <c r="U21" s="18" t="b">
        <f t="shared" si="8"/>
        <v>0</v>
      </c>
      <c r="V21" s="5">
        <f>SUMIF(DATA!$A:$A,REPLACE($C21,FIND("%Z%",$C21),3,LOWER($T$14)),IF($C$12=3,DATA!$AD:$AD,DATA!$AE:$AE))</f>
        <v>0.32364565212461599</v>
      </c>
      <c r="W21" s="18" t="b">
        <f t="shared" si="9"/>
        <v>0</v>
      </c>
      <c r="X21" s="5">
        <f>SUMIF(DATA!$A:$A,REPLACE($C21,FIND("%Z%",$C21),3,LOWER($T$14)),IF($C$12=3,DATA!$AE:$AE,DATA!$AF:$AF))</f>
        <v>0.32290437542538297</v>
      </c>
      <c r="Y21" s="5" t="b">
        <f t="shared" si="10"/>
        <v>0</v>
      </c>
      <c r="Z21" s="5">
        <f>SUMIF(DATA!$A:$A,REPLACE($C21,FIND("%Z%",$C21),3,LOWER($T$14)),IF($C$12=3,DATA!$R:$R,DATA!$AH:$AH))</f>
        <v>0.32232724239321803</v>
      </c>
      <c r="AA21" s="19" t="b">
        <f t="shared" si="11"/>
        <v>0</v>
      </c>
      <c r="AB21" s="4">
        <f>SUMIF(DATA!$A:$A,REPLACE($C21,FIND("%Z%",$C21),3,LOWER($AB$14)),IF($C$12=3,DATA!$AC:$AC,DATA!$AD:$AD))</f>
        <v>0.343373493975903</v>
      </c>
      <c r="AC21" s="18" t="b">
        <f t="shared" si="12"/>
        <v>0</v>
      </c>
      <c r="AD21" s="5">
        <f>SUMIF(DATA!$A:$A,REPLACE($C21,FIND("%Z%",$C21),3,LOWER($AB$14)),IF($C$12=3,DATA!$AD:$AD,DATA!$AE:$AE))</f>
        <v>0.34304477076861101</v>
      </c>
      <c r="AE21" s="18" t="b">
        <f t="shared" si="13"/>
        <v>0</v>
      </c>
      <c r="AF21" s="5">
        <f>SUMIF(DATA!$A:$A,REPLACE($C21,FIND("%Z%",$C21),3,LOWER($AB$14)),IF($C$12=3,DATA!$AE:$AE,DATA!$AF:$AF))</f>
        <v>0.33892753623188399</v>
      </c>
      <c r="AG21" s="5" t="b">
        <f t="shared" si="14"/>
        <v>0</v>
      </c>
      <c r="AH21" s="5">
        <f>SUMIF(DATA!$A:$A,REPLACE($C21,FIND("%Z%",$C21),3,LOWER($AB$14)),IF($C$12=3,DATA!$R:$R,DATA!$AH:$AH))</f>
        <v>0.336455607884179</v>
      </c>
      <c r="AI21" s="19" t="b">
        <f t="shared" si="15"/>
        <v>0</v>
      </c>
      <c r="AJ21" s="4">
        <f>SUMIF(DATA!$A:$A,REPLACE($C21,FIND("%Z%",$C21),3,LOWER($AJ$14)),IF($C$12=3,DATA!$AC:$AC,DATA!$AD:$AD))</f>
        <v>0.31024096385542099</v>
      </c>
      <c r="AK21" s="18" t="b">
        <f t="shared" si="16"/>
        <v>0</v>
      </c>
      <c r="AL21" s="5">
        <f>SUMIF(DATA!$A:$A,REPLACE($C21,FIND("%Z%",$C21),3,LOWER($AJ$14)),IF($C$12=3,DATA!$AD:$AD,DATA!$AE:$AE))</f>
        <v>0.29151940505770002</v>
      </c>
      <c r="AM21" s="18" t="b">
        <f t="shared" si="17"/>
        <v>0</v>
      </c>
      <c r="AN21" s="5">
        <f>SUMIF(DATA!$A:$A,REPLACE($C21,FIND("%Z%",$C21),3,LOWER($AJ$14)),IF($C$12=3,DATA!$AE:$AE,DATA!$AF:$AF))</f>
        <v>0.29909003831417602</v>
      </c>
      <c r="AO21" s="5" t="b">
        <f t="shared" si="18"/>
        <v>0</v>
      </c>
      <c r="AP21" s="6">
        <f>SUMIF(DATA!$A:$A,REPLACE($C21,FIND("%Z%",$C21),3,LOWER($AJ$14)),IF($C$12=3,DATA!$R:$R,DATA!$AH:$AH))</f>
        <v>0.29304737823151</v>
      </c>
      <c r="AQ21" s="19" t="b">
        <f t="shared" si="19"/>
        <v>0</v>
      </c>
    </row>
    <row r="22" spans="2:43" ht="15" thickBot="1" x14ac:dyDescent="0.35">
      <c r="B22" s="8" t="s">
        <v>45</v>
      </c>
      <c r="C22" s="13" t="str">
        <f t="shared" si="20"/>
        <v>nested__physiological_features__arousal__ternary__gat__aggregated__%Z%__emognition_features_w60_o30</v>
      </c>
      <c r="D22" s="14">
        <f>SUMIF(DATA!$A:$A,REPLACE($C22,FIND("%Z%",$C22),3,LOWER($D$14)),IF($C$12=3,DATA!$AC:$AC,DATA!$AD:$AD))</f>
        <v>0.313253012048192</v>
      </c>
      <c r="E22" s="18" t="b">
        <f t="shared" si="0"/>
        <v>0</v>
      </c>
      <c r="F22" s="14">
        <f>SUMIF(DATA!$A:$A,REPLACE($C22,FIND("%Z%",$C22),3,LOWER($D$14)),IF($C$12=3,DATA!$AD:$AD,DATA!$AE:$AE))</f>
        <v>0.31503833931018299</v>
      </c>
      <c r="G22" s="18" t="b">
        <f t="shared" si="1"/>
        <v>0</v>
      </c>
      <c r="H22" s="14">
        <f>SUMIF(DATA!$A:$A,REPLACE($C22,FIND("%Z%",$C22),3,LOWER($D$14)),IF($C$12=3,DATA!$AE:$AE,DATA!$AF:$AF))</f>
        <v>0.31486254295532601</v>
      </c>
      <c r="I22" s="15" t="b">
        <f t="shared" si="2"/>
        <v>0</v>
      </c>
      <c r="J22" s="14">
        <f>SUMIF(DATA!$A:$A,REPLACE($C22,FIND("%Z%",$C22),3,LOWER($D$14)),IF($C$12=3,DATA!$R:$R,DATA!$AH:$AH))</f>
        <v>0.30948886744982301</v>
      </c>
      <c r="K22" s="19" t="b">
        <f t="shared" si="3"/>
        <v>0</v>
      </c>
      <c r="L22" s="14">
        <f>SUMIF(DATA!$A:$A,REPLACE($C22,FIND("%Z%",$C22),3,LOWER($L$14)),IF($C$12=3,DATA!$AC:$AC,DATA!$AD:$AD))</f>
        <v>0.28012048192771</v>
      </c>
      <c r="M22" s="18" t="b">
        <f t="shared" si="4"/>
        <v>0</v>
      </c>
      <c r="N22" s="15">
        <f>SUMIF(DATA!$A:$A,REPLACE($C22,FIND("%Z%",$C22),3,LOWER($L$14)),IF($C$12=3,DATA!$AD:$AD,DATA!$AE:$AE))</f>
        <v>0.27064982998100501</v>
      </c>
      <c r="O22" s="18" t="b">
        <f t="shared" si="5"/>
        <v>0</v>
      </c>
      <c r="P22" s="15">
        <f>SUMIF(DATA!$A:$A,REPLACE($C22,FIND("%Z%",$C22),3,LOWER($L$14)),IF($C$12=3,DATA!$AE:$AE,DATA!$AF:$AF))</f>
        <v>0.27662481889914597</v>
      </c>
      <c r="Q22" s="15" t="b">
        <f t="shared" si="6"/>
        <v>0</v>
      </c>
      <c r="R22" s="15">
        <f>SUMIF(DATA!$A:$A,REPLACE($C22,FIND("%Z%",$C22),3,LOWER($L$14)),IF($C$12=3,DATA!$R:$R,DATA!$AH:$AH))</f>
        <v>0.27011470515497499</v>
      </c>
      <c r="S22" s="19" t="b">
        <f t="shared" si="7"/>
        <v>0</v>
      </c>
      <c r="T22" s="14">
        <f>SUMIF(DATA!$A:$A,REPLACE($C22,FIND("%Z%",$C22),3,LOWER($T$14)),IF($C$12=3,DATA!$AC:$AC,DATA!$AD:$AD))</f>
        <v>0.32530120481927699</v>
      </c>
      <c r="U22" s="18" t="b">
        <f t="shared" si="8"/>
        <v>0</v>
      </c>
      <c r="V22" s="15">
        <f>SUMIF(DATA!$A:$A,REPLACE($C22,FIND("%Z%",$C22),3,LOWER($T$14)),IF($C$12=3,DATA!$AD:$AD,DATA!$AE:$AE))</f>
        <v>0.31908850598170901</v>
      </c>
      <c r="W22" s="18" t="b">
        <f t="shared" si="9"/>
        <v>0</v>
      </c>
      <c r="X22" s="15">
        <f>SUMIF(DATA!$A:$A,REPLACE($C22,FIND("%Z%",$C22),3,LOWER($T$14)),IF($C$12=3,DATA!$AE:$AE,DATA!$AF:$AF))</f>
        <v>0.31707253245022998</v>
      </c>
      <c r="Y22" s="15" t="b">
        <f t="shared" si="10"/>
        <v>0</v>
      </c>
      <c r="Z22" s="15">
        <f>SUMIF(DATA!$A:$A,REPLACE($C22,FIND("%Z%",$C22),3,LOWER($T$14)),IF($C$12=3,DATA!$R:$R,DATA!$AH:$AH))</f>
        <v>0.313044194862376</v>
      </c>
      <c r="AA22" s="19" t="b">
        <f t="shared" si="11"/>
        <v>0</v>
      </c>
      <c r="AB22" s="14">
        <f>SUMIF(DATA!$A:$A,REPLACE($C22,FIND("%Z%",$C22),3,LOWER($AB$14)),IF($C$12=3,DATA!$AC:$AC,DATA!$AD:$AD))</f>
        <v>0.36144578313253001</v>
      </c>
      <c r="AC22" s="18" t="b">
        <f t="shared" si="12"/>
        <v>0</v>
      </c>
      <c r="AD22" s="15">
        <f>SUMIF(DATA!$A:$A,REPLACE($C22,FIND("%Z%",$C22),3,LOWER($AB$14)),IF($C$12=3,DATA!$AD:$AD,DATA!$AE:$AE))</f>
        <v>0.35117938866590398</v>
      </c>
      <c r="AE22" s="18" t="b">
        <f t="shared" si="13"/>
        <v>0</v>
      </c>
      <c r="AF22" s="15">
        <f>SUMIF(DATA!$A:$A,REPLACE($C22,FIND("%Z%",$C22),3,LOWER($AB$14)),IF($C$12=3,DATA!$AE:$AE,DATA!$AF:$AF))</f>
        <v>0.35031891544496502</v>
      </c>
      <c r="AG22" s="15" t="b">
        <f t="shared" si="14"/>
        <v>0</v>
      </c>
      <c r="AH22" s="15">
        <f>SUMIF(DATA!$A:$A,REPLACE($C22,FIND("%Z%",$C22),3,LOWER($AB$14)),IF($C$12=3,DATA!$R:$R,DATA!$AH:$AH))</f>
        <v>0.349389432840856</v>
      </c>
      <c r="AI22" s="19" t="b">
        <f t="shared" si="15"/>
        <v>0</v>
      </c>
      <c r="AJ22" s="14">
        <f>SUMIF(DATA!$A:$A,REPLACE($C22,FIND("%Z%",$C22),3,LOWER($AJ$14)),IF($C$12=3,DATA!$AC:$AC,DATA!$AD:$AD))</f>
        <v>0.298192771084337</v>
      </c>
      <c r="AK22" s="18" t="b">
        <f t="shared" si="16"/>
        <v>0</v>
      </c>
      <c r="AL22" s="15">
        <f>SUMIF(DATA!$A:$A,REPLACE($C22,FIND("%Z%",$C22),3,LOWER($AJ$14)),IF($C$12=3,DATA!$AD:$AD,DATA!$AE:$AE))</f>
        <v>0.29280926017711301</v>
      </c>
      <c r="AM22" s="18" t="b">
        <f t="shared" si="17"/>
        <v>0</v>
      </c>
      <c r="AN22" s="15">
        <f>SUMIF(DATA!$A:$A,REPLACE($C22,FIND("%Z%",$C22),3,LOWER($AJ$14)),IF($C$12=3,DATA!$AE:$AE,DATA!$AF:$AF))</f>
        <v>0.29324702854114598</v>
      </c>
      <c r="AO22" s="15" t="b">
        <f t="shared" si="18"/>
        <v>0</v>
      </c>
      <c r="AP22" s="16">
        <f>SUMIF(DATA!$A:$A,REPLACE($C22,FIND("%Z%",$C22),3,LOWER($AJ$14)),IF($C$12=3,DATA!$R:$R,DATA!$AH:$AH))</f>
        <v>0.29061057621591802</v>
      </c>
      <c r="AQ22" s="19" t="b">
        <f t="shared" si="19"/>
        <v>0</v>
      </c>
    </row>
    <row r="24" spans="2:43" x14ac:dyDescent="0.3">
      <c r="B24" s="24" t="s">
        <v>1254</v>
      </c>
      <c r="C24" s="24"/>
      <c r="D24" s="25">
        <f>AVERAGE(D16:D22)</f>
        <v>0.35240963855421664</v>
      </c>
      <c r="E24" s="25" t="e">
        <f t="shared" ref="E24:AP24" si="21">AVERAGE(E16:E22)</f>
        <v>#DIV/0!</v>
      </c>
      <c r="F24" s="25">
        <f t="shared" si="21"/>
        <v>0.32321761582818703</v>
      </c>
      <c r="G24" s="25" t="e">
        <f t="shared" si="21"/>
        <v>#DIV/0!</v>
      </c>
      <c r="H24" s="25">
        <f t="shared" si="21"/>
        <v>0.32107928201752617</v>
      </c>
      <c r="I24" s="25" t="e">
        <f t="shared" si="21"/>
        <v>#DIV/0!</v>
      </c>
      <c r="J24" s="25">
        <f t="shared" si="21"/>
        <v>0.31695996000647886</v>
      </c>
      <c r="K24" s="25" t="e">
        <f t="shared" si="21"/>
        <v>#DIV/0!</v>
      </c>
      <c r="L24" s="25">
        <f t="shared" si="21"/>
        <v>0.3674698795180717</v>
      </c>
      <c r="M24" s="25" t="e">
        <f t="shared" si="21"/>
        <v>#DIV/0!</v>
      </c>
      <c r="N24" s="25">
        <f t="shared" si="21"/>
        <v>0.342391937321818</v>
      </c>
      <c r="O24" s="25" t="e">
        <f t="shared" si="21"/>
        <v>#DIV/0!</v>
      </c>
      <c r="P24" s="25">
        <f t="shared" si="21"/>
        <v>0.34391378569045639</v>
      </c>
      <c r="Q24" s="25" t="e">
        <f t="shared" si="21"/>
        <v>#DIV/0!</v>
      </c>
      <c r="R24" s="25">
        <f t="shared" si="21"/>
        <v>0.33667968763863598</v>
      </c>
      <c r="S24" s="25" t="e">
        <f t="shared" si="21"/>
        <v>#DIV/0!</v>
      </c>
      <c r="T24" s="25">
        <f t="shared" si="21"/>
        <v>0.35671256454388933</v>
      </c>
      <c r="U24" s="25" t="e">
        <f t="shared" si="21"/>
        <v>#DIV/0!</v>
      </c>
      <c r="V24" s="25">
        <f t="shared" si="21"/>
        <v>0.32788027663971514</v>
      </c>
      <c r="W24" s="25" t="e">
        <f t="shared" si="21"/>
        <v>#DIV/0!</v>
      </c>
      <c r="X24" s="25">
        <f t="shared" si="21"/>
        <v>0.32466658211909022</v>
      </c>
      <c r="Y24" s="25" t="e">
        <f t="shared" si="21"/>
        <v>#DIV/0!</v>
      </c>
      <c r="Z24" s="25">
        <f t="shared" si="21"/>
        <v>0.32212081781788443</v>
      </c>
      <c r="AA24" s="25" t="e">
        <f t="shared" si="21"/>
        <v>#DIV/0!</v>
      </c>
      <c r="AB24" s="25">
        <f t="shared" si="21"/>
        <v>0.3605851979345952</v>
      </c>
      <c r="AC24" s="25" t="e">
        <f t="shared" si="21"/>
        <v>#DIV/0!</v>
      </c>
      <c r="AD24" s="25">
        <f t="shared" si="21"/>
        <v>0.32795517045786682</v>
      </c>
      <c r="AE24" s="25" t="e">
        <f t="shared" si="21"/>
        <v>#DIV/0!</v>
      </c>
      <c r="AF24" s="25">
        <f t="shared" si="21"/>
        <v>0.32274179541320913</v>
      </c>
      <c r="AG24" s="25" t="e">
        <f t="shared" si="21"/>
        <v>#DIV/0!</v>
      </c>
      <c r="AH24" s="25">
        <f t="shared" si="21"/>
        <v>0.31835782188299228</v>
      </c>
      <c r="AI24" s="25" t="e">
        <f t="shared" si="21"/>
        <v>#DIV/0!</v>
      </c>
      <c r="AJ24" s="25">
        <f t="shared" si="21"/>
        <v>0.34294320137693585</v>
      </c>
      <c r="AK24" s="25" t="e">
        <f t="shared" si="21"/>
        <v>#DIV/0!</v>
      </c>
      <c r="AL24" s="25">
        <f t="shared" si="21"/>
        <v>0.31202145279815158</v>
      </c>
      <c r="AM24" s="25" t="e">
        <f t="shared" si="21"/>
        <v>#DIV/0!</v>
      </c>
      <c r="AN24" s="25">
        <f t="shared" si="21"/>
        <v>0.31072355440248739</v>
      </c>
      <c r="AO24" s="25" t="e">
        <f t="shared" si="21"/>
        <v>#DIV/0!</v>
      </c>
      <c r="AP24" s="25">
        <f t="shared" si="21"/>
        <v>0.30571164297483444</v>
      </c>
    </row>
  </sheetData>
  <mergeCells count="8">
    <mergeCell ref="D13:F13"/>
    <mergeCell ref="B14:B15"/>
    <mergeCell ref="AJ14:AP14"/>
    <mergeCell ref="D14:K14"/>
    <mergeCell ref="L14:S14"/>
    <mergeCell ref="T14:AA14"/>
    <mergeCell ref="AB14:AI14"/>
    <mergeCell ref="C14:C15"/>
  </mergeCells>
  <conditionalFormatting sqref="D16:D22 L16:L22 T16:T22 AB16:AB22 AJ16:AJ22">
    <cfRule type="expression" dxfId="5" priority="387">
      <formula>E16=TRUE</formula>
    </cfRule>
    <cfRule type="expression" priority="388" stopIfTrue="1">
      <formula>OR($C$10&lt;&gt;2,D16=0)</formula>
    </cfRule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AP2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6:AQ22">
    <cfRule type="cellIs" dxfId="4" priority="2" operator="equal">
      <formula>0</formula>
    </cfRule>
    <cfRule type="expression" dxfId="3" priority="3">
      <formula>$C$12=3</formula>
    </cfRule>
  </conditionalFormatting>
  <conditionalFormatting sqref="F16:F22 N16:N22 V16:V22 AD16:AD22 AL16:AL22">
    <cfRule type="expression" dxfId="2" priority="402">
      <formula>G16=TRUE</formula>
    </cfRule>
    <cfRule type="expression" priority="403" stopIfTrue="1">
      <formula>OR($C$10&lt;&gt;3,F16=0)</formula>
    </cfRule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:H22 P16:P22 X16:X22 AF16:AF22 AN16:AN22">
    <cfRule type="expression" dxfId="1" priority="417">
      <formula>I16=TRUE</formula>
    </cfRule>
    <cfRule type="expression" priority="418" stopIfTrue="1">
      <formula>OR($C$10&lt;&gt;4,H16=0)</formula>
    </cfRule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:J22 R16:R22 Z16:Z22 AH16:AH22 AP16:AP22">
    <cfRule type="expression" priority="60" stopIfTrue="1">
      <formula>OR($C$10&lt;&gt;5,J16=0)</formula>
    </cfRule>
  </conditionalFormatting>
  <conditionalFormatting sqref="J16:J22 R16:R22 Z16:Z22 AH16:AH22">
    <cfRule type="expression" dxfId="0" priority="43">
      <formula>K16=TRUE</formula>
    </cfRule>
  </conditionalFormatting>
  <conditionalFormatting sqref="AP16:AP22 AH16:AH22 Z16:Z22 R16:R22 J16:J22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print="0" autoLine="0" autoPict="0">
                <anchor>
                  <from>
                    <xdr:col>3</xdr:col>
                    <xdr:colOff>7620</xdr:colOff>
                    <xdr:row>1</xdr:row>
                    <xdr:rowOff>7620</xdr:rowOff>
                  </from>
                  <to>
                    <xdr:col>5</xdr:col>
                    <xdr:colOff>609600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defaultSize="0" print="0" autoLine="0" autoPict="0">
                <anchor>
                  <from>
                    <xdr:col>3</xdr:col>
                    <xdr:colOff>7620</xdr:colOff>
                    <xdr:row>3</xdr:row>
                    <xdr:rowOff>7620</xdr:rowOff>
                  </from>
                  <to>
                    <xdr:col>5</xdr:col>
                    <xdr:colOff>609600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Drop Down 3">
              <controlPr defaultSize="0" print="0" autoLine="0" autoPict="0">
                <anchor>
                  <from>
                    <xdr:col>3</xdr:col>
                    <xdr:colOff>7620</xdr:colOff>
                    <xdr:row>5</xdr:row>
                    <xdr:rowOff>7620</xdr:rowOff>
                  </from>
                  <to>
                    <xdr:col>5</xdr:col>
                    <xdr:colOff>601980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Drop Down 4">
              <controlPr defaultSize="0" print="0" autoLine="0" autoPict="0">
                <anchor>
                  <from>
                    <xdr:col>3</xdr:col>
                    <xdr:colOff>7620</xdr:colOff>
                    <xdr:row>7</xdr:row>
                    <xdr:rowOff>7620</xdr:rowOff>
                  </from>
                  <to>
                    <xdr:col>5</xdr:col>
                    <xdr:colOff>601980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Drop Down 6">
              <controlPr defaultSize="0" print="0" autoLine="0" autoPict="0">
                <anchor>
                  <from>
                    <xdr:col>3</xdr:col>
                    <xdr:colOff>7620</xdr:colOff>
                    <xdr:row>9</xdr:row>
                    <xdr:rowOff>7620</xdr:rowOff>
                  </from>
                  <to>
                    <xdr:col>5</xdr:col>
                    <xdr:colOff>601980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Drop Down 7">
              <controlPr defaultSize="0" print="0" autoLine="0" autoPict="0">
                <anchor>
                  <from>
                    <xdr:col>3</xdr:col>
                    <xdr:colOff>7620</xdr:colOff>
                    <xdr:row>11</xdr:row>
                    <xdr:rowOff>7620</xdr:rowOff>
                  </from>
                  <to>
                    <xdr:col>5</xdr:col>
                    <xdr:colOff>601980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</vt:lpstr>
      <vt:lpstr>Results</vt:lpstr>
      <vt:lpstr>Class</vt:lpstr>
      <vt:lpstr>InputMode</vt:lpstr>
      <vt:lpstr>Target</vt:lpstr>
      <vt:lpstr>Win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Hanifi</dc:creator>
  <cp:lastModifiedBy>Nikoo Amjadi</cp:lastModifiedBy>
  <dcterms:created xsi:type="dcterms:W3CDTF">2026-09-25T04:56:51Z</dcterms:created>
  <dcterms:modified xsi:type="dcterms:W3CDTF">2026-10-12T21:57:31Z</dcterms:modified>
</cp:coreProperties>
</file>