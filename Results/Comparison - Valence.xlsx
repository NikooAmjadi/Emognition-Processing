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o\Desktop\Thesis\Source\"/>
    </mc:Choice>
  </mc:AlternateContent>
  <xr:revisionPtr revIDLastSave="0" documentId="13_ncr:1_{E67F5FB2-A9BD-4806-8184-63EA49C4C323}" xr6:coauthVersionLast="47" xr6:coauthVersionMax="47" xr10:uidLastSave="{00000000-0000-0000-0000-000000000000}"/>
  <bookViews>
    <workbookView xWindow="-108" yWindow="-108" windowWidth="23256" windowHeight="12456" activeTab="1" xr2:uid="{8D592C9F-CC51-43DD-B2E3-0BF015735963}"/>
  </bookViews>
  <sheets>
    <sheet name="Sheet1" sheetId="1" r:id="rId1"/>
    <sheet name="Sheet2" sheetId="2" r:id="rId2"/>
  </sheets>
  <definedNames>
    <definedName name="_xlnm._FilterDatabase" localSheetId="0" hidden="1">Sheet1!$A$1:$K$25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2" l="1"/>
  <c r="N14" i="2"/>
  <c r="M14" i="2"/>
  <c r="L14" i="2"/>
  <c r="O13" i="2"/>
  <c r="N13" i="2"/>
  <c r="M13" i="2"/>
  <c r="L13" i="2"/>
  <c r="O12" i="2"/>
  <c r="N12" i="2"/>
  <c r="M12" i="2"/>
  <c r="L12" i="2"/>
  <c r="O11" i="2"/>
  <c r="N11" i="2"/>
  <c r="M11" i="2"/>
  <c r="L11" i="2"/>
  <c r="K14" i="2"/>
  <c r="J14" i="2"/>
  <c r="I14" i="2"/>
  <c r="H14" i="2"/>
  <c r="K13" i="2"/>
  <c r="J13" i="2"/>
  <c r="I13" i="2"/>
  <c r="H13" i="2"/>
  <c r="K12" i="2"/>
  <c r="J12" i="2"/>
  <c r="I12" i="2"/>
  <c r="H12" i="2"/>
  <c r="K11" i="2"/>
  <c r="J11" i="2"/>
  <c r="I11" i="2"/>
  <c r="H11" i="2"/>
  <c r="D11" i="2"/>
  <c r="G14" i="2"/>
  <c r="F14" i="2"/>
  <c r="E14" i="2"/>
  <c r="D14" i="2"/>
  <c r="G13" i="2"/>
  <c r="F13" i="2"/>
  <c r="E13" i="2"/>
  <c r="D13" i="2"/>
  <c r="G12" i="2"/>
  <c r="F12" i="2"/>
  <c r="E12" i="2"/>
  <c r="D12" i="2"/>
  <c r="G11" i="2"/>
  <c r="F11" i="2"/>
  <c r="E11" i="2"/>
  <c r="O7" i="2"/>
  <c r="N7" i="2"/>
  <c r="M7" i="2"/>
  <c r="L7" i="2"/>
  <c r="O6" i="2"/>
  <c r="N6" i="2"/>
  <c r="M6" i="2"/>
  <c r="L6" i="2"/>
  <c r="O5" i="2"/>
  <c r="N5" i="2"/>
  <c r="M5" i="2"/>
  <c r="L5" i="2"/>
  <c r="O4" i="2"/>
  <c r="N4" i="2"/>
  <c r="M4" i="2"/>
  <c r="L4" i="2"/>
  <c r="K7" i="2"/>
  <c r="H4" i="2"/>
  <c r="J7" i="2"/>
  <c r="I7" i="2"/>
  <c r="H7" i="2"/>
  <c r="K6" i="2"/>
  <c r="J6" i="2"/>
  <c r="I6" i="2"/>
  <c r="H6" i="2"/>
  <c r="K5" i="2"/>
  <c r="J5" i="2"/>
  <c r="I5" i="2"/>
  <c r="H5" i="2"/>
  <c r="K4" i="2"/>
  <c r="J4" i="2"/>
  <c r="I4" i="2"/>
  <c r="D5" i="2"/>
  <c r="D6" i="2"/>
  <c r="D7" i="2"/>
  <c r="E5" i="2"/>
  <c r="E6" i="2"/>
  <c r="E7" i="2"/>
  <c r="F5" i="2"/>
  <c r="F6" i="2"/>
  <c r="F7" i="2"/>
  <c r="G5" i="2"/>
  <c r="G6" i="2"/>
  <c r="G7" i="2"/>
  <c r="G4" i="2"/>
  <c r="F4" i="2"/>
  <c r="E4" i="2"/>
  <c r="D4" i="2"/>
</calcChain>
</file>

<file path=xl/sharedStrings.xml><?xml version="1.0" encoding="utf-8"?>
<sst xmlns="http://schemas.openxmlformats.org/spreadsheetml/2006/main" count="149" uniqueCount="32">
  <si>
    <t>Model</t>
  </si>
  <si>
    <t>Acc_mean</t>
  </si>
  <si>
    <t>Acc_std</t>
  </si>
  <si>
    <t>F1_mean</t>
  </si>
  <si>
    <t>F1_std</t>
  </si>
  <si>
    <t>Prec_mean</t>
  </si>
  <si>
    <t>Prec_std</t>
  </si>
  <si>
    <t>Rec_mean</t>
  </si>
  <si>
    <t>Rec_std</t>
  </si>
  <si>
    <t>Run Type</t>
  </si>
  <si>
    <t>Data Type</t>
  </si>
  <si>
    <t>SVM</t>
  </si>
  <si>
    <t>XGBoost</t>
  </si>
  <si>
    <t>Random Forest</t>
  </si>
  <si>
    <t>KNN</t>
  </si>
  <si>
    <t>Raw</t>
  </si>
  <si>
    <t>Agg</t>
  </si>
  <si>
    <t>Win</t>
  </si>
  <si>
    <t>Raw + VG</t>
  </si>
  <si>
    <t>VG</t>
  </si>
  <si>
    <t>Model Name</t>
  </si>
  <si>
    <t>Accuracy (±std)</t>
  </si>
  <si>
    <t>F1 Score (±std)</t>
  </si>
  <si>
    <t>Precision (±std)</t>
  </si>
  <si>
    <t>Recall (±std)</t>
  </si>
  <si>
    <t>Input Mode</t>
  </si>
  <si>
    <t>Raw Features</t>
  </si>
  <si>
    <t>Visibility Graph Features</t>
  </si>
  <si>
    <t>Raw + Visibility Graph Features</t>
  </si>
  <si>
    <t>Run Mode</t>
  </si>
  <si>
    <t>Windowed</t>
  </si>
  <si>
    <t>Aggregated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</si>
</sst>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/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3" borderId="9" xfId="0" applyFill="1" applyBorder="1"/>
    <xf numFmtId="0" fontId="0" fillId="3" borderId="7" xfId="0" applyFill="1" applyBorder="1"/>
    <xf numFmtId="0" fontId="0" fillId="2" borderId="4" xfId="0" applyFill="1" applyBorder="1"/>
    <xf numFmtId="0" fontId="0" fillId="2" borderId="9" xfId="0" applyFill="1" applyBorder="1"/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60A1F-9449-4A91-8C37-2E569624DE33}">
  <dimension ref="A1:K25"/>
  <sheetViews>
    <sheetView workbookViewId="0">
      <selection activeCell="C22" sqref="C22:K25"/>
    </sheetView>
  </sheetViews>
  <sheetFormatPr defaultRowHeight="14.4" x14ac:dyDescent="0.3"/>
  <cols>
    <col min="1" max="1" width="8.88671875" bestFit="1" customWidth="1"/>
    <col min="2" max="2" width="9.5546875" bestFit="1" customWidth="1"/>
    <col min="3" max="3" width="14.44140625" bestFit="1" customWidth="1"/>
    <col min="4" max="6" width="12" bestFit="1" customWidth="1"/>
    <col min="7" max="7" width="12" customWidth="1"/>
    <col min="8" max="11" width="12" bestFit="1" customWidth="1"/>
  </cols>
  <sheetData>
    <row r="1" spans="1:11" x14ac:dyDescent="0.3">
      <c r="A1" s="2" t="s">
        <v>9</v>
      </c>
      <c r="B1" s="2" t="s">
        <v>10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3">
      <c r="A2" s="2" t="s">
        <v>16</v>
      </c>
      <c r="B2" s="2" t="s">
        <v>15</v>
      </c>
      <c r="C2" t="s">
        <v>12</v>
      </c>
      <c r="D2">
        <v>0.57707641196013204</v>
      </c>
      <c r="E2">
        <v>0.143981055197692</v>
      </c>
      <c r="F2">
        <v>0.69738259156863802</v>
      </c>
      <c r="G2">
        <v>0.11378088069947299</v>
      </c>
      <c r="H2">
        <v>0.58713547434477598</v>
      </c>
      <c r="I2">
        <v>0.158393173864118</v>
      </c>
      <c r="J2">
        <v>0.91373200442967795</v>
      </c>
      <c r="K2">
        <v>0.13003234359403601</v>
      </c>
    </row>
    <row r="3" spans="1:11" x14ac:dyDescent="0.3">
      <c r="A3" s="2" t="s">
        <v>16</v>
      </c>
      <c r="B3" s="2" t="s">
        <v>15</v>
      </c>
      <c r="C3" t="s">
        <v>13</v>
      </c>
      <c r="D3">
        <v>0.58433001107419702</v>
      </c>
      <c r="E3">
        <v>0.15434972636935401</v>
      </c>
      <c r="F3">
        <v>0.65576077669100896</v>
      </c>
      <c r="G3">
        <v>0.143085431856566</v>
      </c>
      <c r="H3">
        <v>0.614811738648947</v>
      </c>
      <c r="I3">
        <v>0.171132677746722</v>
      </c>
      <c r="J3">
        <v>0.75315614617940196</v>
      </c>
      <c r="K3">
        <v>0.200948104042907</v>
      </c>
    </row>
    <row r="4" spans="1:11" x14ac:dyDescent="0.3">
      <c r="A4" s="2" t="s">
        <v>16</v>
      </c>
      <c r="B4" s="2" t="s">
        <v>15</v>
      </c>
      <c r="C4" t="s">
        <v>11</v>
      </c>
      <c r="D4">
        <v>0.53001107419712001</v>
      </c>
      <c r="E4">
        <v>0.15932681380734201</v>
      </c>
      <c r="F4">
        <v>0.61900489691187299</v>
      </c>
      <c r="G4">
        <v>0.154355311008368</v>
      </c>
      <c r="H4">
        <v>0.57151162790697596</v>
      </c>
      <c r="I4">
        <v>0.180909280316947</v>
      </c>
      <c r="J4">
        <v>0.74972314507198201</v>
      </c>
      <c r="K4">
        <v>0.23933024621149401</v>
      </c>
    </row>
    <row r="5" spans="1:11" x14ac:dyDescent="0.3">
      <c r="A5" s="2" t="s">
        <v>16</v>
      </c>
      <c r="B5" s="2" t="s">
        <v>15</v>
      </c>
      <c r="C5" t="s">
        <v>14</v>
      </c>
      <c r="D5">
        <v>0.48564045773348002</v>
      </c>
      <c r="E5">
        <v>0.18989890478486901</v>
      </c>
      <c r="F5">
        <v>0.52825094801838901</v>
      </c>
      <c r="G5">
        <v>0.20351469821229601</v>
      </c>
      <c r="H5">
        <v>0.54515503875968996</v>
      </c>
      <c r="I5">
        <v>0.22313468796340899</v>
      </c>
      <c r="J5">
        <v>0.57225913621262403</v>
      </c>
      <c r="K5">
        <v>0.27098567142806501</v>
      </c>
    </row>
    <row r="6" spans="1:11" x14ac:dyDescent="0.3">
      <c r="A6" s="2" t="s">
        <v>16</v>
      </c>
      <c r="B6" s="2" t="s">
        <v>19</v>
      </c>
      <c r="C6" t="s">
        <v>12</v>
      </c>
      <c r="D6">
        <v>0.59882798080472499</v>
      </c>
      <c r="E6">
        <v>0.15762419136511699</v>
      </c>
      <c r="F6">
        <v>0.69558890721681399</v>
      </c>
      <c r="G6">
        <v>0.139364781242834</v>
      </c>
      <c r="H6">
        <v>0.60700442967884805</v>
      </c>
      <c r="I6">
        <v>0.166992485138409</v>
      </c>
      <c r="J6">
        <v>0.864728682170542</v>
      </c>
      <c r="K6">
        <v>0.17541301020934</v>
      </c>
    </row>
    <row r="7" spans="1:11" x14ac:dyDescent="0.3">
      <c r="A7" s="2" t="s">
        <v>16</v>
      </c>
      <c r="B7" s="2" t="s">
        <v>19</v>
      </c>
      <c r="C7" t="s">
        <v>11</v>
      </c>
      <c r="D7">
        <v>0.616066814322628</v>
      </c>
      <c r="E7">
        <v>0.18402982800207901</v>
      </c>
      <c r="F7">
        <v>0.68327202513248997</v>
      </c>
      <c r="G7">
        <v>0.17437773661435699</v>
      </c>
      <c r="H7">
        <v>0.62755629383536304</v>
      </c>
      <c r="I7">
        <v>0.19851666346567801</v>
      </c>
      <c r="J7">
        <v>0.80415282392026499</v>
      </c>
      <c r="K7">
        <v>0.22154856476969001</v>
      </c>
    </row>
    <row r="8" spans="1:11" x14ac:dyDescent="0.3">
      <c r="A8" s="2" t="s">
        <v>16</v>
      </c>
      <c r="B8" s="2" t="s">
        <v>19</v>
      </c>
      <c r="C8" t="s">
        <v>13</v>
      </c>
      <c r="D8">
        <v>0.62715946843853798</v>
      </c>
      <c r="E8">
        <v>0.15461252746714799</v>
      </c>
      <c r="F8">
        <v>0.66418762116436503</v>
      </c>
      <c r="G8">
        <v>0.18287489468927101</v>
      </c>
      <c r="H8">
        <v>0.64784053156146104</v>
      </c>
      <c r="I8">
        <v>0.204654878126136</v>
      </c>
      <c r="J8">
        <v>0.73859357696566896</v>
      </c>
      <c r="K8">
        <v>0.24508594347872001</v>
      </c>
    </row>
    <row r="9" spans="1:11" x14ac:dyDescent="0.3">
      <c r="A9" s="2" t="s">
        <v>16</v>
      </c>
      <c r="B9" s="2" t="s">
        <v>19</v>
      </c>
      <c r="C9" t="s">
        <v>14</v>
      </c>
      <c r="D9">
        <v>0.533684016242155</v>
      </c>
      <c r="E9">
        <v>0.18852953153482599</v>
      </c>
      <c r="F9">
        <v>0.54803362012664303</v>
      </c>
      <c r="G9">
        <v>0.22748582977148399</v>
      </c>
      <c r="H9">
        <v>0.54972314507198194</v>
      </c>
      <c r="I9">
        <v>0.23869482052385399</v>
      </c>
      <c r="J9">
        <v>0.57679955703211505</v>
      </c>
      <c r="K9">
        <v>0.26288054058281102</v>
      </c>
    </row>
    <row r="10" spans="1:11" x14ac:dyDescent="0.3">
      <c r="A10" s="2" t="s">
        <v>16</v>
      </c>
      <c r="B10" s="2" t="s">
        <v>18</v>
      </c>
      <c r="C10" t="s">
        <v>13</v>
      </c>
      <c r="D10">
        <v>0.63309339239571705</v>
      </c>
      <c r="E10">
        <v>0.17474714565740901</v>
      </c>
      <c r="F10">
        <v>0.68326518442797501</v>
      </c>
      <c r="G10">
        <v>0.17271769493512801</v>
      </c>
      <c r="H10">
        <v>0.648947951273532</v>
      </c>
      <c r="I10">
        <v>0.18658914695819101</v>
      </c>
      <c r="J10">
        <v>0.768493909191583</v>
      </c>
      <c r="K10">
        <v>0.22460382906794699</v>
      </c>
    </row>
    <row r="11" spans="1:11" x14ac:dyDescent="0.3">
      <c r="A11" s="2" t="s">
        <v>16</v>
      </c>
      <c r="B11" s="2" t="s">
        <v>18</v>
      </c>
      <c r="C11" t="s">
        <v>12</v>
      </c>
      <c r="D11">
        <v>0.58607419712070796</v>
      </c>
      <c r="E11">
        <v>0.126049120152814</v>
      </c>
      <c r="F11">
        <v>0.68201811108787802</v>
      </c>
      <c r="G11">
        <v>0.126355902034096</v>
      </c>
      <c r="H11">
        <v>0.59686231081579899</v>
      </c>
      <c r="I11">
        <v>0.16274364437013999</v>
      </c>
      <c r="J11">
        <v>0.84928017718715398</v>
      </c>
      <c r="K11">
        <v>0.18336140131442499</v>
      </c>
    </row>
    <row r="12" spans="1:11" x14ac:dyDescent="0.3">
      <c r="A12" s="2" t="s">
        <v>16</v>
      </c>
      <c r="B12" s="2" t="s">
        <v>18</v>
      </c>
      <c r="C12" t="s">
        <v>11</v>
      </c>
      <c r="D12">
        <v>0.57399409376153498</v>
      </c>
      <c r="E12">
        <v>0.163925862366021</v>
      </c>
      <c r="F12">
        <v>0.65147552705692202</v>
      </c>
      <c r="G12">
        <v>0.17929383071866101</v>
      </c>
      <c r="H12">
        <v>0.59766519010704999</v>
      </c>
      <c r="I12">
        <v>0.21163406284080499</v>
      </c>
      <c r="J12">
        <v>0.783056478405315</v>
      </c>
      <c r="K12">
        <v>0.23725611229839999</v>
      </c>
    </row>
    <row r="13" spans="1:11" x14ac:dyDescent="0.3">
      <c r="A13" s="2" t="s">
        <v>16</v>
      </c>
      <c r="B13" s="2" t="s">
        <v>18</v>
      </c>
      <c r="C13" t="s">
        <v>14</v>
      </c>
      <c r="D13">
        <v>0.54212809154669594</v>
      </c>
      <c r="E13">
        <v>0.175433337430112</v>
      </c>
      <c r="F13">
        <v>0.57995492879213795</v>
      </c>
      <c r="G13">
        <v>0.180068611832921</v>
      </c>
      <c r="H13">
        <v>0.59486895533407103</v>
      </c>
      <c r="I13">
        <v>0.21113493378142401</v>
      </c>
      <c r="J13">
        <v>0.62480620155038702</v>
      </c>
      <c r="K13">
        <v>0.252244176438848</v>
      </c>
    </row>
    <row r="14" spans="1:11" x14ac:dyDescent="0.3">
      <c r="A14" s="2" t="s">
        <v>17</v>
      </c>
      <c r="B14" s="2" t="s">
        <v>15</v>
      </c>
      <c r="C14" t="s">
        <v>12</v>
      </c>
      <c r="D14">
        <v>0.54214977600636205</v>
      </c>
      <c r="E14">
        <v>0.14222835715062601</v>
      </c>
      <c r="F14">
        <v>0.68913862445571505</v>
      </c>
      <c r="G14">
        <v>0.11908038965445999</v>
      </c>
      <c r="H14">
        <v>0.56096099132706101</v>
      </c>
      <c r="I14">
        <v>0.16475342779052801</v>
      </c>
      <c r="J14">
        <v>0.959972764973124</v>
      </c>
      <c r="K14">
        <v>8.4183746472665494E-2</v>
      </c>
    </row>
    <row r="15" spans="1:11" x14ac:dyDescent="0.3">
      <c r="A15" s="2" t="s">
        <v>17</v>
      </c>
      <c r="B15" s="2" t="s">
        <v>15</v>
      </c>
      <c r="C15" t="s">
        <v>11</v>
      </c>
      <c r="D15">
        <v>0.52061810727716296</v>
      </c>
      <c r="E15">
        <v>0.12740025487572099</v>
      </c>
      <c r="F15">
        <v>0.62478555179817197</v>
      </c>
      <c r="G15">
        <v>0.12826387040083201</v>
      </c>
      <c r="H15">
        <v>0.57207542673324896</v>
      </c>
      <c r="I15">
        <v>0.17799275126201899</v>
      </c>
      <c r="J15">
        <v>0.77257598129980698</v>
      </c>
      <c r="K15">
        <v>0.198102236617479</v>
      </c>
    </row>
    <row r="16" spans="1:11" x14ac:dyDescent="0.3">
      <c r="A16" s="2" t="s">
        <v>17</v>
      </c>
      <c r="B16" s="2" t="s">
        <v>15</v>
      </c>
      <c r="C16" t="s">
        <v>14</v>
      </c>
      <c r="D16">
        <v>0.51994898148044799</v>
      </c>
      <c r="E16">
        <v>0.11377262980611901</v>
      </c>
      <c r="F16">
        <v>0.58416045109428805</v>
      </c>
      <c r="G16">
        <v>0.122993437325586</v>
      </c>
      <c r="H16">
        <v>0.56500832838492099</v>
      </c>
      <c r="I16">
        <v>0.17271525782024699</v>
      </c>
      <c r="J16">
        <v>0.64817483509386997</v>
      </c>
      <c r="K16">
        <v>0.15467029938985599</v>
      </c>
    </row>
    <row r="17" spans="1:11" x14ac:dyDescent="0.3">
      <c r="A17" s="2" t="s">
        <v>17</v>
      </c>
      <c r="B17" s="2" t="s">
        <v>15</v>
      </c>
      <c r="C17" t="s">
        <v>13</v>
      </c>
      <c r="D17">
        <v>0.49189635810651899</v>
      </c>
      <c r="E17">
        <v>0.109454694052619</v>
      </c>
      <c r="F17">
        <v>0.57943936591481804</v>
      </c>
      <c r="G17">
        <v>0.118422088996333</v>
      </c>
      <c r="H17">
        <v>0.55817669924174995</v>
      </c>
      <c r="I17">
        <v>0.163368642801731</v>
      </c>
      <c r="J17">
        <v>0.68853876935131397</v>
      </c>
      <c r="K17">
        <v>0.22934237641296201</v>
      </c>
    </row>
    <row r="18" spans="1:11" x14ac:dyDescent="0.3">
      <c r="A18" s="2" t="s">
        <v>17</v>
      </c>
      <c r="B18" s="2" t="s">
        <v>19</v>
      </c>
      <c r="C18" t="s">
        <v>12</v>
      </c>
      <c r="D18">
        <v>0.566038721723784</v>
      </c>
      <c r="E18">
        <v>0.174956508001779</v>
      </c>
      <c r="F18">
        <v>0.69488198231069298</v>
      </c>
      <c r="G18">
        <v>0.146638214802433</v>
      </c>
      <c r="H18">
        <v>0.56656753754521005</v>
      </c>
      <c r="I18">
        <v>0.17341446329815399</v>
      </c>
      <c r="J18">
        <v>0.94592501645079996</v>
      </c>
      <c r="K18">
        <v>0.10639292403692301</v>
      </c>
    </row>
    <row r="19" spans="1:11" x14ac:dyDescent="0.3">
      <c r="A19" s="2" t="s">
        <v>17</v>
      </c>
      <c r="B19" s="2" t="s">
        <v>19</v>
      </c>
      <c r="C19" t="s">
        <v>11</v>
      </c>
      <c r="D19">
        <v>0.56394762720712699</v>
      </c>
      <c r="E19">
        <v>0.13522184600414899</v>
      </c>
      <c r="F19">
        <v>0.64944922075239497</v>
      </c>
      <c r="G19">
        <v>0.145482279550675</v>
      </c>
      <c r="H19">
        <v>0.58192638909663696</v>
      </c>
      <c r="I19">
        <v>0.17903042343789499</v>
      </c>
      <c r="J19">
        <v>0.78807318053812703</v>
      </c>
      <c r="K19">
        <v>0.179831010367419</v>
      </c>
    </row>
    <row r="20" spans="1:11" x14ac:dyDescent="0.3">
      <c r="A20" s="2" t="s">
        <v>17</v>
      </c>
      <c r="B20" s="2" t="s">
        <v>19</v>
      </c>
      <c r="C20" t="s">
        <v>13</v>
      </c>
      <c r="D20">
        <v>0.56287470090034697</v>
      </c>
      <c r="E20">
        <v>0.15631878269265001</v>
      </c>
      <c r="F20">
        <v>0.62523811337426005</v>
      </c>
      <c r="G20">
        <v>0.169770931366031</v>
      </c>
      <c r="H20">
        <v>0.58820598509363498</v>
      </c>
      <c r="I20">
        <v>0.199500016044516</v>
      </c>
      <c r="J20">
        <v>0.71760302242561402</v>
      </c>
      <c r="K20">
        <v>0.20268653789285401</v>
      </c>
    </row>
    <row r="21" spans="1:11" x14ac:dyDescent="0.3">
      <c r="A21" s="2" t="s">
        <v>17</v>
      </c>
      <c r="B21" s="2" t="s">
        <v>19</v>
      </c>
      <c r="C21" t="s">
        <v>14</v>
      </c>
      <c r="D21">
        <v>0.52994710185583105</v>
      </c>
      <c r="E21">
        <v>0.114187003361301</v>
      </c>
      <c r="F21">
        <v>0.58118216556617996</v>
      </c>
      <c r="G21">
        <v>0.13933213699604699</v>
      </c>
      <c r="H21">
        <v>0.589506813853512</v>
      </c>
      <c r="I21">
        <v>0.195581764173271</v>
      </c>
      <c r="J21">
        <v>0.62641983574638205</v>
      </c>
      <c r="K21">
        <v>0.164467553359018</v>
      </c>
    </row>
    <row r="22" spans="1:11" x14ac:dyDescent="0.3">
      <c r="A22" s="2" t="s">
        <v>17</v>
      </c>
      <c r="B22" s="2" t="s">
        <v>18</v>
      </c>
      <c r="C22" t="s">
        <v>12</v>
      </c>
      <c r="D22">
        <v>0.56543421949904704</v>
      </c>
      <c r="E22">
        <v>0.15994301988742399</v>
      </c>
      <c r="F22">
        <v>0.69874785290182695</v>
      </c>
      <c r="G22">
        <v>0.13128046406395799</v>
      </c>
      <c r="H22">
        <v>0.56769461483758499</v>
      </c>
      <c r="I22">
        <v>0.16568991749338199</v>
      </c>
      <c r="J22">
        <v>0.95939050409674598</v>
      </c>
      <c r="K22">
        <v>6.8442869711644594E-2</v>
      </c>
    </row>
    <row r="23" spans="1:11" x14ac:dyDescent="0.3">
      <c r="A23" s="2" t="s">
        <v>17</v>
      </c>
      <c r="B23" s="2" t="s">
        <v>18</v>
      </c>
      <c r="C23" t="s">
        <v>11</v>
      </c>
      <c r="D23">
        <v>0.55645456550519501</v>
      </c>
      <c r="E23">
        <v>0.14474999893399201</v>
      </c>
      <c r="F23">
        <v>0.65248556180501804</v>
      </c>
      <c r="G23">
        <v>0.13591914421944101</v>
      </c>
      <c r="H23">
        <v>0.58840428605685202</v>
      </c>
      <c r="I23">
        <v>0.184771957419648</v>
      </c>
      <c r="J23">
        <v>0.79909170001278296</v>
      </c>
      <c r="K23">
        <v>0.170256130399846</v>
      </c>
    </row>
    <row r="24" spans="1:11" x14ac:dyDescent="0.3">
      <c r="A24" s="2" t="s">
        <v>17</v>
      </c>
      <c r="B24" s="2" t="s">
        <v>18</v>
      </c>
      <c r="C24" t="s">
        <v>13</v>
      </c>
      <c r="D24">
        <v>0.550741293933799</v>
      </c>
      <c r="E24">
        <v>0.153532386131012</v>
      </c>
      <c r="F24">
        <v>0.62357528454643996</v>
      </c>
      <c r="G24">
        <v>0.15582520224819901</v>
      </c>
      <c r="H24">
        <v>0.58627574324060705</v>
      </c>
      <c r="I24">
        <v>0.19394123355694701</v>
      </c>
      <c r="J24">
        <v>0.72800000474512905</v>
      </c>
      <c r="K24">
        <v>0.204310907658067</v>
      </c>
    </row>
    <row r="25" spans="1:11" x14ac:dyDescent="0.3">
      <c r="A25" s="2" t="s">
        <v>17</v>
      </c>
      <c r="B25" s="2" t="s">
        <v>18</v>
      </c>
      <c r="C25" t="s">
        <v>14</v>
      </c>
      <c r="D25">
        <v>0.52769624969756701</v>
      </c>
      <c r="E25">
        <v>0.14425118793651101</v>
      </c>
      <c r="F25">
        <v>0.59580547572426101</v>
      </c>
      <c r="G25">
        <v>0.15610564500292401</v>
      </c>
      <c r="H25">
        <v>0.56580289565475606</v>
      </c>
      <c r="I25">
        <v>0.18296839235929799</v>
      </c>
      <c r="J25">
        <v>0.678756130933448</v>
      </c>
      <c r="K25">
        <v>0.18385694191201299</v>
      </c>
    </row>
  </sheetData>
  <autoFilter ref="A1:K25" xr:uid="{20B60A1F-9449-4A91-8C37-2E569624DE3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F4F26-DE01-4BB2-9AB3-84FA32AC1323}">
  <dimension ref="A1:O14"/>
  <sheetViews>
    <sheetView tabSelected="1" workbookViewId="0">
      <selection activeCell="O13" activeCellId="3" sqref="L12 M12 N12 O13"/>
    </sheetView>
  </sheetViews>
  <sheetFormatPr defaultRowHeight="14.4" x14ac:dyDescent="0.3"/>
  <cols>
    <col min="1" max="1" width="6.88671875" customWidth="1"/>
    <col min="2" max="2" width="16.5546875" customWidth="1"/>
    <col min="3" max="3" width="14.44140625" bestFit="1" customWidth="1"/>
    <col min="4" max="7" width="15.6640625" style="1" customWidth="1"/>
    <col min="8" max="15" width="15.6640625" customWidth="1"/>
  </cols>
  <sheetData>
    <row r="1" spans="1:15" s="26" customFormat="1" ht="15" thickBot="1" x14ac:dyDescent="0.35">
      <c r="D1" s="27" t="s">
        <v>15</v>
      </c>
      <c r="E1" s="27" t="s">
        <v>15</v>
      </c>
      <c r="F1" s="27" t="s">
        <v>15</v>
      </c>
      <c r="G1" s="27" t="s">
        <v>15</v>
      </c>
      <c r="H1" s="26" t="s">
        <v>19</v>
      </c>
      <c r="I1" s="26" t="s">
        <v>19</v>
      </c>
      <c r="J1" s="26" t="s">
        <v>19</v>
      </c>
      <c r="K1" s="26" t="s">
        <v>19</v>
      </c>
      <c r="L1" s="26" t="s">
        <v>18</v>
      </c>
      <c r="M1" s="26" t="s">
        <v>18</v>
      </c>
      <c r="N1" s="26" t="s">
        <v>18</v>
      </c>
      <c r="O1" s="26" t="s">
        <v>18</v>
      </c>
    </row>
    <row r="2" spans="1:15" x14ac:dyDescent="0.3">
      <c r="B2" s="28" t="s">
        <v>29</v>
      </c>
      <c r="C2" s="4" t="s">
        <v>25</v>
      </c>
      <c r="D2" s="28" t="s">
        <v>26</v>
      </c>
      <c r="E2" s="29"/>
      <c r="F2" s="29"/>
      <c r="G2" s="30"/>
      <c r="H2" s="31" t="s">
        <v>27</v>
      </c>
      <c r="I2" s="32"/>
      <c r="J2" s="32"/>
      <c r="K2" s="33"/>
      <c r="L2" s="31" t="s">
        <v>28</v>
      </c>
      <c r="M2" s="32"/>
      <c r="N2" s="32"/>
      <c r="O2" s="33"/>
    </row>
    <row r="3" spans="1:15" x14ac:dyDescent="0.3">
      <c r="B3" s="36"/>
      <c r="C3" s="10" t="s">
        <v>20</v>
      </c>
      <c r="D3" s="9" t="s">
        <v>21</v>
      </c>
      <c r="E3" s="5" t="s">
        <v>22</v>
      </c>
      <c r="F3" s="5" t="s">
        <v>23</v>
      </c>
      <c r="G3" s="10" t="s">
        <v>24</v>
      </c>
      <c r="H3" s="9" t="s">
        <v>21</v>
      </c>
      <c r="I3" s="5" t="s">
        <v>22</v>
      </c>
      <c r="J3" s="5" t="s">
        <v>23</v>
      </c>
      <c r="K3" s="10" t="s">
        <v>24</v>
      </c>
      <c r="L3" s="9" t="s">
        <v>21</v>
      </c>
      <c r="M3" s="5" t="s">
        <v>22</v>
      </c>
      <c r="N3" s="5" t="s">
        <v>23</v>
      </c>
      <c r="O3" s="10" t="s">
        <v>24</v>
      </c>
    </row>
    <row r="4" spans="1:15" x14ac:dyDescent="0.3">
      <c r="A4" s="26" t="s">
        <v>17</v>
      </c>
      <c r="B4" s="34" t="s">
        <v>30</v>
      </c>
      <c r="C4" s="3" t="s">
        <v>11</v>
      </c>
      <c r="D4" s="13" t="str">
        <f>TEXT(ROUND(SUMIFS(Sheet1!$D:$D,Sheet1!$C:$C,$C4,Sheet1!$B:$B,D$1,Sheet1!$A:$A,$A4)*100,4),"0.0000") &amp; " ± " &amp; TEXT(ROUND(SUMIFS(Sheet1!$E:$E,Sheet1!$C:$C,$C4,Sheet1!$B:$B,D$1,Sheet1!$A:$A,$A4)*100,2),"0.00")</f>
        <v>52.0618 ± 12.74</v>
      </c>
      <c r="E4" s="6" t="str">
        <f>TEXT(ROUND(SUMIFS(Sheet1!$F:$F,Sheet1!$C:$C,$C4,Sheet1!$B:$B,E$1,Sheet1!$A:$A,$A4)*100,4),"0.0000") &amp; " ± " &amp; TEXT(ROUND(SUMIFS(Sheet1!$G:$G,Sheet1!$C:$C,$C4,Sheet1!$B:$B,E$1,Sheet1!$A:$A,$A4)*100,2),"0.00")</f>
        <v>62.4786 ± 12.83</v>
      </c>
      <c r="F4" s="7" t="str">
        <f>TEXT(ROUND(SUMIFS(Sheet1!$H:$H,Sheet1!$C:$C,$C4,Sheet1!$B:$B,F$1,Sheet1!$A:$A,$A4)*100,4),"0.0000") &amp; " ± " &amp; TEXT(ROUND(SUMIFS(Sheet1!$I:$I,Sheet1!$C:$C,$C4,Sheet1!$B:$B,F$1,Sheet1!$A:$A,$A4)*100,2),"0.00")</f>
        <v>57.2075 ± 17.80</v>
      </c>
      <c r="G4" s="14" t="str">
        <f>TEXT(ROUND(SUMIFS(Sheet1!$J:$J,Sheet1!$C:$C,$C4,Sheet1!$B:$B,G$1,Sheet1!$A:$A,$A4)*100,4),"0.0000") &amp; " ± " &amp; TEXT(ROUND(SUMIFS(Sheet1!$K:$K,Sheet1!$C:$C,$C4,Sheet1!$B:$B,G$1,Sheet1!$A:$A,$A4)*100,2),"0.00")</f>
        <v>77.2576 ± 19.81</v>
      </c>
      <c r="H4" s="13" t="str">
        <f>TEXT(ROUND(SUMIFS(Sheet1!$D:$D,Sheet1!$C:$C,$C4,Sheet1!$B:$B,H$1,Sheet1!$A:$A,$A4)*100,4),"0.0000") &amp; " ± " &amp; TEXT(ROUND(SUMIFS(Sheet1!$E:$E,Sheet1!$C:$C,$C4,Sheet1!$B:$B,H$1,Sheet1!$A:$A,$A4)*100,2),"0.00")</f>
        <v>56.3948 ± 13.52</v>
      </c>
      <c r="I4" s="7" t="str">
        <f>TEXT(ROUND(SUMIFS(Sheet1!$F:$F,Sheet1!$C:$C,$C4,Sheet1!$B:$B,I$1,Sheet1!$A:$A,$A4)*100,4),"0.0000") &amp; " ± " &amp; TEXT(ROUND(SUMIFS(Sheet1!$G:$G,Sheet1!$C:$C,$C4,Sheet1!$B:$B,I$1,Sheet1!$A:$A,$A4)*100,2),"0.00")</f>
        <v>64.9449 ± 14.55</v>
      </c>
      <c r="J4" s="7" t="str">
        <f>TEXT(ROUND(SUMIFS(Sheet1!$H:$H,Sheet1!$C:$C,$C4,Sheet1!$B:$B,J$1,Sheet1!$A:$A,$A4)*100,4),"0.0000") &amp; " ± " &amp; TEXT(ROUND(SUMIFS(Sheet1!$I:$I,Sheet1!$C:$C,$C4,Sheet1!$B:$B,J$1,Sheet1!$A:$A,$A4)*100,2),"0.00")</f>
        <v>58.1926 ± 17.90</v>
      </c>
      <c r="K4" s="14" t="str">
        <f>TEXT(ROUND(SUMIFS(Sheet1!$J:$J,Sheet1!$C:$C,$C4,Sheet1!$B:$B,K$1,Sheet1!$A:$A,$A4)*100,4),"0.0000") &amp; " ± " &amp; TEXT(ROUND(SUMIFS(Sheet1!$K:$K,Sheet1!$C:$C,$C4,Sheet1!$B:$B,K$1,Sheet1!$A:$A,$A4)*100,2),"0.00")</f>
        <v>78.8073 ± 17.98</v>
      </c>
      <c r="L4" s="13" t="str">
        <f>TEXT(ROUND(SUMIFS(Sheet1!$D:$D,Sheet1!$C:$C,$C4,Sheet1!$B:$B,L$1,Sheet1!$A:$A,$A4)*100,4),"0.0000") &amp; " ± " &amp; TEXT(ROUND(SUMIFS(Sheet1!$E:$E,Sheet1!$C:$C,$C4,Sheet1!$B:$B,L$1,Sheet1!$A:$A,$A4)*100,2),"0.00")</f>
        <v>55.6455 ± 14.47</v>
      </c>
      <c r="M4" s="7" t="str">
        <f>TEXT(ROUND(SUMIFS(Sheet1!$F:$F,Sheet1!$C:$C,$C4,Sheet1!$B:$B,M$1,Sheet1!$A:$A,$A4)*100,4),"0.0000") &amp; " ± " &amp; TEXT(ROUND(SUMIFS(Sheet1!$G:$G,Sheet1!$C:$C,$C4,Sheet1!$B:$B,M$1,Sheet1!$A:$A,$A4)*100,2),"0.00")</f>
        <v>65.2486 ± 13.59</v>
      </c>
      <c r="N4" s="7" t="str">
        <f>TEXT(ROUND(SUMIFS(Sheet1!$H:$H,Sheet1!$C:$C,$C4,Sheet1!$B:$B,N$1,Sheet1!$A:$A,$A4)*100,4),"0.0000") &amp; " ± " &amp; TEXT(ROUND(SUMIFS(Sheet1!$I:$I,Sheet1!$C:$C,$C4,Sheet1!$B:$B,N$1,Sheet1!$A:$A,$A4)*100,2),"0.00")</f>
        <v>58.8404 ± 18.48</v>
      </c>
      <c r="O4" s="14" t="str">
        <f>TEXT(ROUND(SUMIFS(Sheet1!$J:$J,Sheet1!$C:$C,$C4,Sheet1!$B:$B,O$1,Sheet1!$A:$A,$A4)*100,4),"0.0000") &amp; " ± " &amp; TEXT(ROUND(SUMIFS(Sheet1!$K:$K,Sheet1!$C:$C,$C4,Sheet1!$B:$B,O$1,Sheet1!$A:$A,$A4)*100,2),"0.00")</f>
        <v>79.9092 ± 17.03</v>
      </c>
    </row>
    <row r="5" spans="1:15" x14ac:dyDescent="0.3">
      <c r="A5" s="26" t="s">
        <v>17</v>
      </c>
      <c r="B5" s="34"/>
      <c r="C5" s="20" t="s">
        <v>13</v>
      </c>
      <c r="D5" s="11" t="str">
        <f>TEXT(ROUND(SUMIFS(Sheet1!$D:$D,Sheet1!$C:$C,$C5,Sheet1!$B:$B,D$1,Sheet1!$A:$A,$A5)*100,4),"0.0000") &amp; " ± " &amp; TEXT(ROUND(SUMIFS(Sheet1!$E:$E,Sheet1!$C:$C,$C5,Sheet1!$B:$B,D$1,Sheet1!$A:$A,$A5)*100,2),"0.00")</f>
        <v>49.1896 ± 10.95</v>
      </c>
      <c r="E5" s="8" t="str">
        <f>TEXT(ROUND(SUMIFS(Sheet1!$F:$F,Sheet1!$C:$C,$C5,Sheet1!$B:$B,E$1,Sheet1!$A:$A,$A5)*100,4),"0.0000") &amp; " ± " &amp; TEXT(ROUND(SUMIFS(Sheet1!$G:$G,Sheet1!$C:$C,$C5,Sheet1!$B:$B,E$1,Sheet1!$A:$A,$A5)*100,2),"0.00")</f>
        <v>57.9439 ± 11.84</v>
      </c>
      <c r="F5" s="8" t="str">
        <f>TEXT(ROUND(SUMIFS(Sheet1!$H:$H,Sheet1!$C:$C,$C5,Sheet1!$B:$B,F$1,Sheet1!$A:$A,$A5)*100,4),"0.0000") &amp; " ± " &amp; TEXT(ROUND(SUMIFS(Sheet1!$I:$I,Sheet1!$C:$C,$C5,Sheet1!$B:$B,F$1,Sheet1!$A:$A,$A5)*100,2),"0.00")</f>
        <v>55.8177 ± 16.34</v>
      </c>
      <c r="G5" s="12" t="str">
        <f>TEXT(ROUND(SUMIFS(Sheet1!$J:$J,Sheet1!$C:$C,$C5,Sheet1!$B:$B,G$1,Sheet1!$A:$A,$A5)*100,4),"0.0000") &amp; " ± " &amp; TEXT(ROUND(SUMIFS(Sheet1!$K:$K,Sheet1!$C:$C,$C5,Sheet1!$B:$B,G$1,Sheet1!$A:$A,$A5)*100,2),"0.00")</f>
        <v>68.8539 ± 22.93</v>
      </c>
      <c r="H5" s="11" t="str">
        <f>TEXT(ROUND(SUMIFS(Sheet1!$D:$D,Sheet1!$C:$C,$C5,Sheet1!$B:$B,H$1,Sheet1!$A:$A,$A5)*100,4),"0.0000") &amp; " ± " &amp; TEXT(ROUND(SUMIFS(Sheet1!$E:$E,Sheet1!$C:$C,$C5,Sheet1!$B:$B,H$1,Sheet1!$A:$A,$A5)*100,2),"0.00")</f>
        <v>56.2875 ± 15.63</v>
      </c>
      <c r="I5" s="8" t="str">
        <f>TEXT(ROUND(SUMIFS(Sheet1!$F:$F,Sheet1!$C:$C,$C5,Sheet1!$B:$B,I$1,Sheet1!$A:$A,$A5)*100,4),"0.0000") &amp; " ± " &amp; TEXT(ROUND(SUMIFS(Sheet1!$G:$G,Sheet1!$C:$C,$C5,Sheet1!$B:$B,I$1,Sheet1!$A:$A,$A5)*100,2),"0.00")</f>
        <v>62.5238 ± 16.98</v>
      </c>
      <c r="J5" s="8" t="str">
        <f>TEXT(ROUND(SUMIFS(Sheet1!$H:$H,Sheet1!$C:$C,$C5,Sheet1!$B:$B,J$1,Sheet1!$A:$A,$A5)*100,4),"0.0000") &amp; " ± " &amp; TEXT(ROUND(SUMIFS(Sheet1!$I:$I,Sheet1!$C:$C,$C5,Sheet1!$B:$B,J$1,Sheet1!$A:$A,$A5)*100,2),"0.00")</f>
        <v>58.8206 ± 19.95</v>
      </c>
      <c r="K5" s="12" t="str">
        <f>TEXT(ROUND(SUMIFS(Sheet1!$J:$J,Sheet1!$C:$C,$C5,Sheet1!$B:$B,K$1,Sheet1!$A:$A,$A5)*100,4),"0.0000") &amp; " ± " &amp; TEXT(ROUND(SUMIFS(Sheet1!$K:$K,Sheet1!$C:$C,$C5,Sheet1!$B:$B,K$1,Sheet1!$A:$A,$A5)*100,2),"0.00")</f>
        <v>71.7603 ± 20.27</v>
      </c>
      <c r="L5" s="11" t="str">
        <f>TEXT(ROUND(SUMIFS(Sheet1!$D:$D,Sheet1!$C:$C,$C5,Sheet1!$B:$B,L$1,Sheet1!$A:$A,$A5)*100,4),"0.0000") &amp; " ± " &amp; TEXT(ROUND(SUMIFS(Sheet1!$E:$E,Sheet1!$C:$C,$C5,Sheet1!$B:$B,L$1,Sheet1!$A:$A,$A5)*100,2),"0.00")</f>
        <v>55.0741 ± 15.35</v>
      </c>
      <c r="M5" s="8" t="str">
        <f>TEXT(ROUND(SUMIFS(Sheet1!$F:$F,Sheet1!$C:$C,$C5,Sheet1!$B:$B,M$1,Sheet1!$A:$A,$A5)*100,4),"0.0000") &amp; " ± " &amp; TEXT(ROUND(SUMIFS(Sheet1!$G:$G,Sheet1!$C:$C,$C5,Sheet1!$B:$B,M$1,Sheet1!$A:$A,$A5)*100,2),"0.00")</f>
        <v>62.3575 ± 15.58</v>
      </c>
      <c r="N5" s="8" t="str">
        <f>TEXT(ROUND(SUMIFS(Sheet1!$H:$H,Sheet1!$C:$C,$C5,Sheet1!$B:$B,N$1,Sheet1!$A:$A,$A5)*100,4),"0.0000") &amp; " ± " &amp; TEXT(ROUND(SUMIFS(Sheet1!$I:$I,Sheet1!$C:$C,$C5,Sheet1!$B:$B,N$1,Sheet1!$A:$A,$A5)*100,2),"0.00")</f>
        <v>58.6276 ± 19.39</v>
      </c>
      <c r="O5" s="12" t="str">
        <f>TEXT(ROUND(SUMIFS(Sheet1!$J:$J,Sheet1!$C:$C,$C5,Sheet1!$B:$B,O$1,Sheet1!$A:$A,$A5)*100,4),"0.0000") &amp; " ± " &amp; TEXT(ROUND(SUMIFS(Sheet1!$K:$K,Sheet1!$C:$C,$C5,Sheet1!$B:$B,O$1,Sheet1!$A:$A,$A5)*100,2),"0.00")</f>
        <v>72.8000 ± 20.43</v>
      </c>
    </row>
    <row r="6" spans="1:15" x14ac:dyDescent="0.3">
      <c r="A6" s="26" t="s">
        <v>17</v>
      </c>
      <c r="B6" s="34"/>
      <c r="C6" s="3" t="s">
        <v>12</v>
      </c>
      <c r="D6" s="18" t="str">
        <f>TEXT(ROUND(SUMIFS(Sheet1!$D:$D,Sheet1!$C:$C,$C6,Sheet1!$B:$B,D$1,Sheet1!$A:$A,$A6)*100,4),"0.0000") &amp; " ± " &amp; TEXT(ROUND(SUMIFS(Sheet1!$E:$E,Sheet1!$C:$C,$C6,Sheet1!$B:$B,D$1,Sheet1!$A:$A,$A6)*100,2),"0.00")</f>
        <v>54.2150 ± 14.22</v>
      </c>
      <c r="E6" s="7" t="str">
        <f>TEXT(ROUND(SUMIFS(Sheet1!$F:$F,Sheet1!$C:$C,$C6,Sheet1!$B:$B,E$1,Sheet1!$A:$A,$A6)*100,4),"0.0000") &amp; " ± " &amp; TEXT(ROUND(SUMIFS(Sheet1!$G:$G,Sheet1!$C:$C,$C6,Sheet1!$B:$B,E$1,Sheet1!$A:$A,$A6)*100,2),"0.00")</f>
        <v>68.9139 ± 11.91</v>
      </c>
      <c r="F6" s="7" t="str">
        <f>TEXT(ROUND(SUMIFS(Sheet1!$H:$H,Sheet1!$C:$C,$C6,Sheet1!$B:$B,F$1,Sheet1!$A:$A,$A6)*100,4),"0.0000") &amp; " ± " &amp; TEXT(ROUND(SUMIFS(Sheet1!$I:$I,Sheet1!$C:$C,$C6,Sheet1!$B:$B,F$1,Sheet1!$A:$A,$A6)*100,2),"0.00")</f>
        <v>56.0961 ± 16.48</v>
      </c>
      <c r="G6" s="19" t="str">
        <f>TEXT(ROUND(SUMIFS(Sheet1!$J:$J,Sheet1!$C:$C,$C6,Sheet1!$B:$B,G$1,Sheet1!$A:$A,$A6)*100,4),"0.0000") &amp; " ± " &amp; TEXT(ROUND(SUMIFS(Sheet1!$K:$K,Sheet1!$C:$C,$C6,Sheet1!$B:$B,G$1,Sheet1!$A:$A,$A6)*100,2),"0.00")</f>
        <v>95.9973 ± 8.42</v>
      </c>
      <c r="H6" s="18" t="str">
        <f>TEXT(ROUND(SUMIFS(Sheet1!$D:$D,Sheet1!$C:$C,$C6,Sheet1!$B:$B,H$1,Sheet1!$A:$A,$A6)*100,4),"0.0000") &amp; " ± " &amp; TEXT(ROUND(SUMIFS(Sheet1!$E:$E,Sheet1!$C:$C,$C6,Sheet1!$B:$B,H$1,Sheet1!$A:$A,$A6)*100,2),"0.00")</f>
        <v>56.6039 ± 17.50</v>
      </c>
      <c r="I6" s="6" t="str">
        <f>TEXT(ROUND(SUMIFS(Sheet1!$F:$F,Sheet1!$C:$C,$C6,Sheet1!$B:$B,I$1,Sheet1!$A:$A,$A6)*100,4),"0.0000") &amp; " ± " &amp; TEXT(ROUND(SUMIFS(Sheet1!$G:$G,Sheet1!$C:$C,$C6,Sheet1!$B:$B,I$1,Sheet1!$A:$A,$A6)*100,2),"0.00")</f>
        <v>69.4882 ± 14.66</v>
      </c>
      <c r="J6" s="7" t="str">
        <f>TEXT(ROUND(SUMIFS(Sheet1!$H:$H,Sheet1!$C:$C,$C6,Sheet1!$B:$B,J$1,Sheet1!$A:$A,$A6)*100,4),"0.0000") &amp; " ± " &amp; TEXT(ROUND(SUMIFS(Sheet1!$I:$I,Sheet1!$C:$C,$C6,Sheet1!$B:$B,J$1,Sheet1!$A:$A,$A6)*100,2),"0.00")</f>
        <v>56.6568 ± 17.34</v>
      </c>
      <c r="K6" s="19" t="str">
        <f>TEXT(ROUND(SUMIFS(Sheet1!$J:$J,Sheet1!$C:$C,$C6,Sheet1!$B:$B,K$1,Sheet1!$A:$A,$A6)*100,4),"0.0000") &amp; " ± " &amp; TEXT(ROUND(SUMIFS(Sheet1!$K:$K,Sheet1!$C:$C,$C6,Sheet1!$B:$B,K$1,Sheet1!$A:$A,$A6)*100,2),"0.00")</f>
        <v>94.5925 ± 10.64</v>
      </c>
      <c r="L6" s="18" t="str">
        <f>TEXT(ROUND(SUMIFS(Sheet1!$D:$D,Sheet1!$C:$C,$C6,Sheet1!$B:$B,L$1,Sheet1!$A:$A,$A6)*100,4),"0.0000") &amp; " ± " &amp; TEXT(ROUND(SUMIFS(Sheet1!$E:$E,Sheet1!$C:$C,$C6,Sheet1!$B:$B,L$1,Sheet1!$A:$A,$A6)*100,2),"0.00")</f>
        <v>56.5434 ± 15.99</v>
      </c>
      <c r="M6" s="6" t="str">
        <f>TEXT(ROUND(SUMIFS(Sheet1!$F:$F,Sheet1!$C:$C,$C6,Sheet1!$B:$B,M$1,Sheet1!$A:$A,$A6)*100,4),"0.0000") &amp; " ± " &amp; TEXT(ROUND(SUMIFS(Sheet1!$G:$G,Sheet1!$C:$C,$C6,Sheet1!$B:$B,M$1,Sheet1!$A:$A,$A6)*100,2),"0.00")</f>
        <v>69.8748 ± 13.13</v>
      </c>
      <c r="N6" s="7" t="str">
        <f>TEXT(ROUND(SUMIFS(Sheet1!$H:$H,Sheet1!$C:$C,$C6,Sheet1!$B:$B,N$1,Sheet1!$A:$A,$A6)*100,4),"0.0000") &amp; " ± " &amp; TEXT(ROUND(SUMIFS(Sheet1!$I:$I,Sheet1!$C:$C,$C6,Sheet1!$B:$B,N$1,Sheet1!$A:$A,$A6)*100,2),"0.00")</f>
        <v>56.7695 ± 16.57</v>
      </c>
      <c r="O6" s="19" t="str">
        <f>TEXT(ROUND(SUMIFS(Sheet1!$J:$J,Sheet1!$C:$C,$C6,Sheet1!$B:$B,O$1,Sheet1!$A:$A,$A6)*100,4),"0.0000") &amp; " ± " &amp; TEXT(ROUND(SUMIFS(Sheet1!$K:$K,Sheet1!$C:$C,$C6,Sheet1!$B:$B,O$1,Sheet1!$A:$A,$A6)*100,2),"0.00")</f>
        <v>95.9391 ± 6.84</v>
      </c>
    </row>
    <row r="7" spans="1:15" ht="15" thickBot="1" x14ac:dyDescent="0.35">
      <c r="A7" s="26" t="s">
        <v>17</v>
      </c>
      <c r="B7" s="35"/>
      <c r="C7" s="21" t="s">
        <v>14</v>
      </c>
      <c r="D7" s="15" t="str">
        <f>TEXT(ROUND(SUMIFS(Sheet1!$D:$D,Sheet1!$C:$C,$C7,Sheet1!$B:$B,D$1,Sheet1!$A:$A,$A7)*100,4),"0.0000") &amp; " ± " &amp; TEXT(ROUND(SUMIFS(Sheet1!$E:$E,Sheet1!$C:$C,$C7,Sheet1!$B:$B,D$1,Sheet1!$A:$A,$A7)*100,2),"0.00")</f>
        <v>51.9949 ± 11.38</v>
      </c>
      <c r="E7" s="16" t="str">
        <f>TEXT(ROUND(SUMIFS(Sheet1!$F:$F,Sheet1!$C:$C,$C7,Sheet1!$B:$B,E$1,Sheet1!$A:$A,$A7)*100,4),"0.0000") &amp; " ± " &amp; TEXT(ROUND(SUMIFS(Sheet1!$G:$G,Sheet1!$C:$C,$C7,Sheet1!$B:$B,E$1,Sheet1!$A:$A,$A7)*100,2),"0.00")</f>
        <v>58.4160 ± 12.30</v>
      </c>
      <c r="F7" s="24" t="str">
        <f>TEXT(ROUND(SUMIFS(Sheet1!$H:$H,Sheet1!$C:$C,$C7,Sheet1!$B:$B,F$1,Sheet1!$A:$A,$A7)*100,4),"0.0000") &amp; " ± " &amp; TEXT(ROUND(SUMIFS(Sheet1!$I:$I,Sheet1!$C:$C,$C7,Sheet1!$B:$B,F$1,Sheet1!$A:$A,$A7)*100,2),"0.00")</f>
        <v>56.5008 ± 17.27</v>
      </c>
      <c r="G7" s="17" t="str">
        <f>TEXT(ROUND(SUMIFS(Sheet1!$J:$J,Sheet1!$C:$C,$C7,Sheet1!$B:$B,G$1,Sheet1!$A:$A,$A7)*100,4),"0.0000") &amp; " ± " &amp; TEXT(ROUND(SUMIFS(Sheet1!$K:$K,Sheet1!$C:$C,$C7,Sheet1!$B:$B,G$1,Sheet1!$A:$A,$A7)*100,2),"0.00")</f>
        <v>64.8175 ± 15.47</v>
      </c>
      <c r="H7" s="15" t="str">
        <f>TEXT(ROUND(SUMIFS(Sheet1!$D:$D,Sheet1!$C:$C,$C7,Sheet1!$B:$B,H$1,Sheet1!$A:$A,$A7)*100,4),"0.0000") &amp; " ± " &amp; TEXT(ROUND(SUMIFS(Sheet1!$E:$E,Sheet1!$C:$C,$C7,Sheet1!$B:$B,H$1,Sheet1!$A:$A,$A7)*100,2),"0.00")</f>
        <v>52.9947 ± 11.42</v>
      </c>
      <c r="I7" s="16" t="str">
        <f>TEXT(ROUND(SUMIFS(Sheet1!$F:$F,Sheet1!$C:$C,$C7,Sheet1!$B:$B,I$1,Sheet1!$A:$A,$A7)*100,4),"0.0000") &amp; " ± " &amp; TEXT(ROUND(SUMIFS(Sheet1!$G:$G,Sheet1!$C:$C,$C7,Sheet1!$B:$B,I$1,Sheet1!$A:$A,$A7)*100,2),"0.00")</f>
        <v>58.1182 ± 13.93</v>
      </c>
      <c r="J7" s="24" t="str">
        <f>TEXT(ROUND(SUMIFS(Sheet1!$H:$H,Sheet1!$C:$C,$C7,Sheet1!$B:$B,J$1,Sheet1!$A:$A,$A7)*100,4),"0.0000") &amp; " ± " &amp; TEXT(ROUND(SUMIFS(Sheet1!$I:$I,Sheet1!$C:$C,$C7,Sheet1!$B:$B,J$1,Sheet1!$A:$A,$A7)*100,2),"0.00")</f>
        <v>58.9507 ± 19.56</v>
      </c>
      <c r="K7" s="17" t="str">
        <f>TEXT(ROUND(SUMIFS(Sheet1!$J:$J,Sheet1!$C:$C,$C7,Sheet1!$B:$B,K$1,Sheet1!$A:$A,$A7)*100,4),"0.0000") &amp; " ± " &amp; TEXT(ROUND(SUMIFS(Sheet1!$K:$K,Sheet1!$C:$C,$C7,Sheet1!$B:$B,K$1,Sheet1!$A:$A,$A7)*100,2),"0.00")</f>
        <v>62.6420 ± 16.45</v>
      </c>
      <c r="L7" s="15" t="str">
        <f>TEXT(ROUND(SUMIFS(Sheet1!$D:$D,Sheet1!$C:$C,$C7,Sheet1!$B:$B,L$1,Sheet1!$A:$A,$A7)*100,4),"0.0000") &amp; " ± " &amp; TEXT(ROUND(SUMIFS(Sheet1!$E:$E,Sheet1!$C:$C,$C7,Sheet1!$B:$B,L$1,Sheet1!$A:$A,$A7)*100,2),"0.00")</f>
        <v>52.7696 ± 14.43</v>
      </c>
      <c r="M7" s="16" t="str">
        <f>TEXT(ROUND(SUMIFS(Sheet1!$F:$F,Sheet1!$C:$C,$C7,Sheet1!$B:$B,M$1,Sheet1!$A:$A,$A7)*100,4),"0.0000") &amp; " ± " &amp; TEXT(ROUND(SUMIFS(Sheet1!$G:$G,Sheet1!$C:$C,$C7,Sheet1!$B:$B,M$1,Sheet1!$A:$A,$A7)*100,2),"0.00")</f>
        <v>59.5805 ± 15.61</v>
      </c>
      <c r="N7" s="24" t="str">
        <f>TEXT(ROUND(SUMIFS(Sheet1!$H:$H,Sheet1!$C:$C,$C7,Sheet1!$B:$B,N$1,Sheet1!$A:$A,$A7)*100,4),"0.0000") &amp; " ± " &amp; TEXT(ROUND(SUMIFS(Sheet1!$I:$I,Sheet1!$C:$C,$C7,Sheet1!$B:$B,N$1,Sheet1!$A:$A,$A7)*100,2),"0.00")</f>
        <v>56.5803 ± 18.30</v>
      </c>
      <c r="O7" s="17" t="str">
        <f>TEXT(ROUND(SUMIFS(Sheet1!$J:$J,Sheet1!$C:$C,$C7,Sheet1!$B:$B,O$1,Sheet1!$A:$A,$A7)*100,4),"0.0000") &amp; " ± " &amp; TEXT(ROUND(SUMIFS(Sheet1!$K:$K,Sheet1!$C:$C,$C7,Sheet1!$B:$B,O$1,Sheet1!$A:$A,$A7)*100,2),"0.00")</f>
        <v>67.8756 ± 18.39</v>
      </c>
    </row>
    <row r="8" spans="1:15" ht="15" thickBot="1" x14ac:dyDescent="0.35">
      <c r="A8" s="26"/>
      <c r="B8" s="1"/>
      <c r="D8" s="37"/>
      <c r="E8" s="37"/>
      <c r="F8" s="37"/>
      <c r="G8" s="37"/>
      <c r="H8" s="38"/>
      <c r="I8" s="38"/>
      <c r="J8" s="38"/>
      <c r="K8" s="38"/>
      <c r="L8" s="38"/>
      <c r="M8" s="38"/>
      <c r="N8" s="38"/>
      <c r="O8" s="38"/>
    </row>
    <row r="9" spans="1:15" x14ac:dyDescent="0.3">
      <c r="A9" s="26"/>
      <c r="B9" s="28" t="s">
        <v>29</v>
      </c>
      <c r="C9" s="22" t="s">
        <v>25</v>
      </c>
      <c r="D9" s="39" t="s">
        <v>26</v>
      </c>
      <c r="E9" s="40"/>
      <c r="F9" s="40"/>
      <c r="G9" s="41"/>
      <c r="H9" s="42" t="s">
        <v>27</v>
      </c>
      <c r="I9" s="43"/>
      <c r="J9" s="43"/>
      <c r="K9" s="44"/>
      <c r="L9" s="42" t="s">
        <v>28</v>
      </c>
      <c r="M9" s="43"/>
      <c r="N9" s="43"/>
      <c r="O9" s="44"/>
    </row>
    <row r="10" spans="1:15" x14ac:dyDescent="0.3">
      <c r="A10" s="26"/>
      <c r="B10" s="36"/>
      <c r="C10" s="23" t="s">
        <v>20</v>
      </c>
      <c r="D10" s="45" t="s">
        <v>21</v>
      </c>
      <c r="E10" s="46" t="s">
        <v>22</v>
      </c>
      <c r="F10" s="46" t="s">
        <v>23</v>
      </c>
      <c r="G10" s="47" t="s">
        <v>24</v>
      </c>
      <c r="H10" s="45" t="s">
        <v>21</v>
      </c>
      <c r="I10" s="46" t="s">
        <v>22</v>
      </c>
      <c r="J10" s="46" t="s">
        <v>23</v>
      </c>
      <c r="K10" s="47" t="s">
        <v>24</v>
      </c>
      <c r="L10" s="45" t="s">
        <v>21</v>
      </c>
      <c r="M10" s="46" t="s">
        <v>22</v>
      </c>
      <c r="N10" s="46" t="s">
        <v>23</v>
      </c>
      <c r="O10" s="47" t="s">
        <v>24</v>
      </c>
    </row>
    <row r="11" spans="1:15" x14ac:dyDescent="0.3">
      <c r="A11" s="26" t="s">
        <v>16</v>
      </c>
      <c r="B11" s="34" t="s">
        <v>31</v>
      </c>
      <c r="C11" s="3" t="s">
        <v>11</v>
      </c>
      <c r="D11" s="13" t="str">
        <f>TEXT(ROUND(SUMIFS(Sheet1!$D:$D,Sheet1!$C:$C,$C11,Sheet1!$B:$B,D$1,Sheet1!$A:$A,$A11)*100,4),"0.0000") &amp; " ± " &amp; TEXT(ROUND(SUMIFS(Sheet1!$E:$E,Sheet1!$C:$C,$C11,Sheet1!$B:$B,D$1,Sheet1!$A:$A,$A11)*100,2),"0.00")</f>
        <v>53.0011 ± 15.93</v>
      </c>
      <c r="E11" s="7" t="str">
        <f>TEXT(ROUND(SUMIFS(Sheet1!$F:$F,Sheet1!$C:$C,$C11,Sheet1!$B:$B,E$1,Sheet1!$A:$A,$A11)*100,4),"0.0000") &amp; " ± " &amp; TEXT(ROUND(SUMIFS(Sheet1!$G:$G,Sheet1!$C:$C,$C11,Sheet1!$B:$B,E$1,Sheet1!$A:$A,$A11)*100,2),"0.00")</f>
        <v>61.9005 ± 15.44</v>
      </c>
      <c r="F11" s="7" t="str">
        <f>TEXT(ROUND(SUMIFS(Sheet1!$H:$H,Sheet1!$C:$C,$C11,Sheet1!$B:$B,F$1,Sheet1!$A:$A,$A11)*100,4),"0.0000") &amp; " ± " &amp; TEXT(ROUND(SUMIFS(Sheet1!$I:$I,Sheet1!$C:$C,$C11,Sheet1!$B:$B,F$1,Sheet1!$A:$A,$A11)*100,2),"0.00")</f>
        <v>57.1512 ± 18.09</v>
      </c>
      <c r="G11" s="14" t="str">
        <f>TEXT(ROUND(SUMIFS(Sheet1!$J:$J,Sheet1!$C:$C,$C11,Sheet1!$B:$B,G$1,Sheet1!$A:$A,$A11)*100,4),"0.0000") &amp; " ± " &amp; TEXT(ROUND(SUMIFS(Sheet1!$K:$K,Sheet1!$C:$C,$C11,Sheet1!$B:$B,G$1,Sheet1!$A:$A,$A11)*100,2),"0.00")</f>
        <v>74.9723 ± 23.93</v>
      </c>
      <c r="H11" s="13" t="str">
        <f>TEXT(ROUND(SUMIFS(Sheet1!$D:$D,Sheet1!$C:$C,$C11,Sheet1!$B:$B,H$1,Sheet1!$A:$A,$A11)*100,4),"0.0000") &amp; " ± " &amp; TEXT(ROUND(SUMIFS(Sheet1!$E:$E,Sheet1!$C:$C,$C11,Sheet1!$B:$B,H$1,Sheet1!$A:$A,$A11)*100,2),"0.00")</f>
        <v>61.6067 ± 18.40</v>
      </c>
      <c r="I11" s="7" t="str">
        <f>TEXT(ROUND(SUMIFS(Sheet1!$F:$F,Sheet1!$C:$C,$C11,Sheet1!$B:$B,I$1,Sheet1!$A:$A,$A11)*100,4),"0.0000") &amp; " ± " &amp; TEXT(ROUND(SUMIFS(Sheet1!$G:$G,Sheet1!$C:$C,$C11,Sheet1!$B:$B,I$1,Sheet1!$A:$A,$A11)*100,2),"0.00")</f>
        <v>68.3272 ± 17.44</v>
      </c>
      <c r="J11" s="6" t="str">
        <f>TEXT(ROUND(SUMIFS(Sheet1!$H:$H,Sheet1!$C:$C,$C11,Sheet1!$B:$B,J$1,Sheet1!$A:$A,$A11)*100,4),"0.0000") &amp; " ± " &amp; TEXT(ROUND(SUMIFS(Sheet1!$I:$I,Sheet1!$C:$C,$C11,Sheet1!$B:$B,J$1,Sheet1!$A:$A,$A11)*100,2),"0.00")</f>
        <v>62.7556 ± 19.85</v>
      </c>
      <c r="K11" s="14" t="str">
        <f>TEXT(ROUND(SUMIFS(Sheet1!$J:$J,Sheet1!$C:$C,$C11,Sheet1!$B:$B,K$1,Sheet1!$A:$A,$A11)*100,4),"0.0000") &amp; " ± " &amp; TEXT(ROUND(SUMIFS(Sheet1!$K:$K,Sheet1!$C:$C,$C11,Sheet1!$B:$B,K$1,Sheet1!$A:$A,$A11)*100,2),"0.00")</f>
        <v>80.4153 ± 22.15</v>
      </c>
      <c r="L11" s="13" t="str">
        <f>TEXT(ROUND(SUMIFS(Sheet1!$D:$D,Sheet1!$C:$C,$C11,Sheet1!$B:$B,L$1,Sheet1!$A:$A,$A11)*100,4),"0.0000") &amp; " ± " &amp; TEXT(ROUND(SUMIFS(Sheet1!$E:$E,Sheet1!$C:$C,$C11,Sheet1!$B:$B,L$1,Sheet1!$A:$A,$A11)*100,2),"0.00")</f>
        <v>57.3994 ± 16.39</v>
      </c>
      <c r="M11" s="7" t="str">
        <f>TEXT(ROUND(SUMIFS(Sheet1!$F:$F,Sheet1!$C:$C,$C11,Sheet1!$B:$B,M$1,Sheet1!$A:$A,$A11)*100,4),"0.0000") &amp; " ± " &amp; TEXT(ROUND(SUMIFS(Sheet1!$G:$G,Sheet1!$C:$C,$C11,Sheet1!$B:$B,M$1,Sheet1!$A:$A,$A11)*100,2),"0.00")</f>
        <v>65.1476 ± 17.93</v>
      </c>
      <c r="N11" s="7" t="str">
        <f>TEXT(ROUND(SUMIFS(Sheet1!$H:$H,Sheet1!$C:$C,$C11,Sheet1!$B:$B,N$1,Sheet1!$A:$A,$A11)*100,4),"0.0000") &amp; " ± " &amp; TEXT(ROUND(SUMIFS(Sheet1!$I:$I,Sheet1!$C:$C,$C11,Sheet1!$B:$B,N$1,Sheet1!$A:$A,$A11)*100,2),"0.00")</f>
        <v>59.7665 ± 21.16</v>
      </c>
      <c r="O11" s="14" t="str">
        <f>TEXT(ROUND(SUMIFS(Sheet1!$J:$J,Sheet1!$C:$C,$C11,Sheet1!$B:$B,O$1,Sheet1!$A:$A,$A11)*100,4),"0.0000") &amp; " ± " &amp; TEXT(ROUND(SUMIFS(Sheet1!$K:$K,Sheet1!$C:$C,$C11,Sheet1!$B:$B,O$1,Sheet1!$A:$A,$A11)*100,2),"0.00")</f>
        <v>78.3056 ± 23.73</v>
      </c>
    </row>
    <row r="12" spans="1:15" x14ac:dyDescent="0.3">
      <c r="A12" s="26" t="s">
        <v>16</v>
      </c>
      <c r="B12" s="34"/>
      <c r="C12" s="20" t="s">
        <v>13</v>
      </c>
      <c r="D12" s="25" t="str">
        <f>TEXT(ROUND(SUMIFS(Sheet1!$D:$D,Sheet1!$C:$C,$C12,Sheet1!$B:$B,D$1,Sheet1!$A:$A,$A12)*100,4),"0.0000") &amp; " ± " &amp; TEXT(ROUND(SUMIFS(Sheet1!$E:$E,Sheet1!$C:$C,$C12,Sheet1!$B:$B,D$1,Sheet1!$A:$A,$A12)*100,2),"0.00")</f>
        <v>58.4330 ± 15.43</v>
      </c>
      <c r="E12" s="8" t="str">
        <f>TEXT(ROUND(SUMIFS(Sheet1!$F:$F,Sheet1!$C:$C,$C12,Sheet1!$B:$B,E$1,Sheet1!$A:$A,$A12)*100,4),"0.0000") &amp; " ± " &amp; TEXT(ROUND(SUMIFS(Sheet1!$G:$G,Sheet1!$C:$C,$C12,Sheet1!$B:$B,E$1,Sheet1!$A:$A,$A12)*100,2),"0.00")</f>
        <v>65.5761 ± 14.31</v>
      </c>
      <c r="F12" s="48" t="str">
        <f>TEXT(ROUND(SUMIFS(Sheet1!$H:$H,Sheet1!$C:$C,$C12,Sheet1!$B:$B,F$1,Sheet1!$A:$A,$A12)*100,4),"0.0000") &amp; " ± " &amp; TEXT(ROUND(SUMIFS(Sheet1!$I:$I,Sheet1!$C:$C,$C12,Sheet1!$B:$B,F$1,Sheet1!$A:$A,$A12)*100,2),"0.00")</f>
        <v>61.4812 ± 17.11</v>
      </c>
      <c r="G12" s="12" t="str">
        <f>TEXT(ROUND(SUMIFS(Sheet1!$J:$J,Sheet1!$C:$C,$C12,Sheet1!$B:$B,G$1,Sheet1!$A:$A,$A12)*100,4),"0.0000") &amp; " ± " &amp; TEXT(ROUND(SUMIFS(Sheet1!$K:$K,Sheet1!$C:$C,$C12,Sheet1!$B:$B,G$1,Sheet1!$A:$A,$A12)*100,2),"0.00")</f>
        <v>75.3156 ± 20.09</v>
      </c>
      <c r="H12" s="25" t="str">
        <f>TEXT(ROUND(SUMIFS(Sheet1!$D:$D,Sheet1!$C:$C,$C12,Sheet1!$B:$B,H$1,Sheet1!$A:$A,$A12)*100,4),"0.0000") &amp; " ± " &amp; TEXT(ROUND(SUMIFS(Sheet1!$E:$E,Sheet1!$C:$C,$C12,Sheet1!$B:$B,H$1,Sheet1!$A:$A,$A12)*100,2),"0.00")</f>
        <v>62.7159 ± 15.46</v>
      </c>
      <c r="I12" s="8" t="str">
        <f>TEXT(ROUND(SUMIFS(Sheet1!$F:$F,Sheet1!$C:$C,$C12,Sheet1!$B:$B,I$1,Sheet1!$A:$A,$A12)*100,4),"0.0000") &amp; " ± " &amp; TEXT(ROUND(SUMIFS(Sheet1!$G:$G,Sheet1!$C:$C,$C12,Sheet1!$B:$B,I$1,Sheet1!$A:$A,$A12)*100,2),"0.00")</f>
        <v>66.4188 ± 18.29</v>
      </c>
      <c r="J12" s="8" t="str">
        <f>TEXT(ROUND(SUMIFS(Sheet1!$H:$H,Sheet1!$C:$C,$C12,Sheet1!$B:$B,J$1,Sheet1!$A:$A,$A12)*100,4),"0.0000") &amp; " ± " &amp; TEXT(ROUND(SUMIFS(Sheet1!$I:$I,Sheet1!$C:$C,$C12,Sheet1!$B:$B,J$1,Sheet1!$A:$A,$A12)*100,2),"0.00")</f>
        <v>64.7841 ± 20.47</v>
      </c>
      <c r="K12" s="12" t="str">
        <f>TEXT(ROUND(SUMIFS(Sheet1!$J:$J,Sheet1!$C:$C,$C12,Sheet1!$B:$B,K$1,Sheet1!$A:$A,$A12)*100,4),"0.0000") &amp; " ± " &amp; TEXT(ROUND(SUMIFS(Sheet1!$K:$K,Sheet1!$C:$C,$C12,Sheet1!$B:$B,K$1,Sheet1!$A:$A,$A12)*100,2),"0.00")</f>
        <v>73.8594 ± 24.51</v>
      </c>
      <c r="L12" s="25" t="str">
        <f>TEXT(ROUND(SUMIFS(Sheet1!$D:$D,Sheet1!$C:$C,$C12,Sheet1!$B:$B,L$1,Sheet1!$A:$A,$A12)*100,4),"0.0000") &amp; " ± " &amp; TEXT(ROUND(SUMIFS(Sheet1!$E:$E,Sheet1!$C:$C,$C12,Sheet1!$B:$B,L$1,Sheet1!$A:$A,$A12)*100,2),"0.00")</f>
        <v>63.3093 ± 17.47</v>
      </c>
      <c r="M12" s="48" t="str">
        <f>TEXT(ROUND(SUMIFS(Sheet1!$F:$F,Sheet1!$C:$C,$C12,Sheet1!$B:$B,M$1,Sheet1!$A:$A,$A12)*100,4),"0.0000") &amp; " ± " &amp; TEXT(ROUND(SUMIFS(Sheet1!$G:$G,Sheet1!$C:$C,$C12,Sheet1!$B:$B,M$1,Sheet1!$A:$A,$A12)*100,2),"0.00")</f>
        <v>68.3265 ± 17.27</v>
      </c>
      <c r="N12" s="48" t="str">
        <f>TEXT(ROUND(SUMIFS(Sheet1!$H:$H,Sheet1!$C:$C,$C12,Sheet1!$B:$B,N$1,Sheet1!$A:$A,$A12)*100,4),"0.0000") &amp; " ± " &amp; TEXT(ROUND(SUMIFS(Sheet1!$I:$I,Sheet1!$C:$C,$C12,Sheet1!$B:$B,N$1,Sheet1!$A:$A,$A12)*100,2),"0.00")</f>
        <v>64.8948 ± 18.66</v>
      </c>
      <c r="O12" s="12" t="str">
        <f>TEXT(ROUND(SUMIFS(Sheet1!$J:$J,Sheet1!$C:$C,$C12,Sheet1!$B:$B,O$1,Sheet1!$A:$A,$A12)*100,4),"0.0000") &amp; " ± " &amp; TEXT(ROUND(SUMIFS(Sheet1!$K:$K,Sheet1!$C:$C,$C12,Sheet1!$B:$B,O$1,Sheet1!$A:$A,$A12)*100,2),"0.00")</f>
        <v>76.8494 ± 22.46</v>
      </c>
    </row>
    <row r="13" spans="1:15" x14ac:dyDescent="0.3">
      <c r="A13" s="26" t="s">
        <v>16</v>
      </c>
      <c r="B13" s="34"/>
      <c r="C13" s="3" t="s">
        <v>12</v>
      </c>
      <c r="D13" s="13" t="str">
        <f>TEXT(ROUND(SUMIFS(Sheet1!$D:$D,Sheet1!$C:$C,$C13,Sheet1!$B:$B,D$1,Sheet1!$A:$A,$A13)*100,4),"0.0000") &amp; " ± " &amp; TEXT(ROUND(SUMIFS(Sheet1!$E:$E,Sheet1!$C:$C,$C13,Sheet1!$B:$B,D$1,Sheet1!$A:$A,$A13)*100,2),"0.00")</f>
        <v>57.7076 ± 14.40</v>
      </c>
      <c r="E13" s="6" t="str">
        <f>TEXT(ROUND(SUMIFS(Sheet1!$F:$F,Sheet1!$C:$C,$C13,Sheet1!$B:$B,E$1,Sheet1!$A:$A,$A13)*100,4),"0.0000") &amp; " ± " &amp; TEXT(ROUND(SUMIFS(Sheet1!$G:$G,Sheet1!$C:$C,$C13,Sheet1!$B:$B,E$1,Sheet1!$A:$A,$A13)*100,2),"0.00")</f>
        <v>69.7383 ± 11.38</v>
      </c>
      <c r="F13" s="7" t="str">
        <f>TEXT(ROUND(SUMIFS(Sheet1!$H:$H,Sheet1!$C:$C,$C13,Sheet1!$B:$B,F$1,Sheet1!$A:$A,$A13)*100,4),"0.0000") &amp; " ± " &amp; TEXT(ROUND(SUMIFS(Sheet1!$I:$I,Sheet1!$C:$C,$C13,Sheet1!$B:$B,F$1,Sheet1!$A:$A,$A13)*100,2),"0.00")</f>
        <v>58.7135 ± 15.84</v>
      </c>
      <c r="G13" s="19" t="str">
        <f>TEXT(ROUND(SUMIFS(Sheet1!$J:$J,Sheet1!$C:$C,$C13,Sheet1!$B:$B,G$1,Sheet1!$A:$A,$A13)*100,4),"0.0000") &amp; " ± " &amp; TEXT(ROUND(SUMIFS(Sheet1!$K:$K,Sheet1!$C:$C,$C13,Sheet1!$B:$B,G$1,Sheet1!$A:$A,$A13)*100,2),"0.00")</f>
        <v>91.3732 ± 13.00</v>
      </c>
      <c r="H13" s="13" t="str">
        <f>TEXT(ROUND(SUMIFS(Sheet1!$D:$D,Sheet1!$C:$C,$C13,Sheet1!$B:$B,H$1,Sheet1!$A:$A,$A13)*100,4),"0.0000") &amp; " ± " &amp; TEXT(ROUND(SUMIFS(Sheet1!$E:$E,Sheet1!$C:$C,$C13,Sheet1!$B:$B,H$1,Sheet1!$A:$A,$A13)*100,2),"0.00")</f>
        <v>59.8828 ± 15.76</v>
      </c>
      <c r="I13" s="6" t="str">
        <f>TEXT(ROUND(SUMIFS(Sheet1!$F:$F,Sheet1!$C:$C,$C13,Sheet1!$B:$B,I$1,Sheet1!$A:$A,$A13)*100,4),"0.0000") &amp; " ± " &amp; TEXT(ROUND(SUMIFS(Sheet1!$G:$G,Sheet1!$C:$C,$C13,Sheet1!$B:$B,I$1,Sheet1!$A:$A,$A13)*100,2),"0.00")</f>
        <v>69.5589 ± 13.94</v>
      </c>
      <c r="J13" s="7" t="str">
        <f>TEXT(ROUND(SUMIFS(Sheet1!$H:$H,Sheet1!$C:$C,$C13,Sheet1!$B:$B,J$1,Sheet1!$A:$A,$A13)*100,4),"0.0000") &amp; " ± " &amp; TEXT(ROUND(SUMIFS(Sheet1!$I:$I,Sheet1!$C:$C,$C13,Sheet1!$B:$B,J$1,Sheet1!$A:$A,$A13)*100,2),"0.00")</f>
        <v>60.7004 ± 16.70</v>
      </c>
      <c r="K13" s="19" t="str">
        <f>TEXT(ROUND(SUMIFS(Sheet1!$J:$J,Sheet1!$C:$C,$C13,Sheet1!$B:$B,K$1,Sheet1!$A:$A,$A13)*100,4),"0.0000") &amp; " ± " &amp; TEXT(ROUND(SUMIFS(Sheet1!$K:$K,Sheet1!$C:$C,$C13,Sheet1!$B:$B,K$1,Sheet1!$A:$A,$A13)*100,2),"0.00")</f>
        <v>86.4729 ± 17.54</v>
      </c>
      <c r="L13" s="13" t="str">
        <f>TEXT(ROUND(SUMIFS(Sheet1!$D:$D,Sheet1!$C:$C,$C13,Sheet1!$B:$B,L$1,Sheet1!$A:$A,$A13)*100,4),"0.0000") &amp; " ± " &amp; TEXT(ROUND(SUMIFS(Sheet1!$E:$E,Sheet1!$C:$C,$C13,Sheet1!$B:$B,L$1,Sheet1!$A:$A,$A13)*100,2),"0.00")</f>
        <v>58.6074 ± 12.60</v>
      </c>
      <c r="M13" s="7" t="str">
        <f>TEXT(ROUND(SUMIFS(Sheet1!$F:$F,Sheet1!$C:$C,$C13,Sheet1!$B:$B,M$1,Sheet1!$A:$A,$A13)*100,4),"0.0000") &amp; " ± " &amp; TEXT(ROUND(SUMIFS(Sheet1!$G:$G,Sheet1!$C:$C,$C13,Sheet1!$B:$B,M$1,Sheet1!$A:$A,$A13)*100,2),"0.00")</f>
        <v>68.2018 ± 12.64</v>
      </c>
      <c r="N13" s="7" t="str">
        <f>TEXT(ROUND(SUMIFS(Sheet1!$H:$H,Sheet1!$C:$C,$C13,Sheet1!$B:$B,N$1,Sheet1!$A:$A,$A13)*100,4),"0.0000") &amp; " ± " &amp; TEXT(ROUND(SUMIFS(Sheet1!$I:$I,Sheet1!$C:$C,$C13,Sheet1!$B:$B,N$1,Sheet1!$A:$A,$A13)*100,2),"0.00")</f>
        <v>59.6862 ± 16.27</v>
      </c>
      <c r="O13" s="19" t="str">
        <f>TEXT(ROUND(SUMIFS(Sheet1!$J:$J,Sheet1!$C:$C,$C13,Sheet1!$B:$B,O$1,Sheet1!$A:$A,$A13)*100,4),"0.0000") &amp; " ± " &amp; TEXT(ROUND(SUMIFS(Sheet1!$K:$K,Sheet1!$C:$C,$C13,Sheet1!$B:$B,O$1,Sheet1!$A:$A,$A13)*100,2),"0.00")</f>
        <v>84.9280 ± 18.34</v>
      </c>
    </row>
    <row r="14" spans="1:15" ht="15" thickBot="1" x14ac:dyDescent="0.35">
      <c r="A14" s="26" t="s">
        <v>16</v>
      </c>
      <c r="B14" s="35"/>
      <c r="C14" s="21" t="s">
        <v>14</v>
      </c>
      <c r="D14" s="15" t="str">
        <f>TEXT(ROUND(SUMIFS(Sheet1!$D:$D,Sheet1!$C:$C,$C14,Sheet1!$B:$B,D$1,Sheet1!$A:$A,$A14)*100,4),"0.0000") &amp; " ± " &amp; TEXT(ROUND(SUMIFS(Sheet1!$E:$E,Sheet1!$C:$C,$C14,Sheet1!$B:$B,D$1,Sheet1!$A:$A,$A14)*100,2),"0.00")</f>
        <v>48.5640 ± 18.99</v>
      </c>
      <c r="E14" s="16" t="str">
        <f>TEXT(ROUND(SUMIFS(Sheet1!$F:$F,Sheet1!$C:$C,$C14,Sheet1!$B:$B,E$1,Sheet1!$A:$A,$A14)*100,4),"0.0000") &amp; " ± " &amp; TEXT(ROUND(SUMIFS(Sheet1!$G:$G,Sheet1!$C:$C,$C14,Sheet1!$B:$B,E$1,Sheet1!$A:$A,$A14)*100,2),"0.00")</f>
        <v>52.8251 ± 20.35</v>
      </c>
      <c r="F14" s="16" t="str">
        <f>TEXT(ROUND(SUMIFS(Sheet1!$H:$H,Sheet1!$C:$C,$C14,Sheet1!$B:$B,F$1,Sheet1!$A:$A,$A14)*100,4),"0.0000") &amp; " ± " &amp; TEXT(ROUND(SUMIFS(Sheet1!$I:$I,Sheet1!$C:$C,$C14,Sheet1!$B:$B,F$1,Sheet1!$A:$A,$A14)*100,2),"0.00")</f>
        <v>54.5155 ± 22.31</v>
      </c>
      <c r="G14" s="17" t="str">
        <f>TEXT(ROUND(SUMIFS(Sheet1!$J:$J,Sheet1!$C:$C,$C14,Sheet1!$B:$B,G$1,Sheet1!$A:$A,$A14)*100,4),"0.0000") &amp; " ± " &amp; TEXT(ROUND(SUMIFS(Sheet1!$K:$K,Sheet1!$C:$C,$C14,Sheet1!$B:$B,G$1,Sheet1!$A:$A,$A14)*100,2),"0.00")</f>
        <v>57.2259 ± 27.10</v>
      </c>
      <c r="H14" s="15" t="str">
        <f>TEXT(ROUND(SUMIFS(Sheet1!$D:$D,Sheet1!$C:$C,$C14,Sheet1!$B:$B,H$1,Sheet1!$A:$A,$A14)*100,4),"0.0000") &amp; " ± " &amp; TEXT(ROUND(SUMIFS(Sheet1!$E:$E,Sheet1!$C:$C,$C14,Sheet1!$B:$B,H$1,Sheet1!$A:$A,$A14)*100,2),"0.00")</f>
        <v>53.3684 ± 18.85</v>
      </c>
      <c r="I14" s="16" t="str">
        <f>TEXT(ROUND(SUMIFS(Sheet1!$F:$F,Sheet1!$C:$C,$C14,Sheet1!$B:$B,I$1,Sheet1!$A:$A,$A14)*100,4),"0.0000") &amp; " ± " &amp; TEXT(ROUND(SUMIFS(Sheet1!$G:$G,Sheet1!$C:$C,$C14,Sheet1!$B:$B,I$1,Sheet1!$A:$A,$A14)*100,2),"0.00")</f>
        <v>54.8034 ± 22.75</v>
      </c>
      <c r="J14" s="16" t="str">
        <f>TEXT(ROUND(SUMIFS(Sheet1!$H:$H,Sheet1!$C:$C,$C14,Sheet1!$B:$B,J$1,Sheet1!$A:$A,$A14)*100,4),"0.0000") &amp; " ± " &amp; TEXT(ROUND(SUMIFS(Sheet1!$I:$I,Sheet1!$C:$C,$C14,Sheet1!$B:$B,J$1,Sheet1!$A:$A,$A14)*100,2),"0.00")</f>
        <v>54.9723 ± 23.87</v>
      </c>
      <c r="K14" s="17" t="str">
        <f>TEXT(ROUND(SUMIFS(Sheet1!$J:$J,Sheet1!$C:$C,$C14,Sheet1!$B:$B,K$1,Sheet1!$A:$A,$A14)*100,4),"0.0000") &amp; " ± " &amp; TEXT(ROUND(SUMIFS(Sheet1!$K:$K,Sheet1!$C:$C,$C14,Sheet1!$B:$B,K$1,Sheet1!$A:$A,$A14)*100,2),"0.00")</f>
        <v>57.6800 ± 26.29</v>
      </c>
      <c r="L14" s="15" t="str">
        <f>TEXT(ROUND(SUMIFS(Sheet1!$D:$D,Sheet1!$C:$C,$C14,Sheet1!$B:$B,L$1,Sheet1!$A:$A,$A14)*100,4),"0.0000") &amp; " ± " &amp; TEXT(ROUND(SUMIFS(Sheet1!$E:$E,Sheet1!$C:$C,$C14,Sheet1!$B:$B,L$1,Sheet1!$A:$A,$A14)*100,2),"0.00")</f>
        <v>54.2128 ± 17.54</v>
      </c>
      <c r="M14" s="16" t="str">
        <f>TEXT(ROUND(SUMIFS(Sheet1!$F:$F,Sheet1!$C:$C,$C14,Sheet1!$B:$B,M$1,Sheet1!$A:$A,$A14)*100,4),"0.0000") &amp; " ± " &amp; TEXT(ROUND(SUMIFS(Sheet1!$G:$G,Sheet1!$C:$C,$C14,Sheet1!$B:$B,M$1,Sheet1!$A:$A,$A14)*100,2),"0.00")</f>
        <v>57.9955 ± 18.01</v>
      </c>
      <c r="N14" s="16" t="str">
        <f>TEXT(ROUND(SUMIFS(Sheet1!$H:$H,Sheet1!$C:$C,$C14,Sheet1!$B:$B,N$1,Sheet1!$A:$A,$A14)*100,4),"0.0000") &amp; " ± " &amp; TEXT(ROUND(SUMIFS(Sheet1!$I:$I,Sheet1!$C:$C,$C14,Sheet1!$B:$B,N$1,Sheet1!$A:$A,$A14)*100,2),"0.00")</f>
        <v>59.4869 ± 21.11</v>
      </c>
      <c r="O14" s="17" t="str">
        <f>TEXT(ROUND(SUMIFS(Sheet1!$J:$J,Sheet1!$C:$C,$C14,Sheet1!$B:$B,O$1,Sheet1!$A:$A,$A14)*100,4),"0.0000") &amp; " ± " &amp; TEXT(ROUND(SUMIFS(Sheet1!$K:$K,Sheet1!$C:$C,$C14,Sheet1!$B:$B,O$1,Sheet1!$A:$A,$A14)*100,2),"0.00")</f>
        <v>62.4806 ± 25.22</v>
      </c>
    </row>
  </sheetData>
  <mergeCells count="10">
    <mergeCell ref="D2:G2"/>
    <mergeCell ref="H2:K2"/>
    <mergeCell ref="L2:O2"/>
    <mergeCell ref="B4:B7"/>
    <mergeCell ref="B11:B14"/>
    <mergeCell ref="B2:B3"/>
    <mergeCell ref="B9:B10"/>
    <mergeCell ref="D9:G9"/>
    <mergeCell ref="H9:K9"/>
    <mergeCell ref="L9:O9"/>
  </mergeCells>
  <conditionalFormatting sqref="D4:O7 D11:G1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1:K14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1:O1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Hanifi</dc:creator>
  <cp:lastModifiedBy>Nikoo Amjadi</cp:lastModifiedBy>
  <dcterms:created xsi:type="dcterms:W3CDTF">2026-06-07T13:23:22Z</dcterms:created>
  <dcterms:modified xsi:type="dcterms:W3CDTF">2026-06-11T19:30:47Z</dcterms:modified>
</cp:coreProperties>
</file>