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IKOO BHI\"/>
    </mc:Choice>
  </mc:AlternateContent>
  <xr:revisionPtr revIDLastSave="0" documentId="13_ncr:1_{3101E7D9-FB55-4677-9697-42493467CBBB}" xr6:coauthVersionLast="47" xr6:coauthVersionMax="47" xr10:uidLastSave="{00000000-0000-0000-0000-000000000000}"/>
  <bookViews>
    <workbookView xWindow="-120" yWindow="-120" windowWidth="26640" windowHeight="14490" activeTab="1" xr2:uid="{A5FF6E23-3576-4FDC-B007-30627E43C8F7}"/>
  </bookViews>
  <sheets>
    <sheet name="DATA" sheetId="1" r:id="rId1"/>
    <sheet name="Results" sheetId="2" r:id="rId2"/>
  </sheets>
  <definedNames>
    <definedName name="_xlnm._FilterDatabase" localSheetId="0" hidden="1">DATA!$A$1:$AZ$81</definedName>
    <definedName name="InputMode">Results!$CB$2:$CC$3</definedName>
    <definedName name="Target">Results!$CD$2:$CE$3</definedName>
    <definedName name="Win">Results!$BZ$2:$CA$10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D4" i="2"/>
  <c r="AM20" i="2" s="1"/>
  <c r="D2" i="2"/>
  <c r="AI14" i="2" l="1"/>
  <c r="AA19" i="2"/>
  <c r="AY14" i="2"/>
  <c r="M20" i="2"/>
  <c r="AQ15" i="2"/>
  <c r="O16" i="2"/>
  <c r="AI18" i="2"/>
  <c r="Q14" i="2"/>
  <c r="AK16" i="2"/>
  <c r="I18" i="2"/>
  <c r="AC19" i="2"/>
  <c r="AG18" i="2"/>
  <c r="G18" i="2"/>
  <c r="AC15" i="2"/>
  <c r="C20" i="2"/>
  <c r="W17" i="2"/>
  <c r="AQ19" i="2"/>
  <c r="O20" i="2"/>
  <c r="AS15" i="2"/>
  <c r="Q18" i="2"/>
  <c r="AK20" i="2"/>
  <c r="S14" i="2"/>
  <c r="AM16" i="2"/>
  <c r="M16" i="2"/>
  <c r="E16" i="2"/>
  <c r="G14" i="2"/>
  <c r="C16" i="2"/>
  <c r="AG14" i="2"/>
  <c r="E20" i="2"/>
  <c r="Y17" i="2"/>
  <c r="AS19" i="2"/>
  <c r="AA15" i="2"/>
  <c r="AU17" i="2"/>
  <c r="S18" i="2"/>
  <c r="I14" i="2"/>
  <c r="U14" i="2"/>
  <c r="AE15" i="2"/>
  <c r="AO16" i="2"/>
  <c r="AO20" i="2"/>
  <c r="C19" i="2"/>
  <c r="C15" i="2"/>
  <c r="M17" i="2"/>
  <c r="W14" i="2"/>
  <c r="W18" i="2"/>
  <c r="AG15" i="2"/>
  <c r="AG19" i="2"/>
  <c r="AQ16" i="2"/>
  <c r="AQ20" i="2"/>
  <c r="E19" i="2"/>
  <c r="E15" i="2"/>
  <c r="O17" i="2"/>
  <c r="Y14" i="2"/>
  <c r="Y18" i="2"/>
  <c r="AI15" i="2"/>
  <c r="AI19" i="2"/>
  <c r="AS16" i="2"/>
  <c r="AS20" i="2"/>
  <c r="G17" i="2"/>
  <c r="Q15" i="2"/>
  <c r="Q19" i="2"/>
  <c r="AA16" i="2"/>
  <c r="AA20" i="2"/>
  <c r="AK17" i="2"/>
  <c r="AU14" i="2"/>
  <c r="AU18" i="2"/>
  <c r="J14" i="2"/>
  <c r="I17" i="2"/>
  <c r="S15" i="2"/>
  <c r="S19" i="2"/>
  <c r="AC16" i="2"/>
  <c r="AC20" i="2"/>
  <c r="AM17" i="2"/>
  <c r="AW14" i="2"/>
  <c r="AW18" i="2"/>
  <c r="K14" i="2"/>
  <c r="K17" i="2"/>
  <c r="U15" i="2"/>
  <c r="U19" i="2"/>
  <c r="AE16" i="2"/>
  <c r="AE20" i="2"/>
  <c r="AO17" i="2"/>
  <c r="AY15" i="2"/>
  <c r="AY19" i="2"/>
  <c r="AW17" i="2"/>
  <c r="K18" i="2"/>
  <c r="U18" i="2"/>
  <c r="AE19" i="2"/>
  <c r="AY18" i="2"/>
  <c r="C18" i="2"/>
  <c r="M14" i="2"/>
  <c r="M18" i="2"/>
  <c r="W15" i="2"/>
  <c r="W19" i="2"/>
  <c r="AG16" i="2"/>
  <c r="AG20" i="2"/>
  <c r="AQ17" i="2"/>
  <c r="C14" i="2"/>
  <c r="E18" i="2"/>
  <c r="O14" i="2"/>
  <c r="O18" i="2"/>
  <c r="Y15" i="2"/>
  <c r="Y19" i="2"/>
  <c r="AI16" i="2"/>
  <c r="AI20" i="2"/>
  <c r="AS17" i="2"/>
  <c r="G20" i="2"/>
  <c r="G16" i="2"/>
  <c r="Q16" i="2"/>
  <c r="Q20" i="2"/>
  <c r="AA17" i="2"/>
  <c r="AK14" i="2"/>
  <c r="AK18" i="2"/>
  <c r="AU15" i="2"/>
  <c r="AU19" i="2"/>
  <c r="I20" i="2"/>
  <c r="I16" i="2"/>
  <c r="S16" i="2"/>
  <c r="S20" i="2"/>
  <c r="AC17" i="2"/>
  <c r="AM14" i="2"/>
  <c r="AM18" i="2"/>
  <c r="AW15" i="2"/>
  <c r="AW19" i="2"/>
  <c r="K20" i="2"/>
  <c r="K16" i="2"/>
  <c r="U16" i="2"/>
  <c r="U20" i="2"/>
  <c r="AE17" i="2"/>
  <c r="AO14" i="2"/>
  <c r="AO18" i="2"/>
  <c r="AY16" i="2"/>
  <c r="AY20" i="2"/>
  <c r="C17" i="2"/>
  <c r="M15" i="2"/>
  <c r="M19" i="2"/>
  <c r="W16" i="2"/>
  <c r="W20" i="2"/>
  <c r="AG17" i="2"/>
  <c r="AQ14" i="2"/>
  <c r="AQ18" i="2"/>
  <c r="E14" i="2"/>
  <c r="E17" i="2"/>
  <c r="O15" i="2"/>
  <c r="O19" i="2"/>
  <c r="Y16" i="2"/>
  <c r="Y20" i="2"/>
  <c r="AI17" i="2"/>
  <c r="AS14" i="2"/>
  <c r="AS18" i="2"/>
  <c r="G19" i="2"/>
  <c r="G15" i="2"/>
  <c r="Q17" i="2"/>
  <c r="AA14" i="2"/>
  <c r="AA18" i="2"/>
  <c r="AK15" i="2"/>
  <c r="AK19" i="2"/>
  <c r="AU16" i="2"/>
  <c r="AU20" i="2"/>
  <c r="I19" i="2"/>
  <c r="I15" i="2"/>
  <c r="S17" i="2"/>
  <c r="AC14" i="2"/>
  <c r="AC18" i="2"/>
  <c r="AM15" i="2"/>
  <c r="AM19" i="2"/>
  <c r="AW16" i="2"/>
  <c r="AW20" i="2"/>
  <c r="K19" i="2"/>
  <c r="K15" i="2"/>
  <c r="U17" i="2"/>
  <c r="AE14" i="2"/>
  <c r="AE18" i="2"/>
  <c r="AO15" i="2"/>
  <c r="AO19" i="2"/>
  <c r="AY17" i="2"/>
  <c r="D14" i="2" l="1"/>
  <c r="AV19" i="2"/>
  <c r="AV15" i="2"/>
  <c r="AL18" i="2"/>
  <c r="AL14" i="2"/>
  <c r="AB17" i="2"/>
  <c r="R20" i="2"/>
  <c r="R16" i="2"/>
  <c r="H16" i="2"/>
  <c r="H20" i="2"/>
  <c r="AB14" i="2"/>
  <c r="AV18" i="2"/>
  <c r="AV14" i="2"/>
  <c r="AL17" i="2"/>
  <c r="AB20" i="2"/>
  <c r="AB16" i="2"/>
  <c r="R19" i="2"/>
  <c r="R15" i="2"/>
  <c r="H17" i="2"/>
  <c r="AV20" i="2"/>
  <c r="AV16" i="2"/>
  <c r="AL19" i="2"/>
  <c r="AL15" i="2"/>
  <c r="AB18" i="2"/>
  <c r="R17" i="2"/>
  <c r="H19" i="2"/>
  <c r="H14" i="2"/>
  <c r="AV17" i="2"/>
  <c r="AL20" i="2"/>
  <c r="AL16" i="2"/>
  <c r="AB19" i="2"/>
  <c r="AB15" i="2"/>
  <c r="R18" i="2"/>
  <c r="R14" i="2"/>
  <c r="H18" i="2"/>
  <c r="H15" i="2"/>
  <c r="AZ20" i="2"/>
  <c r="AZ16" i="2"/>
  <c r="AP19" i="2"/>
  <c r="AP15" i="2"/>
  <c r="AF18" i="2"/>
  <c r="AF14" i="2"/>
  <c r="V17" i="2"/>
  <c r="L15" i="2"/>
  <c r="L19" i="2"/>
  <c r="AP16" i="2"/>
  <c r="V18" i="2"/>
  <c r="AZ19" i="2"/>
  <c r="AZ15" i="2"/>
  <c r="AP18" i="2"/>
  <c r="AP14" i="2"/>
  <c r="AF17" i="2"/>
  <c r="V20" i="2"/>
  <c r="V16" i="2"/>
  <c r="L16" i="2"/>
  <c r="L20" i="2"/>
  <c r="AP20" i="2"/>
  <c r="AF19" i="2"/>
  <c r="V14" i="2"/>
  <c r="AZ18" i="2"/>
  <c r="AZ14" i="2"/>
  <c r="AP17" i="2"/>
  <c r="AF20" i="2"/>
  <c r="AF16" i="2"/>
  <c r="V19" i="2"/>
  <c r="V15" i="2"/>
  <c r="L17" i="2"/>
  <c r="L14" i="2"/>
  <c r="AZ17" i="2"/>
  <c r="AF15" i="2"/>
  <c r="L18" i="2"/>
  <c r="AX20" i="2"/>
  <c r="AX16" i="2"/>
  <c r="AX19" i="2"/>
  <c r="AX15" i="2"/>
  <c r="AX17" i="2"/>
  <c r="AX18" i="2"/>
  <c r="AX14" i="2"/>
  <c r="AR20" i="2"/>
  <c r="AR16" i="2"/>
  <c r="AH19" i="2"/>
  <c r="AH15" i="2"/>
  <c r="X18" i="2"/>
  <c r="X14" i="2"/>
  <c r="N18" i="2"/>
  <c r="D20" i="2"/>
  <c r="D18" i="2"/>
  <c r="AR17" i="2"/>
  <c r="X19" i="2"/>
  <c r="N15" i="2"/>
  <c r="AR19" i="2"/>
  <c r="AR15" i="2"/>
  <c r="AH18" i="2"/>
  <c r="AH14" i="2"/>
  <c r="X17" i="2"/>
  <c r="N14" i="2"/>
  <c r="N17" i="2"/>
  <c r="D15" i="2"/>
  <c r="D19" i="2"/>
  <c r="AH16" i="2"/>
  <c r="N19" i="2"/>
  <c r="AR18" i="2"/>
  <c r="AR14" i="2"/>
  <c r="AH17" i="2"/>
  <c r="X20" i="2"/>
  <c r="X16" i="2"/>
  <c r="N20" i="2"/>
  <c r="N16" i="2"/>
  <c r="D16" i="2"/>
  <c r="AH20" i="2"/>
  <c r="X15" i="2"/>
  <c r="D17" i="2"/>
  <c r="AT19" i="2"/>
  <c r="AT15" i="2"/>
  <c r="AJ18" i="2"/>
  <c r="AJ14" i="2"/>
  <c r="Z17" i="2"/>
  <c r="P20" i="2"/>
  <c r="P16" i="2"/>
  <c r="F16" i="2"/>
  <c r="AT20" i="2"/>
  <c r="AJ15" i="2"/>
  <c r="P17" i="2"/>
  <c r="F14" i="2"/>
  <c r="AT18" i="2"/>
  <c r="AT14" i="2"/>
  <c r="AJ17" i="2"/>
  <c r="Z20" i="2"/>
  <c r="Z16" i="2"/>
  <c r="P19" i="2"/>
  <c r="P15" i="2"/>
  <c r="F18" i="2"/>
  <c r="AJ19" i="2"/>
  <c r="Z14" i="2"/>
  <c r="F20" i="2"/>
  <c r="F17" i="2"/>
  <c r="AT17" i="2"/>
  <c r="AJ20" i="2"/>
  <c r="AJ16" i="2"/>
  <c r="Z19" i="2"/>
  <c r="Z15" i="2"/>
  <c r="P18" i="2"/>
  <c r="P14" i="2"/>
  <c r="F19" i="2"/>
  <c r="AT16" i="2"/>
  <c r="Z18" i="2"/>
  <c r="F15" i="2"/>
  <c r="J19" i="2"/>
  <c r="AN19" i="2"/>
  <c r="AD19" i="2"/>
  <c r="T19" i="2"/>
  <c r="AD17" i="2"/>
  <c r="T17" i="2"/>
  <c r="J17" i="2"/>
  <c r="AN17" i="2"/>
  <c r="AN18" i="2"/>
  <c r="AD18" i="2"/>
  <c r="J18" i="2"/>
  <c r="T18" i="2"/>
  <c r="J15" i="2"/>
  <c r="AN15" i="2"/>
  <c r="AD15" i="2"/>
  <c r="T15" i="2"/>
  <c r="J16" i="2"/>
  <c r="AN16" i="2"/>
  <c r="AD16" i="2"/>
  <c r="T16" i="2"/>
  <c r="AD14" i="2"/>
  <c r="T14" i="2"/>
  <c r="AN14" i="2"/>
  <c r="J20" i="2"/>
  <c r="T20" i="2"/>
  <c r="AN20" i="2"/>
  <c r="AD20" i="2"/>
</calcChain>
</file>

<file path=xl/sharedStrings.xml><?xml version="1.0" encoding="utf-8"?>
<sst xmlns="http://schemas.openxmlformats.org/spreadsheetml/2006/main" count="1330" uniqueCount="231">
  <si>
    <t>experiment_id</t>
  </si>
  <si>
    <t>input_id</t>
  </si>
  <si>
    <t>window_sec</t>
  </si>
  <si>
    <t>overlap_sec</t>
  </si>
  <si>
    <t>target</t>
  </si>
  <si>
    <t>input_mode</t>
  </si>
  <si>
    <t>representation</t>
  </si>
  <si>
    <t>model</t>
  </si>
  <si>
    <t>feature_count_before_aggregation</t>
  </si>
  <si>
    <t>input_feature_count</t>
  </si>
  <si>
    <t>subjects_total</t>
  </si>
  <si>
    <t>outer_folds_run</t>
  </si>
  <si>
    <t>complete_loso</t>
  </si>
  <si>
    <t>quick_grid</t>
  </si>
  <si>
    <t>experiment_seconds</t>
  </si>
  <si>
    <t>n_samples</t>
  </si>
  <si>
    <t>n_low</t>
  </si>
  <si>
    <t>n_high</t>
  </si>
  <si>
    <t>fold_has_both_classes</t>
  </si>
  <si>
    <t>accuracy</t>
  </si>
  <si>
    <t>balanced_accuracy_fixed</t>
  </si>
  <si>
    <t>macro_precision_fixed</t>
  </si>
  <si>
    <t>macro_recall_fixed</t>
  </si>
  <si>
    <t>macro_f1_fixed</t>
  </si>
  <si>
    <t>low_precision</t>
  </si>
  <si>
    <t>low_recall</t>
  </si>
  <si>
    <t>low_f1</t>
  </si>
  <si>
    <t>low_support</t>
  </si>
  <si>
    <t>high_precision</t>
  </si>
  <si>
    <t>high_recall</t>
  </si>
  <si>
    <t>high_f1</t>
  </si>
  <si>
    <t>high_support</t>
  </si>
  <si>
    <t>mcc</t>
  </si>
  <si>
    <t>tn</t>
  </si>
  <si>
    <t>fp</t>
  </si>
  <si>
    <t>fn</t>
  </si>
  <si>
    <t>tp</t>
  </si>
  <si>
    <t>roc_auc</t>
  </si>
  <si>
    <t>average_precision</t>
  </si>
  <si>
    <t>bootstrap_repeats</t>
  </si>
  <si>
    <t>accuracy_ci_low</t>
  </si>
  <si>
    <t>accuracy_ci_high</t>
  </si>
  <si>
    <t>balanced_accuracy_fixed_ci_low</t>
  </si>
  <si>
    <t>balanced_accuracy_fixed_ci_high</t>
  </si>
  <si>
    <t>macro_f1_fixed_ci_low</t>
  </si>
  <si>
    <t>macro_f1_fixed_ci_high</t>
  </si>
  <si>
    <t>mcc_ci_low</t>
  </si>
  <si>
    <t>mcc_ci_high</t>
  </si>
  <si>
    <t>roc_auc_ci_low</t>
  </si>
  <si>
    <t>roc_auc_ci_high</t>
  </si>
  <si>
    <t>average_precision_ci_low</t>
  </si>
  <si>
    <t>average_precision_ci_high</t>
  </si>
  <si>
    <t>emognition_features_w60_o30__valence__windowed__hc__svm</t>
  </si>
  <si>
    <t>emognition_features_w60_o30</t>
  </si>
  <si>
    <t>valence</t>
  </si>
  <si>
    <t>windowed</t>
  </si>
  <si>
    <t>hc</t>
  </si>
  <si>
    <t>svm</t>
  </si>
  <si>
    <t>emognition_features_w60_o30__valence__windowed__hc__rf</t>
  </si>
  <si>
    <t>rf</t>
  </si>
  <si>
    <t>emognition_features_w60_o30__valence__windowed__hc__knn</t>
  </si>
  <si>
    <t>knn</t>
  </si>
  <si>
    <t>emognition_features_w60_o30__valence__windowed__hc__xgboost</t>
  </si>
  <si>
    <t>xgboost</t>
  </si>
  <si>
    <t>emognition_features_w60_o30__valence__windowed__nvg__svm</t>
  </si>
  <si>
    <t>nvg</t>
  </si>
  <si>
    <t>emognition_features_w60_o30__valence__windowed__nvg__rf</t>
  </si>
  <si>
    <t>emognition_features_w60_o30__valence__windowed__nvg__knn</t>
  </si>
  <si>
    <t>emognition_features_w60_o30__valence__windowed__nvg__xgboost</t>
  </si>
  <si>
    <t>emognition_features_w60_o30__valence__windowed__hvg__svm</t>
  </si>
  <si>
    <t>hvg</t>
  </si>
  <si>
    <t>emognition_features_w60_o30__valence__windowed__hvg__rf</t>
  </si>
  <si>
    <t>emognition_features_w60_o30__valence__windowed__hvg__knn</t>
  </si>
  <si>
    <t>emognition_features_w60_o30__valence__windowed__hvg__xgboost</t>
  </si>
  <si>
    <t>emognition_features_w60_o30__valence__windowed__hc+nvg__svm</t>
  </si>
  <si>
    <t>hc+nvg</t>
  </si>
  <si>
    <t>emognition_features_w60_o30__valence__windowed__hc+nvg__rf</t>
  </si>
  <si>
    <t>emognition_features_w60_o30__valence__windowed__hc+nvg__knn</t>
  </si>
  <si>
    <t>emognition_features_w60_o30__valence__windowed__hc+nvg__xgboost</t>
  </si>
  <si>
    <t>emognition_features_w60_o30__valence__windowed__hc+hvg__svm</t>
  </si>
  <si>
    <t>hc+hvg</t>
  </si>
  <si>
    <t>emognition_features_w60_o30__valence__windowed__hc+hvg__rf</t>
  </si>
  <si>
    <t>emognition_features_w60_o30__valence__windowed__hc+hvg__knn</t>
  </si>
  <si>
    <t>emognition_features_w60_o30__valence__windowed__hc+hvg__xgboost</t>
  </si>
  <si>
    <t>emognition_features_w60_o30__valence__aggregated__hc__svm</t>
  </si>
  <si>
    <t>aggregated</t>
  </si>
  <si>
    <t>emognition_features_w60_o30__valence__aggregated__hc__rf</t>
  </si>
  <si>
    <t>emognition_features_w60_o30__valence__aggregated__hc__knn</t>
  </si>
  <si>
    <t>emognition_features_w60_o30__valence__aggregated__hc__xgboost</t>
  </si>
  <si>
    <t>emognition_features_w60_o30__valence__aggregated__nvg__svm</t>
  </si>
  <si>
    <t>emognition_features_w60_o30__valence__aggregated__nvg__rf</t>
  </si>
  <si>
    <t>emognition_features_w60_o30__valence__aggregated__nvg__knn</t>
  </si>
  <si>
    <t>emognition_features_w60_o30__valence__aggregated__nvg__xgboost</t>
  </si>
  <si>
    <t>emognition_features_w60_o30__valence__aggregated__hvg__svm</t>
  </si>
  <si>
    <t>emognition_features_w60_o30__valence__aggregated__hvg__rf</t>
  </si>
  <si>
    <t>emognition_features_w60_o30__valence__aggregated__hvg__knn</t>
  </si>
  <si>
    <t>emognition_features_w60_o30__valence__aggregated__hvg__xgboost</t>
  </si>
  <si>
    <t>emognition_features_w60_o30__valence__aggregated__hc+nvg__svm</t>
  </si>
  <si>
    <t>emognition_features_w60_o30__valence__aggregated__hc+nvg__rf</t>
  </si>
  <si>
    <t>emognition_features_w60_o30__valence__aggregated__hc+nvg__knn</t>
  </si>
  <si>
    <t>emognition_features_w60_o30__valence__aggregated__hc+nvg__xgboost</t>
  </si>
  <si>
    <t>emognition_features_w60_o30__valence__aggregated__hc+hvg__svm</t>
  </si>
  <si>
    <t>emognition_features_w60_o30__valence__aggregated__hc+hvg__rf</t>
  </si>
  <si>
    <t>emognition_features_w60_o30__valence__aggregated__hc+hvg__knn</t>
  </si>
  <si>
    <t>emognition_features_w60_o30__valence__aggregated__hc+hvg__xgboost</t>
  </si>
  <si>
    <t>emognition_features_w60_o30__arousal__windowed__hc__svm</t>
  </si>
  <si>
    <t>arousal</t>
  </si>
  <si>
    <t>emognition_features_w60_o30__arousal__windowed__hc__rf</t>
  </si>
  <si>
    <t>emognition_features_w60_o30__arousal__windowed__hc__knn</t>
  </si>
  <si>
    <t>emognition_features_w60_o30__arousal__windowed__hc__xgboost</t>
  </si>
  <si>
    <t>emognition_features_w60_o30__arousal__windowed__nvg__svm</t>
  </si>
  <si>
    <t>emognition_features_w60_o30__arousal__windowed__nvg__rf</t>
  </si>
  <si>
    <t>emognition_features_w60_o30__arousal__windowed__nvg__knn</t>
  </si>
  <si>
    <t>emognition_features_w60_o30__arousal__windowed__nvg__xgboost</t>
  </si>
  <si>
    <t>emognition_features_w60_o30__arousal__windowed__hvg__svm</t>
  </si>
  <si>
    <t>emognition_features_w60_o30__arousal__windowed__hvg__rf</t>
  </si>
  <si>
    <t>emognition_features_w60_o30__arousal__windowed__hvg__knn</t>
  </si>
  <si>
    <t>emognition_features_w60_o30__arousal__windowed__hvg__xgboost</t>
  </si>
  <si>
    <t>emognition_features_w60_o30__arousal__windowed__hc+nvg__svm</t>
  </si>
  <si>
    <t>emognition_features_w60_o30__arousal__windowed__hc+nvg__rf</t>
  </si>
  <si>
    <t>emognition_features_w60_o30__arousal__windowed__hc+nvg__knn</t>
  </si>
  <si>
    <t>emognition_features_w60_o30__arousal__windowed__hc+nvg__xgboost</t>
  </si>
  <si>
    <t>emognition_features_w60_o30__arousal__windowed__hc+hvg__svm</t>
  </si>
  <si>
    <t>emognition_features_w60_o30__arousal__windowed__hc+hvg__rf</t>
  </si>
  <si>
    <t>emognition_features_w60_o30__arousal__windowed__hc+hvg__knn</t>
  </si>
  <si>
    <t>emognition_features_w60_o30__arousal__windowed__hc+hvg__xgboost</t>
  </si>
  <si>
    <t>emognition_features_w60_o30__arousal__aggregated__hc__svm</t>
  </si>
  <si>
    <t>emognition_features_w60_o30__arousal__aggregated__hc__rf</t>
  </si>
  <si>
    <t>emognition_features_w60_o30__arousal__aggregated__hc__knn</t>
  </si>
  <si>
    <t>emognition_features_w60_o30__arousal__aggregated__hc__xgboost</t>
  </si>
  <si>
    <t>emognition_features_w60_o30__arousal__aggregated__nvg__svm</t>
  </si>
  <si>
    <t>emognition_features_w60_o30__arousal__aggregated__nvg__rf</t>
  </si>
  <si>
    <t>emognition_features_w60_o30__arousal__aggregated__nvg__knn</t>
  </si>
  <si>
    <t>emognition_features_w60_o30__arousal__aggregated__nvg__xgboost</t>
  </si>
  <si>
    <t>emognition_features_w60_o30__arousal__aggregated__hvg__svm</t>
  </si>
  <si>
    <t>emognition_features_w60_o30__arousal__aggregated__hvg__rf</t>
  </si>
  <si>
    <t>emognition_features_w60_o30__arousal__aggregated__hvg__knn</t>
  </si>
  <si>
    <t>emognition_features_w60_o30__arousal__aggregated__hvg__xgboost</t>
  </si>
  <si>
    <t>emognition_features_w60_o30__arousal__aggregated__hc+nvg__svm</t>
  </si>
  <si>
    <t>emognition_features_w60_o30__arousal__aggregated__hc+nvg__rf</t>
  </si>
  <si>
    <t>emognition_features_w60_o30__arousal__aggregated__hc+nvg__knn</t>
  </si>
  <si>
    <t>emognition_features_w60_o30__arousal__aggregated__hc+nvg__xgboost</t>
  </si>
  <si>
    <t>emognition_features_w60_o30__arousal__aggregated__hc+hvg__svm</t>
  </si>
  <si>
    <t>emognition_features_w60_o30__arousal__aggregated__hc+hvg__rf</t>
  </si>
  <si>
    <t>emognition_features_w60_o30__arousal__aggregated__hc+hvg__knn</t>
  </si>
  <si>
    <t>emognition_features_w60_o30__arousal__aggregated__hc+hvg__xgboost</t>
  </si>
  <si>
    <t>Window / Overlap</t>
  </si>
  <si>
    <t>Input Mode</t>
  </si>
  <si>
    <t>KNN</t>
  </si>
  <si>
    <t>SVM</t>
  </si>
  <si>
    <t>XGBoost</t>
  </si>
  <si>
    <t>MLP</t>
  </si>
  <si>
    <t>GCN</t>
  </si>
  <si>
    <t>GAT</t>
  </si>
  <si>
    <t>Accuracy</t>
  </si>
  <si>
    <t>Balanced Accuracy</t>
  </si>
  <si>
    <t>Precision</t>
  </si>
  <si>
    <t>Recall</t>
  </si>
  <si>
    <t>F1</t>
  </si>
  <si>
    <t>60/30</t>
  </si>
  <si>
    <t>Win</t>
  </si>
  <si>
    <t>60/15</t>
  </si>
  <si>
    <t>60/0</t>
  </si>
  <si>
    <t>45/22.5</t>
  </si>
  <si>
    <t>45/11.25</t>
  </si>
  <si>
    <t>45/0</t>
  </si>
  <si>
    <t>30/15</t>
  </si>
  <si>
    <t>30/7.5</t>
  </si>
  <si>
    <t>30/0</t>
  </si>
  <si>
    <t>Mode</t>
  </si>
  <si>
    <t>HC</t>
  </si>
  <si>
    <t>NVG</t>
  </si>
  <si>
    <t>HVG</t>
  </si>
  <si>
    <t>RF</t>
  </si>
  <si>
    <t>#</t>
  </si>
  <si>
    <t>Target</t>
  </si>
  <si>
    <t>IsM</t>
  </si>
  <si>
    <t>HC+NVG</t>
  </si>
  <si>
    <t>HC+HVG</t>
  </si>
  <si>
    <t>Model</t>
  </si>
  <si>
    <t>emognition_features_w60_o30__valence__windowed__hc__mlp</t>
  </si>
  <si>
    <t>mlp</t>
  </si>
  <si>
    <t>NaN</t>
  </si>
  <si>
    <t>emognition_features_w60_o30__valence__windowed__nvg__mlp</t>
  </si>
  <si>
    <t>emognition_features_w60_o30__valence__windowed__hvg__mlp</t>
  </si>
  <si>
    <t>emognition_features_w60_o30__valence__windowed__hc+nvg__mlp</t>
  </si>
  <si>
    <t>emognition_features_w60_o30__valence__windowed__hc+hvg__mlp</t>
  </si>
  <si>
    <t>emognition_features_w60_o30__valence__aggregated__hc__mlp</t>
  </si>
  <si>
    <t>emognition_features_w60_o30__valence__aggregated__nvg__mlp</t>
  </si>
  <si>
    <t>emognition_features_w60_o30__valence__aggregated__hvg__mlp</t>
  </si>
  <si>
    <t>emognition_features_w60_o30__valence__aggregated__hc+nvg__mlp</t>
  </si>
  <si>
    <t>emognition_features_w60_o30__valence__aggregated__hc+hvg__mlp</t>
  </si>
  <si>
    <t>emognition_features_w60_o30__arousal__windowed__hc__mlp</t>
  </si>
  <si>
    <t>emognition_features_w60_o30__arousal__windowed__nvg__mlp</t>
  </si>
  <si>
    <t>emognition_features_w60_o30__arousal__windowed__hvg__mlp</t>
  </si>
  <si>
    <t>emognition_features_w60_o30__arousal__windowed__hc+nvg__mlp</t>
  </si>
  <si>
    <t>emognition_features_w60_o30__arousal__windowed__hc+hvg__mlp</t>
  </si>
  <si>
    <t>emognition_features_w60_o30__arousal__aggregated__hc__mlp</t>
  </si>
  <si>
    <t>emognition_features_w60_o30__arousal__aggregated__nvg__mlp</t>
  </si>
  <si>
    <t>emognition_features_w60_o30__arousal__aggregated__hvg__mlp</t>
  </si>
  <si>
    <t>emognition_features_w60_o30__arousal__aggregated__hc+nvg__mlp</t>
  </si>
  <si>
    <t>emognition_features_w60_o30__arousal__aggregated__hc+hvg__mlp</t>
  </si>
  <si>
    <t>emognition_features_w60_o30__valence__windowed__nvg__gcn</t>
  </si>
  <si>
    <t>gcn</t>
  </si>
  <si>
    <t>emognition_features_w60_o30__valence__windowed__nvg__gat</t>
  </si>
  <si>
    <t>gat</t>
  </si>
  <si>
    <t>emognition_features_w60_o30__valence__windowed__hvg__gcn</t>
  </si>
  <si>
    <t>emognition_features_w60_o30__valence__windowed__hvg__gat</t>
  </si>
  <si>
    <t>emognition_features_w60_o30__valence__aggregated__nvg__gcn</t>
  </si>
  <si>
    <t>emognition_features_w60_o30__valence__aggregated__nvg__gat</t>
  </si>
  <si>
    <t>emognition_features_w60_o30__valence__aggregated__hvg__gcn</t>
  </si>
  <si>
    <t>emognition_features_w60_o30__valence__aggregated__hvg__gat</t>
  </si>
  <si>
    <t>emognition_features_w60_o30__arousal__windowed__nvg__gcn</t>
  </si>
  <si>
    <t>emognition_features_w60_o30__arousal__windowed__nvg__gat</t>
  </si>
  <si>
    <t>emognition_features_w60_o30__arousal__windowed__hvg__gcn</t>
  </si>
  <si>
    <t>emognition_features_w60_o30__arousal__windowed__hvg__gat</t>
  </si>
  <si>
    <t>emognition_features_w60_o30__arousal__aggregated__nvg__gcn</t>
  </si>
  <si>
    <t>emognition_features_w60_o30__arousal__aggregated__nvg__gat</t>
  </si>
  <si>
    <t>emognition_features_w60_o30__arousal__aggregated__hvg__gcn</t>
  </si>
  <si>
    <t>emognition_features_w60_o30__arousal__aggregated__hvg__gat</t>
  </si>
  <si>
    <t>Type</t>
  </si>
  <si>
    <t>input/model</t>
  </si>
  <si>
    <t>Best Comparison</t>
  </si>
  <si>
    <t>Color Scale</t>
  </si>
  <si>
    <t>Color scale</t>
  </si>
  <si>
    <t>no</t>
  </si>
  <si>
    <t>balanced accuracy</t>
  </si>
  <si>
    <t>precision</t>
  </si>
  <si>
    <t>recall</t>
  </si>
  <si>
    <t>f1</t>
  </si>
  <si>
    <t>best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</si>
</sst>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10" fontId="0" fillId="0" borderId="5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/>
    <xf numFmtId="0" fontId="0" fillId="0" borderId="20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 tint="-0.34998626667073579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C2" fmlaRange="$CA$2:$CA$10" noThreeD="1" sel="1" val="0"/>
</file>

<file path=xl/ctrlProps/ctrlProp2.xml><?xml version="1.0" encoding="utf-8"?>
<formControlPr xmlns="http://schemas.microsoft.com/office/spreadsheetml/2009/9/main" objectType="Drop" dropLines="2" dropStyle="combo" dx="22" fmlaLink="C4" fmlaRange="$CC$2:$CC$3" noThreeD="1" sel="2" val="0"/>
</file>

<file path=xl/ctrlProps/ctrlProp3.xml><?xml version="1.0" encoding="utf-8"?>
<formControlPr xmlns="http://schemas.microsoft.com/office/spreadsheetml/2009/9/main" objectType="Drop" dropLines="2" dropStyle="combo" dx="22" fmlaLink="C6" fmlaRange="$CE$2:$CE$3" noThreeD="1" sel="2" val="0"/>
</file>

<file path=xl/ctrlProps/ctrlProp4.xml><?xml version="1.0" encoding="utf-8"?>
<formControlPr xmlns="http://schemas.microsoft.com/office/spreadsheetml/2009/9/main" objectType="Drop" dropLines="2" dropStyle="combo" dx="22" fmlaLink="$C$8" fmlaRange="$CG$2:$CG$3" noThreeD="1" sel="2" val="0"/>
</file>

<file path=xl/ctrlProps/ctrlProp5.xml><?xml version="1.0" encoding="utf-8"?>
<formControlPr xmlns="http://schemas.microsoft.com/office/spreadsheetml/2009/9/main" objectType="Drop" dropLines="10" dropStyle="combo" dx="22" fmlaLink="$C$10" fmlaRange="$CI$2:$CI$7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9525</xdr:colOff>
          <xdr:row>1</xdr:row>
          <xdr:rowOff>9525</xdr:rowOff>
        </xdr:from>
        <xdr:to>
          <xdr:col>6</xdr:col>
          <xdr:colOff>28575</xdr:colOff>
          <xdr:row>1</xdr:row>
          <xdr:rowOff>180975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9525</xdr:colOff>
          <xdr:row>3</xdr:row>
          <xdr:rowOff>9525</xdr:rowOff>
        </xdr:from>
        <xdr:to>
          <xdr:col>6</xdr:col>
          <xdr:colOff>28575</xdr:colOff>
          <xdr:row>3</xdr:row>
          <xdr:rowOff>180975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19050</xdr:colOff>
          <xdr:row>5</xdr:row>
          <xdr:rowOff>9525</xdr:rowOff>
        </xdr:from>
        <xdr:to>
          <xdr:col>6</xdr:col>
          <xdr:colOff>38100</xdr:colOff>
          <xdr:row>5</xdr:row>
          <xdr:rowOff>180975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19050</xdr:colOff>
          <xdr:row>7</xdr:row>
          <xdr:rowOff>9525</xdr:rowOff>
        </xdr:from>
        <xdr:to>
          <xdr:col>6</xdr:col>
          <xdr:colOff>38100</xdr:colOff>
          <xdr:row>7</xdr:row>
          <xdr:rowOff>180975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19050</xdr:colOff>
          <xdr:row>9</xdr:row>
          <xdr:rowOff>9525</xdr:rowOff>
        </xdr:from>
        <xdr:to>
          <xdr:col>6</xdr:col>
          <xdr:colOff>38100</xdr:colOff>
          <xdr:row>9</xdr:row>
          <xdr:rowOff>180975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070E-B702-4F8C-BFEE-B3EDE451ACAF}">
  <dimension ref="A1:AZ118"/>
  <sheetViews>
    <sheetView topLeftCell="A91" workbookViewId="0">
      <selection activeCell="E117" sqref="E117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>
        <v>60</v>
      </c>
      <c r="D2">
        <v>30</v>
      </c>
      <c r="E2" t="s">
        <v>54</v>
      </c>
      <c r="F2" t="s">
        <v>55</v>
      </c>
      <c r="G2" t="s">
        <v>56</v>
      </c>
      <c r="H2" t="s">
        <v>57</v>
      </c>
      <c r="I2">
        <v>29</v>
      </c>
      <c r="J2">
        <v>29</v>
      </c>
      <c r="K2">
        <v>42</v>
      </c>
      <c r="L2">
        <v>42</v>
      </c>
      <c r="M2" t="b">
        <v>1</v>
      </c>
      <c r="N2" t="b">
        <v>0</v>
      </c>
      <c r="O2">
        <v>38.537718599999998</v>
      </c>
      <c r="P2">
        <v>681</v>
      </c>
      <c r="Q2">
        <v>314</v>
      </c>
      <c r="R2">
        <v>367</v>
      </c>
      <c r="S2" t="b">
        <v>1</v>
      </c>
      <c r="T2">
        <v>0.51395007342099996</v>
      </c>
      <c r="U2">
        <v>0.51064319061399999</v>
      </c>
      <c r="V2">
        <v>0.51065872946900004</v>
      </c>
      <c r="W2">
        <v>0.51064319061399999</v>
      </c>
      <c r="X2">
        <v>0.51064097693400001</v>
      </c>
      <c r="Y2">
        <v>0.47266881028899999</v>
      </c>
      <c r="Z2">
        <v>0.46815286624199998</v>
      </c>
      <c r="AA2">
        <v>0.47039999999999998</v>
      </c>
      <c r="AB2">
        <v>314</v>
      </c>
      <c r="AC2">
        <v>0.54864864864899998</v>
      </c>
      <c r="AD2">
        <v>0.55313351498600005</v>
      </c>
      <c r="AE2">
        <v>0.55088195386700001</v>
      </c>
      <c r="AF2">
        <v>367</v>
      </c>
      <c r="AG2">
        <v>2.13019144158E-2</v>
      </c>
      <c r="AH2">
        <v>147</v>
      </c>
      <c r="AI2">
        <v>167</v>
      </c>
      <c r="AJ2">
        <v>164</v>
      </c>
      <c r="AK2">
        <v>203</v>
      </c>
      <c r="AL2">
        <v>0.51461323521799995</v>
      </c>
      <c r="AM2">
        <v>0.541013704368</v>
      </c>
      <c r="AN2">
        <v>1000</v>
      </c>
      <c r="AO2">
        <v>0.46482717079000002</v>
      </c>
      <c r="AP2">
        <v>0.56702872330800003</v>
      </c>
      <c r="AQ2">
        <v>0.46445562961999998</v>
      </c>
      <c r="AR2">
        <v>0.56106731869899995</v>
      </c>
      <c r="AS2">
        <v>0.462752595682</v>
      </c>
      <c r="AT2">
        <v>0.56049871251299999</v>
      </c>
      <c r="AU2">
        <v>-7.0929127348500001E-2</v>
      </c>
      <c r="AV2">
        <v>0.122008504368</v>
      </c>
      <c r="AW2">
        <v>0.45772892733600001</v>
      </c>
      <c r="AX2">
        <v>0.57343041726300004</v>
      </c>
      <c r="AY2">
        <v>0.47191944522899998</v>
      </c>
      <c r="AZ2">
        <v>0.61631313648099995</v>
      </c>
    </row>
    <row r="3" spans="1:52" x14ac:dyDescent="0.25">
      <c r="A3" t="s">
        <v>58</v>
      </c>
      <c r="B3" t="s">
        <v>53</v>
      </c>
      <c r="C3">
        <v>60</v>
      </c>
      <c r="D3">
        <v>30</v>
      </c>
      <c r="E3" t="s">
        <v>54</v>
      </c>
      <c r="F3" t="s">
        <v>55</v>
      </c>
      <c r="G3" t="s">
        <v>56</v>
      </c>
      <c r="H3" t="s">
        <v>59</v>
      </c>
      <c r="I3">
        <v>29</v>
      </c>
      <c r="J3">
        <v>29</v>
      </c>
      <c r="K3">
        <v>42</v>
      </c>
      <c r="L3">
        <v>42</v>
      </c>
      <c r="M3" t="b">
        <v>1</v>
      </c>
      <c r="N3" t="b">
        <v>0</v>
      </c>
      <c r="O3">
        <v>499.69602229999998</v>
      </c>
      <c r="P3">
        <v>681</v>
      </c>
      <c r="Q3">
        <v>314</v>
      </c>
      <c r="R3">
        <v>367</v>
      </c>
      <c r="S3" t="b">
        <v>1</v>
      </c>
      <c r="T3">
        <v>0.51835535976500002</v>
      </c>
      <c r="U3">
        <v>0.51059112445499999</v>
      </c>
      <c r="V3">
        <v>0.51097098374799998</v>
      </c>
      <c r="W3">
        <v>0.51059112445499999</v>
      </c>
      <c r="X3">
        <v>0.508796312586</v>
      </c>
      <c r="Y3">
        <v>0.47426470588199998</v>
      </c>
      <c r="Z3">
        <v>0.41082802547800001</v>
      </c>
      <c r="AA3">
        <v>0.44027303754300001</v>
      </c>
      <c r="AB3">
        <v>314</v>
      </c>
      <c r="AC3">
        <v>0.54767726161399999</v>
      </c>
      <c r="AD3">
        <v>0.61035422343300005</v>
      </c>
      <c r="AE3">
        <v>0.57731958762900004</v>
      </c>
      <c r="AF3">
        <v>367</v>
      </c>
      <c r="AG3">
        <v>2.15587619565E-2</v>
      </c>
      <c r="AH3">
        <v>129</v>
      </c>
      <c r="AI3">
        <v>185</v>
      </c>
      <c r="AJ3">
        <v>143</v>
      </c>
      <c r="AK3">
        <v>224</v>
      </c>
      <c r="AL3">
        <v>0.51801489092099995</v>
      </c>
      <c r="AM3">
        <v>0.55565317249799995</v>
      </c>
      <c r="AN3">
        <v>1000</v>
      </c>
      <c r="AO3">
        <v>0.47125326653400001</v>
      </c>
      <c r="AP3">
        <v>0.57473846964800002</v>
      </c>
      <c r="AQ3">
        <v>0.47001054029799999</v>
      </c>
      <c r="AR3">
        <v>0.555669292679</v>
      </c>
      <c r="AS3">
        <v>0.46602735667599998</v>
      </c>
      <c r="AT3">
        <v>0.55428137492100005</v>
      </c>
      <c r="AU3">
        <v>-6.0686875142200003E-2</v>
      </c>
      <c r="AV3">
        <v>0.11323687738300001</v>
      </c>
      <c r="AW3">
        <v>0.46254634649900001</v>
      </c>
      <c r="AX3">
        <v>0.571064848337</v>
      </c>
      <c r="AY3">
        <v>0.48577970347600002</v>
      </c>
      <c r="AZ3">
        <v>0.638080902522</v>
      </c>
    </row>
    <row r="4" spans="1:52" x14ac:dyDescent="0.25">
      <c r="A4" t="s">
        <v>60</v>
      </c>
      <c r="B4" t="s">
        <v>53</v>
      </c>
      <c r="C4">
        <v>60</v>
      </c>
      <c r="D4">
        <v>30</v>
      </c>
      <c r="E4" t="s">
        <v>54</v>
      </c>
      <c r="F4" t="s">
        <v>55</v>
      </c>
      <c r="G4" t="s">
        <v>56</v>
      </c>
      <c r="H4" t="s">
        <v>61</v>
      </c>
      <c r="I4">
        <v>29</v>
      </c>
      <c r="J4">
        <v>29</v>
      </c>
      <c r="K4">
        <v>42</v>
      </c>
      <c r="L4">
        <v>42</v>
      </c>
      <c r="M4" t="b">
        <v>1</v>
      </c>
      <c r="N4" t="b">
        <v>0</v>
      </c>
      <c r="O4">
        <v>25.7151572</v>
      </c>
      <c r="P4">
        <v>681</v>
      </c>
      <c r="Q4">
        <v>314</v>
      </c>
      <c r="R4">
        <v>367</v>
      </c>
      <c r="S4" t="b">
        <v>1</v>
      </c>
      <c r="T4">
        <v>0.49045521292200001</v>
      </c>
      <c r="U4">
        <v>0.48884482549199998</v>
      </c>
      <c r="V4">
        <v>0.48889493598700001</v>
      </c>
      <c r="W4">
        <v>0.48884482549199998</v>
      </c>
      <c r="X4">
        <v>0.48869117039299997</v>
      </c>
      <c r="Y4">
        <v>0.44954128440399999</v>
      </c>
      <c r="Z4">
        <v>0.46815286624199998</v>
      </c>
      <c r="AA4">
        <v>0.45865834633399999</v>
      </c>
      <c r="AB4">
        <v>314</v>
      </c>
      <c r="AC4">
        <v>0.52824858757100002</v>
      </c>
      <c r="AD4">
        <v>0.50953678474099995</v>
      </c>
      <c r="AE4">
        <v>0.51872399445200001</v>
      </c>
      <c r="AF4">
        <v>367</v>
      </c>
      <c r="AG4">
        <v>-2.2260182118800001E-2</v>
      </c>
      <c r="AH4">
        <v>147</v>
      </c>
      <c r="AI4">
        <v>167</v>
      </c>
      <c r="AJ4">
        <v>180</v>
      </c>
      <c r="AK4">
        <v>187</v>
      </c>
      <c r="AL4">
        <v>0.49287995279300001</v>
      </c>
      <c r="AM4">
        <v>0.53405478174599996</v>
      </c>
      <c r="AN4">
        <v>1000</v>
      </c>
      <c r="AO4">
        <v>0.453447526474</v>
      </c>
      <c r="AP4">
        <v>0.52323838080999996</v>
      </c>
      <c r="AQ4">
        <v>0.45190425539700002</v>
      </c>
      <c r="AR4">
        <v>0.52054824935199995</v>
      </c>
      <c r="AS4">
        <v>0.451304698191</v>
      </c>
      <c r="AT4">
        <v>0.51940956621500001</v>
      </c>
      <c r="AU4">
        <v>-9.6245159357700005E-2</v>
      </c>
      <c r="AV4">
        <v>4.1063889410599998E-2</v>
      </c>
      <c r="AW4">
        <v>0.44733635701399999</v>
      </c>
      <c r="AX4">
        <v>0.53428523210000001</v>
      </c>
      <c r="AY4">
        <v>0.47622332218300001</v>
      </c>
      <c r="AZ4">
        <v>0.59077655220799996</v>
      </c>
    </row>
    <row r="5" spans="1:52" x14ac:dyDescent="0.25">
      <c r="A5" t="s">
        <v>62</v>
      </c>
      <c r="B5" t="s">
        <v>53</v>
      </c>
      <c r="C5">
        <v>60</v>
      </c>
      <c r="D5">
        <v>30</v>
      </c>
      <c r="E5" t="s">
        <v>54</v>
      </c>
      <c r="F5" t="s">
        <v>55</v>
      </c>
      <c r="G5" t="s">
        <v>56</v>
      </c>
      <c r="H5" t="s">
        <v>63</v>
      </c>
      <c r="I5">
        <v>29</v>
      </c>
      <c r="J5">
        <v>29</v>
      </c>
      <c r="K5">
        <v>42</v>
      </c>
      <c r="L5">
        <v>42</v>
      </c>
      <c r="M5" t="b">
        <v>1</v>
      </c>
      <c r="N5" t="b">
        <v>0</v>
      </c>
      <c r="O5">
        <v>497.68189940000002</v>
      </c>
      <c r="P5">
        <v>681</v>
      </c>
      <c r="Q5">
        <v>314</v>
      </c>
      <c r="R5">
        <v>367</v>
      </c>
      <c r="S5" t="b">
        <v>1</v>
      </c>
      <c r="T5">
        <v>0.51101321585899995</v>
      </c>
      <c r="U5">
        <v>0.50860827157699995</v>
      </c>
      <c r="V5">
        <v>0.50859038085200003</v>
      </c>
      <c r="W5">
        <v>0.50860827157699995</v>
      </c>
      <c r="X5">
        <v>0.50857176291600004</v>
      </c>
      <c r="Y5">
        <v>0.47021943573699998</v>
      </c>
      <c r="Z5">
        <v>0.47770700636899999</v>
      </c>
      <c r="AA5">
        <v>0.473933649289</v>
      </c>
      <c r="AB5">
        <v>314</v>
      </c>
      <c r="AC5">
        <v>0.54696132596699998</v>
      </c>
      <c r="AD5">
        <v>0.53950953678500002</v>
      </c>
      <c r="AE5">
        <v>0.54320987654300001</v>
      </c>
      <c r="AF5">
        <v>367</v>
      </c>
      <c r="AG5">
        <v>1.7198643123500001E-2</v>
      </c>
      <c r="AH5">
        <v>150</v>
      </c>
      <c r="AI5">
        <v>164</v>
      </c>
      <c r="AJ5">
        <v>169</v>
      </c>
      <c r="AK5">
        <v>198</v>
      </c>
      <c r="AL5">
        <v>0.51738141932299997</v>
      </c>
      <c r="AM5">
        <v>0.56233728292499996</v>
      </c>
      <c r="AN5">
        <v>1000</v>
      </c>
      <c r="AO5">
        <v>0.46683463483400001</v>
      </c>
      <c r="AP5">
        <v>0.55487827801199996</v>
      </c>
      <c r="AQ5">
        <v>0.46376629617199999</v>
      </c>
      <c r="AR5">
        <v>0.54954578396599996</v>
      </c>
      <c r="AS5">
        <v>0.46351301658999999</v>
      </c>
      <c r="AT5">
        <v>0.54939130768</v>
      </c>
      <c r="AU5">
        <v>-7.2723947017799995E-2</v>
      </c>
      <c r="AV5">
        <v>9.9383995397899993E-2</v>
      </c>
      <c r="AW5">
        <v>0.47166983092699999</v>
      </c>
      <c r="AX5">
        <v>0.56092296950499998</v>
      </c>
      <c r="AY5">
        <v>0.49936615687699998</v>
      </c>
      <c r="AZ5">
        <v>0.64027998568900002</v>
      </c>
    </row>
    <row r="6" spans="1:52" x14ac:dyDescent="0.25">
      <c r="A6" t="s">
        <v>64</v>
      </c>
      <c r="B6" t="s">
        <v>53</v>
      </c>
      <c r="C6">
        <v>60</v>
      </c>
      <c r="D6">
        <v>30</v>
      </c>
      <c r="E6" t="s">
        <v>54</v>
      </c>
      <c r="F6" t="s">
        <v>55</v>
      </c>
      <c r="G6" t="s">
        <v>65</v>
      </c>
      <c r="H6" t="s">
        <v>57</v>
      </c>
      <c r="I6">
        <v>48</v>
      </c>
      <c r="J6">
        <v>48</v>
      </c>
      <c r="K6">
        <v>42</v>
      </c>
      <c r="L6">
        <v>42</v>
      </c>
      <c r="M6" t="b">
        <v>1</v>
      </c>
      <c r="N6" t="b">
        <v>0</v>
      </c>
      <c r="O6">
        <v>38.003898399999997</v>
      </c>
      <c r="P6">
        <v>681</v>
      </c>
      <c r="Q6">
        <v>314</v>
      </c>
      <c r="R6">
        <v>367</v>
      </c>
      <c r="S6" t="b">
        <v>1</v>
      </c>
      <c r="T6">
        <v>0.52863436123300001</v>
      </c>
      <c r="U6">
        <v>0.52472708655099998</v>
      </c>
      <c r="V6">
        <v>0.52484740146499997</v>
      </c>
      <c r="W6">
        <v>0.52472708655099998</v>
      </c>
      <c r="X6">
        <v>0.52469467316899998</v>
      </c>
      <c r="Y6">
        <v>0.48852459016400002</v>
      </c>
      <c r="Z6">
        <v>0.47452229299400001</v>
      </c>
      <c r="AA6">
        <v>0.48142164781899999</v>
      </c>
      <c r="AB6">
        <v>314</v>
      </c>
      <c r="AC6">
        <v>0.56117021276599999</v>
      </c>
      <c r="AD6">
        <v>0.57493188010899998</v>
      </c>
      <c r="AE6">
        <v>0.56796769851999995</v>
      </c>
      <c r="AF6">
        <v>367</v>
      </c>
      <c r="AG6">
        <v>4.9574342016799999E-2</v>
      </c>
      <c r="AH6">
        <v>149</v>
      </c>
      <c r="AI6">
        <v>165</v>
      </c>
      <c r="AJ6">
        <v>156</v>
      </c>
      <c r="AK6">
        <v>211</v>
      </c>
      <c r="AL6">
        <v>0.53006820666800003</v>
      </c>
      <c r="AM6">
        <v>0.55324001471200002</v>
      </c>
      <c r="AN6">
        <v>1000</v>
      </c>
      <c r="AO6">
        <v>0.48442410714299999</v>
      </c>
      <c r="AP6">
        <v>0.57345208651599999</v>
      </c>
      <c r="AQ6">
        <v>0.48271602861399998</v>
      </c>
      <c r="AR6">
        <v>0.56639730624200002</v>
      </c>
      <c r="AS6">
        <v>0.48207632522999999</v>
      </c>
      <c r="AT6">
        <v>0.56585656984400001</v>
      </c>
      <c r="AU6">
        <v>-3.4579738680700002E-2</v>
      </c>
      <c r="AV6">
        <v>0.13243123158100001</v>
      </c>
      <c r="AW6">
        <v>0.47707491374</v>
      </c>
      <c r="AX6">
        <v>0.58145497723399997</v>
      </c>
      <c r="AY6">
        <v>0.49034976376</v>
      </c>
      <c r="AZ6">
        <v>0.62758300922700005</v>
      </c>
    </row>
    <row r="7" spans="1:52" x14ac:dyDescent="0.25">
      <c r="A7" t="s">
        <v>66</v>
      </c>
      <c r="B7" t="s">
        <v>53</v>
      </c>
      <c r="C7">
        <v>60</v>
      </c>
      <c r="D7">
        <v>30</v>
      </c>
      <c r="E7" t="s">
        <v>54</v>
      </c>
      <c r="F7" t="s">
        <v>55</v>
      </c>
      <c r="G7" t="s">
        <v>65</v>
      </c>
      <c r="H7" t="s">
        <v>59</v>
      </c>
      <c r="I7">
        <v>48</v>
      </c>
      <c r="J7">
        <v>48</v>
      </c>
      <c r="K7">
        <v>42</v>
      </c>
      <c r="L7">
        <v>42</v>
      </c>
      <c r="M7" t="b">
        <v>1</v>
      </c>
      <c r="N7" t="b">
        <v>0</v>
      </c>
      <c r="O7">
        <v>493.38963760000001</v>
      </c>
      <c r="P7">
        <v>681</v>
      </c>
      <c r="Q7">
        <v>314</v>
      </c>
      <c r="R7">
        <v>367</v>
      </c>
      <c r="S7" t="b">
        <v>1</v>
      </c>
      <c r="T7">
        <v>0.531571218796</v>
      </c>
      <c r="U7">
        <v>0.52400249917599995</v>
      </c>
      <c r="V7">
        <v>0.52483301012700001</v>
      </c>
      <c r="W7">
        <v>0.52400249917599995</v>
      </c>
      <c r="X7">
        <v>0.52247293509899995</v>
      </c>
      <c r="Y7">
        <v>0.49084249084199999</v>
      </c>
      <c r="Z7">
        <v>0.426751592357</v>
      </c>
      <c r="AA7">
        <v>0.45655877342399998</v>
      </c>
      <c r="AB7">
        <v>314</v>
      </c>
      <c r="AC7">
        <v>0.55882352941199998</v>
      </c>
      <c r="AD7">
        <v>0.62125340599500001</v>
      </c>
      <c r="AE7">
        <v>0.58838709677400003</v>
      </c>
      <c r="AF7">
        <v>367</v>
      </c>
      <c r="AG7">
        <v>4.8828446836000003E-2</v>
      </c>
      <c r="AH7">
        <v>134</v>
      </c>
      <c r="AI7">
        <v>180</v>
      </c>
      <c r="AJ7">
        <v>139</v>
      </c>
      <c r="AK7">
        <v>228</v>
      </c>
      <c r="AL7">
        <v>0.54091532307099999</v>
      </c>
      <c r="AM7">
        <v>0.56074410614500003</v>
      </c>
      <c r="AN7">
        <v>1000</v>
      </c>
      <c r="AO7">
        <v>0.48733495198600002</v>
      </c>
      <c r="AP7">
        <v>0.57709521266800001</v>
      </c>
      <c r="AQ7">
        <v>0.48311135281700002</v>
      </c>
      <c r="AR7">
        <v>0.56654759364600005</v>
      </c>
      <c r="AS7">
        <v>0.47960740911700001</v>
      </c>
      <c r="AT7">
        <v>0.56516709933700005</v>
      </c>
      <c r="AU7">
        <v>-3.3790806552299997E-2</v>
      </c>
      <c r="AV7">
        <v>0.13380939236700001</v>
      </c>
      <c r="AW7">
        <v>0.48771650307199998</v>
      </c>
      <c r="AX7">
        <v>0.59463301221700005</v>
      </c>
      <c r="AY7">
        <v>0.49395234881200001</v>
      </c>
      <c r="AZ7">
        <v>0.64975066272600002</v>
      </c>
    </row>
    <row r="8" spans="1:52" x14ac:dyDescent="0.25">
      <c r="A8" t="s">
        <v>67</v>
      </c>
      <c r="B8" t="s">
        <v>53</v>
      </c>
      <c r="C8">
        <v>60</v>
      </c>
      <c r="D8">
        <v>30</v>
      </c>
      <c r="E8" t="s">
        <v>54</v>
      </c>
      <c r="F8" t="s">
        <v>55</v>
      </c>
      <c r="G8" t="s">
        <v>65</v>
      </c>
      <c r="H8" t="s">
        <v>61</v>
      </c>
      <c r="I8">
        <v>48</v>
      </c>
      <c r="J8">
        <v>48</v>
      </c>
      <c r="K8">
        <v>42</v>
      </c>
      <c r="L8">
        <v>42</v>
      </c>
      <c r="M8" t="b">
        <v>1</v>
      </c>
      <c r="N8" t="b">
        <v>0</v>
      </c>
      <c r="O8">
        <v>24.359691699999999</v>
      </c>
      <c r="P8">
        <v>681</v>
      </c>
      <c r="Q8">
        <v>314</v>
      </c>
      <c r="R8">
        <v>367</v>
      </c>
      <c r="S8" t="b">
        <v>1</v>
      </c>
      <c r="T8">
        <v>0.53744493392100001</v>
      </c>
      <c r="U8">
        <v>0.53359135007500003</v>
      </c>
      <c r="V8">
        <v>0.53375479595399999</v>
      </c>
      <c r="W8">
        <v>0.53359135007500003</v>
      </c>
      <c r="X8">
        <v>0.53357888488600003</v>
      </c>
      <c r="Y8">
        <v>0.49836065573799998</v>
      </c>
      <c r="Z8">
        <v>0.48407643312100002</v>
      </c>
      <c r="AA8">
        <v>0.49111470113099998</v>
      </c>
      <c r="AB8">
        <v>314</v>
      </c>
      <c r="AC8">
        <v>0.56914893616999995</v>
      </c>
      <c r="AD8">
        <v>0.58310626703000001</v>
      </c>
      <c r="AE8">
        <v>0.57604306864099997</v>
      </c>
      <c r="AF8">
        <v>367</v>
      </c>
      <c r="AG8">
        <v>6.7345947691499999E-2</v>
      </c>
      <c r="AH8">
        <v>152</v>
      </c>
      <c r="AI8">
        <v>162</v>
      </c>
      <c r="AJ8">
        <v>153</v>
      </c>
      <c r="AK8">
        <v>214</v>
      </c>
      <c r="AL8">
        <v>0.51787170898500001</v>
      </c>
      <c r="AM8">
        <v>0.54064127665700001</v>
      </c>
      <c r="AN8">
        <v>1000</v>
      </c>
      <c r="AO8">
        <v>0.49769533649199998</v>
      </c>
      <c r="AP8">
        <v>0.57676091121999995</v>
      </c>
      <c r="AQ8">
        <v>0.49610614765900002</v>
      </c>
      <c r="AR8">
        <v>0.57310599981599997</v>
      </c>
      <c r="AS8">
        <v>0.49488255028099998</v>
      </c>
      <c r="AT8">
        <v>0.57280974101399995</v>
      </c>
      <c r="AU8">
        <v>-7.8090292461400002E-3</v>
      </c>
      <c r="AV8">
        <v>0.14685705260699999</v>
      </c>
      <c r="AW8">
        <v>0.467300112755</v>
      </c>
      <c r="AX8">
        <v>0.56528352855999997</v>
      </c>
      <c r="AY8">
        <v>0.48689105189499998</v>
      </c>
      <c r="AZ8">
        <v>0.59979455035100004</v>
      </c>
    </row>
    <row r="9" spans="1:52" x14ac:dyDescent="0.25">
      <c r="A9" t="s">
        <v>68</v>
      </c>
      <c r="B9" t="s">
        <v>53</v>
      </c>
      <c r="C9">
        <v>60</v>
      </c>
      <c r="D9">
        <v>30</v>
      </c>
      <c r="E9" t="s">
        <v>54</v>
      </c>
      <c r="F9" t="s">
        <v>55</v>
      </c>
      <c r="G9" t="s">
        <v>65</v>
      </c>
      <c r="H9" t="s">
        <v>63</v>
      </c>
      <c r="I9">
        <v>48</v>
      </c>
      <c r="J9">
        <v>48</v>
      </c>
      <c r="K9">
        <v>42</v>
      </c>
      <c r="L9">
        <v>42</v>
      </c>
      <c r="M9" t="b">
        <v>1</v>
      </c>
      <c r="N9" t="b">
        <v>0</v>
      </c>
      <c r="O9">
        <v>652.1853873</v>
      </c>
      <c r="P9">
        <v>681</v>
      </c>
      <c r="Q9">
        <v>314</v>
      </c>
      <c r="R9">
        <v>367</v>
      </c>
      <c r="S9" t="b">
        <v>1</v>
      </c>
      <c r="T9">
        <v>0.54185022026399998</v>
      </c>
      <c r="U9">
        <v>0.53836842013899999</v>
      </c>
      <c r="V9">
        <v>0.53848664740100005</v>
      </c>
      <c r="W9">
        <v>0.53836842013899999</v>
      </c>
      <c r="X9">
        <v>0.53838533066799998</v>
      </c>
      <c r="Y9">
        <v>0.50324675324699997</v>
      </c>
      <c r="Z9">
        <v>0.49363057324800003</v>
      </c>
      <c r="AA9">
        <v>0.49839228295799998</v>
      </c>
      <c r="AB9">
        <v>314</v>
      </c>
      <c r="AC9">
        <v>0.57372654155500002</v>
      </c>
      <c r="AD9">
        <v>0.58310626703000001</v>
      </c>
      <c r="AE9">
        <v>0.57837837837799999</v>
      </c>
      <c r="AF9">
        <v>367</v>
      </c>
      <c r="AG9">
        <v>7.68549766046E-2</v>
      </c>
      <c r="AH9">
        <v>155</v>
      </c>
      <c r="AI9">
        <v>159</v>
      </c>
      <c r="AJ9">
        <v>153</v>
      </c>
      <c r="AK9">
        <v>214</v>
      </c>
      <c r="AL9">
        <v>0.55274301879599996</v>
      </c>
      <c r="AM9">
        <v>0.55967941661800003</v>
      </c>
      <c r="AN9">
        <v>1000</v>
      </c>
      <c r="AO9">
        <v>0.50374026383299997</v>
      </c>
      <c r="AP9">
        <v>0.57865696131800004</v>
      </c>
      <c r="AQ9">
        <v>0.50197859998299998</v>
      </c>
      <c r="AR9">
        <v>0.57645673849599999</v>
      </c>
      <c r="AS9">
        <v>0.50019488990200001</v>
      </c>
      <c r="AT9">
        <v>0.57554108680399996</v>
      </c>
      <c r="AU9">
        <v>3.9704471328900004E-3</v>
      </c>
      <c r="AV9">
        <v>0.15269457218400001</v>
      </c>
      <c r="AW9">
        <v>0.49964335707800001</v>
      </c>
      <c r="AX9">
        <v>0.606655196088</v>
      </c>
      <c r="AY9">
        <v>0.49267038791700002</v>
      </c>
      <c r="AZ9">
        <v>0.63962920030399995</v>
      </c>
    </row>
    <row r="10" spans="1:52" x14ac:dyDescent="0.25">
      <c r="A10" t="s">
        <v>69</v>
      </c>
      <c r="B10" t="s">
        <v>53</v>
      </c>
      <c r="C10">
        <v>60</v>
      </c>
      <c r="D10">
        <v>30</v>
      </c>
      <c r="E10" t="s">
        <v>54</v>
      </c>
      <c r="F10" t="s">
        <v>55</v>
      </c>
      <c r="G10" t="s">
        <v>70</v>
      </c>
      <c r="H10" t="s">
        <v>57</v>
      </c>
      <c r="I10">
        <v>48</v>
      </c>
      <c r="J10">
        <v>48</v>
      </c>
      <c r="K10">
        <v>42</v>
      </c>
      <c r="L10">
        <v>42</v>
      </c>
      <c r="M10" t="b">
        <v>1</v>
      </c>
      <c r="N10" t="b">
        <v>0</v>
      </c>
      <c r="O10">
        <v>41.2988815</v>
      </c>
      <c r="P10">
        <v>681</v>
      </c>
      <c r="Q10">
        <v>314</v>
      </c>
      <c r="R10">
        <v>367</v>
      </c>
      <c r="S10" t="b">
        <v>1</v>
      </c>
      <c r="T10">
        <v>0.493392070485</v>
      </c>
      <c r="U10">
        <v>0.48651052604200001</v>
      </c>
      <c r="V10">
        <v>0.48616992882600002</v>
      </c>
      <c r="W10">
        <v>0.48651052604200001</v>
      </c>
      <c r="X10">
        <v>0.48518181718600001</v>
      </c>
      <c r="Y10">
        <v>0.44483985765099998</v>
      </c>
      <c r="Z10">
        <v>0.39808917197499999</v>
      </c>
      <c r="AA10">
        <v>0.42016806722700001</v>
      </c>
      <c r="AB10">
        <v>314</v>
      </c>
      <c r="AC10">
        <v>0.52749999999999997</v>
      </c>
      <c r="AD10">
        <v>0.57493188010899998</v>
      </c>
      <c r="AE10">
        <v>0.55019556714499995</v>
      </c>
      <c r="AF10">
        <v>367</v>
      </c>
      <c r="AG10">
        <v>-2.7317421909600001E-2</v>
      </c>
      <c r="AH10">
        <v>125</v>
      </c>
      <c r="AI10">
        <v>189</v>
      </c>
      <c r="AJ10">
        <v>156</v>
      </c>
      <c r="AK10">
        <v>211</v>
      </c>
      <c r="AL10">
        <v>0.47394088755399999</v>
      </c>
      <c r="AM10">
        <v>0.51159706207699995</v>
      </c>
      <c r="AN10">
        <v>1000</v>
      </c>
      <c r="AO10">
        <v>0.45146166593199999</v>
      </c>
      <c r="AP10">
        <v>0.53870202572899994</v>
      </c>
      <c r="AQ10">
        <v>0.446976498128</v>
      </c>
      <c r="AR10">
        <v>0.53298780184899996</v>
      </c>
      <c r="AS10">
        <v>0.442215267553</v>
      </c>
      <c r="AT10">
        <v>0.53099986314699998</v>
      </c>
      <c r="AU10">
        <v>-0.10838234788999999</v>
      </c>
      <c r="AV10">
        <v>6.6973531359200006E-2</v>
      </c>
      <c r="AW10">
        <v>0.42040866891000001</v>
      </c>
      <c r="AX10">
        <v>0.525352836835</v>
      </c>
      <c r="AY10">
        <v>0.45607618333299998</v>
      </c>
      <c r="AZ10">
        <v>0.57324990728199998</v>
      </c>
    </row>
    <row r="11" spans="1:52" x14ac:dyDescent="0.25">
      <c r="A11" t="s">
        <v>71</v>
      </c>
      <c r="B11" t="s">
        <v>53</v>
      </c>
      <c r="C11">
        <v>60</v>
      </c>
      <c r="D11">
        <v>30</v>
      </c>
      <c r="E11" t="s">
        <v>54</v>
      </c>
      <c r="F11" t="s">
        <v>55</v>
      </c>
      <c r="G11" t="s">
        <v>70</v>
      </c>
      <c r="H11" t="s">
        <v>59</v>
      </c>
      <c r="I11">
        <v>48</v>
      </c>
      <c r="J11">
        <v>48</v>
      </c>
      <c r="K11">
        <v>42</v>
      </c>
      <c r="L11">
        <v>42</v>
      </c>
      <c r="M11" t="b">
        <v>1</v>
      </c>
      <c r="N11" t="b">
        <v>0</v>
      </c>
      <c r="O11">
        <v>489.34617780000002</v>
      </c>
      <c r="P11">
        <v>681</v>
      </c>
      <c r="Q11">
        <v>314</v>
      </c>
      <c r="R11">
        <v>367</v>
      </c>
      <c r="S11" t="b">
        <v>1</v>
      </c>
      <c r="T11">
        <v>0.51835535976500002</v>
      </c>
      <c r="U11">
        <v>0.51105104219099995</v>
      </c>
      <c r="V11">
        <v>0.51139291465400005</v>
      </c>
      <c r="W11">
        <v>0.51105104219099995</v>
      </c>
      <c r="X11">
        <v>0.50959866514399998</v>
      </c>
      <c r="Y11">
        <v>0.47463768115900001</v>
      </c>
      <c r="Z11">
        <v>0.41719745222900001</v>
      </c>
      <c r="AA11">
        <v>0.44406779661000001</v>
      </c>
      <c r="AB11">
        <v>314</v>
      </c>
      <c r="AC11">
        <v>0.54814814814799995</v>
      </c>
      <c r="AD11">
        <v>0.60490463215300005</v>
      </c>
      <c r="AE11">
        <v>0.57512953367899999</v>
      </c>
      <c r="AF11">
        <v>367</v>
      </c>
      <c r="AG11">
        <v>2.2441352946500001E-2</v>
      </c>
      <c r="AH11">
        <v>131</v>
      </c>
      <c r="AI11">
        <v>183</v>
      </c>
      <c r="AJ11">
        <v>145</v>
      </c>
      <c r="AK11">
        <v>222</v>
      </c>
      <c r="AL11">
        <v>0.50169648900499997</v>
      </c>
      <c r="AM11">
        <v>0.54677055643000005</v>
      </c>
      <c r="AN11">
        <v>1000</v>
      </c>
      <c r="AO11">
        <v>0.48036220794500001</v>
      </c>
      <c r="AP11">
        <v>0.55325615265700001</v>
      </c>
      <c r="AQ11">
        <v>0.47537764601400001</v>
      </c>
      <c r="AR11">
        <v>0.54516285441199996</v>
      </c>
      <c r="AS11">
        <v>0.47275371952900003</v>
      </c>
      <c r="AT11">
        <v>0.54326457988099996</v>
      </c>
      <c r="AU11">
        <v>-5.0293478997300002E-2</v>
      </c>
      <c r="AV11">
        <v>9.2310755595400001E-2</v>
      </c>
      <c r="AW11">
        <v>0.45994186254399999</v>
      </c>
      <c r="AX11">
        <v>0.54369197585999995</v>
      </c>
      <c r="AY11">
        <v>0.49393188725800002</v>
      </c>
      <c r="AZ11">
        <v>0.60057956608899998</v>
      </c>
    </row>
    <row r="12" spans="1:52" x14ac:dyDescent="0.25">
      <c r="A12" t="s">
        <v>72</v>
      </c>
      <c r="B12" t="s">
        <v>53</v>
      </c>
      <c r="C12">
        <v>60</v>
      </c>
      <c r="D12">
        <v>30</v>
      </c>
      <c r="E12" t="s">
        <v>54</v>
      </c>
      <c r="F12" t="s">
        <v>55</v>
      </c>
      <c r="G12" t="s">
        <v>70</v>
      </c>
      <c r="H12" t="s">
        <v>61</v>
      </c>
      <c r="I12">
        <v>48</v>
      </c>
      <c r="J12">
        <v>48</v>
      </c>
      <c r="K12">
        <v>42</v>
      </c>
      <c r="L12">
        <v>42</v>
      </c>
      <c r="M12" t="b">
        <v>1</v>
      </c>
      <c r="N12" t="b">
        <v>0</v>
      </c>
      <c r="O12">
        <v>23.983550900000001</v>
      </c>
      <c r="P12">
        <v>681</v>
      </c>
      <c r="Q12">
        <v>314</v>
      </c>
      <c r="R12">
        <v>367</v>
      </c>
      <c r="S12" t="b">
        <v>1</v>
      </c>
      <c r="T12">
        <v>0.46549192364199998</v>
      </c>
      <c r="U12">
        <v>0.46131484406200002</v>
      </c>
      <c r="V12">
        <v>0.46115032679700002</v>
      </c>
      <c r="W12">
        <v>0.46131484406200002</v>
      </c>
      <c r="X12">
        <v>0.46116859403499999</v>
      </c>
      <c r="Y12">
        <v>0.41830065359500002</v>
      </c>
      <c r="Z12">
        <v>0.407643312102</v>
      </c>
      <c r="AA12">
        <v>0.41290322580599997</v>
      </c>
      <c r="AB12">
        <v>314</v>
      </c>
      <c r="AC12">
        <v>0.504</v>
      </c>
      <c r="AD12">
        <v>0.51498637602200004</v>
      </c>
      <c r="AE12">
        <v>0.50943396226399995</v>
      </c>
      <c r="AF12">
        <v>367</v>
      </c>
      <c r="AG12">
        <v>-7.7534654600100006E-2</v>
      </c>
      <c r="AH12">
        <v>128</v>
      </c>
      <c r="AI12">
        <v>186</v>
      </c>
      <c r="AJ12">
        <v>178</v>
      </c>
      <c r="AK12">
        <v>189</v>
      </c>
      <c r="AL12">
        <v>0.46212620836899998</v>
      </c>
      <c r="AM12">
        <v>0.51878519938800005</v>
      </c>
      <c r="AN12">
        <v>1000</v>
      </c>
      <c r="AO12">
        <v>0.41947868984300002</v>
      </c>
      <c r="AP12">
        <v>0.507964801104</v>
      </c>
      <c r="AQ12">
        <v>0.41570525098200001</v>
      </c>
      <c r="AR12">
        <v>0.50416314588099997</v>
      </c>
      <c r="AS12">
        <v>0.41571507106900002</v>
      </c>
      <c r="AT12">
        <v>0.50274471055400005</v>
      </c>
      <c r="AU12">
        <v>-0.16840157334700001</v>
      </c>
      <c r="AV12">
        <v>8.2702502729200007E-3</v>
      </c>
      <c r="AW12">
        <v>0.41931862731000002</v>
      </c>
      <c r="AX12">
        <v>0.50872109241499996</v>
      </c>
      <c r="AY12">
        <v>0.47595215697100002</v>
      </c>
      <c r="AZ12">
        <v>0.55985259441000002</v>
      </c>
    </row>
    <row r="13" spans="1:52" x14ac:dyDescent="0.25">
      <c r="A13" t="s">
        <v>73</v>
      </c>
      <c r="B13" t="s">
        <v>53</v>
      </c>
      <c r="C13">
        <v>60</v>
      </c>
      <c r="D13">
        <v>30</v>
      </c>
      <c r="E13" t="s">
        <v>54</v>
      </c>
      <c r="F13" t="s">
        <v>55</v>
      </c>
      <c r="G13" t="s">
        <v>70</v>
      </c>
      <c r="H13" t="s">
        <v>63</v>
      </c>
      <c r="I13">
        <v>48</v>
      </c>
      <c r="J13">
        <v>48</v>
      </c>
      <c r="K13">
        <v>42</v>
      </c>
      <c r="L13">
        <v>42</v>
      </c>
      <c r="M13" t="b">
        <v>1</v>
      </c>
      <c r="N13" t="b">
        <v>0</v>
      </c>
      <c r="O13">
        <v>586.78493879999996</v>
      </c>
      <c r="P13">
        <v>681</v>
      </c>
      <c r="Q13">
        <v>314</v>
      </c>
      <c r="R13">
        <v>367</v>
      </c>
      <c r="S13" t="b">
        <v>1</v>
      </c>
      <c r="T13">
        <v>0.51248164464000001</v>
      </c>
      <c r="U13">
        <v>0.50882087505899998</v>
      </c>
      <c r="V13">
        <v>0.50884805543</v>
      </c>
      <c r="W13">
        <v>0.50882087505899998</v>
      </c>
      <c r="X13">
        <v>0.50879464673700003</v>
      </c>
      <c r="Y13">
        <v>0.47077922077899997</v>
      </c>
      <c r="Z13">
        <v>0.46178343949</v>
      </c>
      <c r="AA13">
        <v>0.46623794212199998</v>
      </c>
      <c r="AB13">
        <v>314</v>
      </c>
      <c r="AC13">
        <v>0.54691689008</v>
      </c>
      <c r="AD13">
        <v>0.55585831062699997</v>
      </c>
      <c r="AE13">
        <v>0.551351351351</v>
      </c>
      <c r="AF13">
        <v>367</v>
      </c>
      <c r="AG13">
        <v>1.76689095824E-2</v>
      </c>
      <c r="AH13">
        <v>145</v>
      </c>
      <c r="AI13">
        <v>169</v>
      </c>
      <c r="AJ13">
        <v>163</v>
      </c>
      <c r="AK13">
        <v>204</v>
      </c>
      <c r="AL13">
        <v>0.51940332182100002</v>
      </c>
      <c r="AM13">
        <v>0.57317044156800001</v>
      </c>
      <c r="AN13">
        <v>1000</v>
      </c>
      <c r="AO13">
        <v>0.47685038677899999</v>
      </c>
      <c r="AP13">
        <v>0.54977046162499998</v>
      </c>
      <c r="AQ13">
        <v>0.47409393053999999</v>
      </c>
      <c r="AR13">
        <v>0.54493665374199995</v>
      </c>
      <c r="AS13">
        <v>0.47392686714299997</v>
      </c>
      <c r="AT13">
        <v>0.54476814342400004</v>
      </c>
      <c r="AU13">
        <v>-5.2028869919799998E-2</v>
      </c>
      <c r="AV13">
        <v>9.0449205367499994E-2</v>
      </c>
      <c r="AW13">
        <v>0.47587488816700002</v>
      </c>
      <c r="AX13">
        <v>0.56287191489099997</v>
      </c>
      <c r="AY13">
        <v>0.51360799169500004</v>
      </c>
      <c r="AZ13">
        <v>0.63195879051000003</v>
      </c>
    </row>
    <row r="14" spans="1:52" x14ac:dyDescent="0.25">
      <c r="A14" t="s">
        <v>74</v>
      </c>
      <c r="B14" t="s">
        <v>53</v>
      </c>
      <c r="C14">
        <v>60</v>
      </c>
      <c r="D14">
        <v>30</v>
      </c>
      <c r="E14" t="s">
        <v>54</v>
      </c>
      <c r="F14" t="s">
        <v>55</v>
      </c>
      <c r="G14" t="s">
        <v>75</v>
      </c>
      <c r="H14" t="s">
        <v>57</v>
      </c>
      <c r="I14">
        <v>77</v>
      </c>
      <c r="J14">
        <v>77</v>
      </c>
      <c r="K14">
        <v>42</v>
      </c>
      <c r="L14">
        <v>42</v>
      </c>
      <c r="M14" t="b">
        <v>1</v>
      </c>
      <c r="N14" t="b">
        <v>0</v>
      </c>
      <c r="O14">
        <v>43.532991199999998</v>
      </c>
      <c r="P14">
        <v>681</v>
      </c>
      <c r="Q14">
        <v>314</v>
      </c>
      <c r="R14">
        <v>367</v>
      </c>
      <c r="S14" t="b">
        <v>1</v>
      </c>
      <c r="T14">
        <v>0.53744493392100001</v>
      </c>
      <c r="U14">
        <v>0.53313143234000004</v>
      </c>
      <c r="V14">
        <v>0.53337996153199996</v>
      </c>
      <c r="W14">
        <v>0.53313143234000004</v>
      </c>
      <c r="X14">
        <v>0.53305906553000004</v>
      </c>
      <c r="Y14">
        <v>0.49833887043199998</v>
      </c>
      <c r="Z14">
        <v>0.47770700636899999</v>
      </c>
      <c r="AA14">
        <v>0.48780487804900002</v>
      </c>
      <c r="AB14">
        <v>314</v>
      </c>
      <c r="AC14">
        <v>0.56842105263200005</v>
      </c>
      <c r="AD14">
        <v>0.58855585831099999</v>
      </c>
      <c r="AE14">
        <v>0.57831325301199998</v>
      </c>
      <c r="AF14">
        <v>367</v>
      </c>
      <c r="AG14">
        <v>6.6510929538000002E-2</v>
      </c>
      <c r="AH14">
        <v>150</v>
      </c>
      <c r="AI14">
        <v>164</v>
      </c>
      <c r="AJ14">
        <v>151</v>
      </c>
      <c r="AK14">
        <v>216</v>
      </c>
      <c r="AL14">
        <v>0.54522813655199998</v>
      </c>
      <c r="AM14">
        <v>0.56481710247000005</v>
      </c>
      <c r="AN14">
        <v>1000</v>
      </c>
      <c r="AO14">
        <v>0.49162733292799998</v>
      </c>
      <c r="AP14">
        <v>0.58534102357399997</v>
      </c>
      <c r="AQ14">
        <v>0.48748802261200003</v>
      </c>
      <c r="AR14">
        <v>0.57946742929799999</v>
      </c>
      <c r="AS14">
        <v>0.48679293745399999</v>
      </c>
      <c r="AT14">
        <v>0.57857343374100001</v>
      </c>
      <c r="AU14">
        <v>-2.5365012942000002E-2</v>
      </c>
      <c r="AV14">
        <v>0.15965050278500001</v>
      </c>
      <c r="AW14">
        <v>0.49009210153400001</v>
      </c>
      <c r="AX14">
        <v>0.59822468896400005</v>
      </c>
      <c r="AY14">
        <v>0.50115854556899997</v>
      </c>
      <c r="AZ14">
        <v>0.64041681233900005</v>
      </c>
    </row>
    <row r="15" spans="1:52" x14ac:dyDescent="0.25">
      <c r="A15" t="s">
        <v>76</v>
      </c>
      <c r="B15" t="s">
        <v>53</v>
      </c>
      <c r="C15">
        <v>60</v>
      </c>
      <c r="D15">
        <v>30</v>
      </c>
      <c r="E15" t="s">
        <v>54</v>
      </c>
      <c r="F15" t="s">
        <v>55</v>
      </c>
      <c r="G15" t="s">
        <v>75</v>
      </c>
      <c r="H15" t="s">
        <v>59</v>
      </c>
      <c r="I15">
        <v>77</v>
      </c>
      <c r="J15">
        <v>77</v>
      </c>
      <c r="K15">
        <v>42</v>
      </c>
      <c r="L15">
        <v>42</v>
      </c>
      <c r="M15" t="b">
        <v>1</v>
      </c>
      <c r="N15" t="b">
        <v>0</v>
      </c>
      <c r="O15">
        <v>545.86882290000005</v>
      </c>
      <c r="P15">
        <v>681</v>
      </c>
      <c r="Q15">
        <v>314</v>
      </c>
      <c r="R15">
        <v>367</v>
      </c>
      <c r="S15" t="b">
        <v>1</v>
      </c>
      <c r="T15">
        <v>0.55506607929499996</v>
      </c>
      <c r="U15">
        <v>0.54580086429800001</v>
      </c>
      <c r="V15">
        <v>0.54843623816200004</v>
      </c>
      <c r="W15">
        <v>0.54580086429800001</v>
      </c>
      <c r="X15">
        <v>0.54314629777599999</v>
      </c>
      <c r="Y15">
        <v>0.52140077820999997</v>
      </c>
      <c r="Z15">
        <v>0.426751592357</v>
      </c>
      <c r="AA15">
        <v>0.46935201401100002</v>
      </c>
      <c r="AB15">
        <v>314</v>
      </c>
      <c r="AC15">
        <v>0.57547169811300003</v>
      </c>
      <c r="AD15">
        <v>0.66485013624</v>
      </c>
      <c r="AE15">
        <v>0.61694058154200004</v>
      </c>
      <c r="AF15">
        <v>367</v>
      </c>
      <c r="AG15">
        <v>9.4200245671899996E-2</v>
      </c>
      <c r="AH15">
        <v>134</v>
      </c>
      <c r="AI15">
        <v>180</v>
      </c>
      <c r="AJ15">
        <v>123</v>
      </c>
      <c r="AK15">
        <v>244</v>
      </c>
      <c r="AL15">
        <v>0.54189590239300001</v>
      </c>
      <c r="AM15">
        <v>0.55132128739599995</v>
      </c>
      <c r="AN15">
        <v>1000</v>
      </c>
      <c r="AO15">
        <v>0.50801615484100004</v>
      </c>
      <c r="AP15">
        <v>0.61055404654900003</v>
      </c>
      <c r="AQ15">
        <v>0.50228355009299996</v>
      </c>
      <c r="AR15">
        <v>0.59205750605700003</v>
      </c>
      <c r="AS15">
        <v>0.49723478185100001</v>
      </c>
      <c r="AT15">
        <v>0.59121175496099998</v>
      </c>
      <c r="AU15">
        <v>4.8112931991700003E-3</v>
      </c>
      <c r="AV15">
        <v>0.191493792996</v>
      </c>
      <c r="AW15">
        <v>0.49022773580599999</v>
      </c>
      <c r="AX15">
        <v>0.59271965303999996</v>
      </c>
      <c r="AY15">
        <v>0.48243206164199998</v>
      </c>
      <c r="AZ15">
        <v>0.63204781382099995</v>
      </c>
    </row>
    <row r="16" spans="1:52" x14ac:dyDescent="0.25">
      <c r="A16" t="s">
        <v>77</v>
      </c>
      <c r="B16" t="s">
        <v>53</v>
      </c>
      <c r="C16">
        <v>60</v>
      </c>
      <c r="D16">
        <v>30</v>
      </c>
      <c r="E16" t="s">
        <v>54</v>
      </c>
      <c r="F16" t="s">
        <v>55</v>
      </c>
      <c r="G16" t="s">
        <v>75</v>
      </c>
      <c r="H16" t="s">
        <v>61</v>
      </c>
      <c r="I16">
        <v>77</v>
      </c>
      <c r="J16">
        <v>77</v>
      </c>
      <c r="K16">
        <v>42</v>
      </c>
      <c r="L16">
        <v>42</v>
      </c>
      <c r="M16" t="b">
        <v>1</v>
      </c>
      <c r="N16" t="b">
        <v>0</v>
      </c>
      <c r="O16">
        <v>25.249075000000001</v>
      </c>
      <c r="P16">
        <v>681</v>
      </c>
      <c r="Q16">
        <v>314</v>
      </c>
      <c r="R16">
        <v>367</v>
      </c>
      <c r="S16" t="b">
        <v>1</v>
      </c>
      <c r="T16">
        <v>0.50220264317200003</v>
      </c>
      <c r="U16">
        <v>0.50089380239199999</v>
      </c>
      <c r="V16">
        <v>0.50088940314999997</v>
      </c>
      <c r="W16">
        <v>0.50089380239199999</v>
      </c>
      <c r="X16">
        <v>0.50064782389600004</v>
      </c>
      <c r="Y16">
        <v>0.46200607902700003</v>
      </c>
      <c r="Z16">
        <v>0.48407643312100002</v>
      </c>
      <c r="AA16">
        <v>0.47278382581599998</v>
      </c>
      <c r="AB16">
        <v>314</v>
      </c>
      <c r="AC16">
        <v>0.53977272727299996</v>
      </c>
      <c r="AD16">
        <v>0.51771117166199998</v>
      </c>
      <c r="AE16">
        <v>0.52851182197500002</v>
      </c>
      <c r="AF16">
        <v>367</v>
      </c>
      <c r="AG16">
        <v>1.7832001150500001E-3</v>
      </c>
      <c r="AH16">
        <v>152</v>
      </c>
      <c r="AI16">
        <v>162</v>
      </c>
      <c r="AJ16">
        <v>177</v>
      </c>
      <c r="AK16">
        <v>190</v>
      </c>
      <c r="AL16">
        <v>0.51325951509099998</v>
      </c>
      <c r="AM16">
        <v>0.54779074273499995</v>
      </c>
      <c r="AN16">
        <v>1000</v>
      </c>
      <c r="AO16">
        <v>0.46097174125500001</v>
      </c>
      <c r="AP16">
        <v>0.54042840713100004</v>
      </c>
      <c r="AQ16">
        <v>0.45998800204599999</v>
      </c>
      <c r="AR16">
        <v>0.53864999871899999</v>
      </c>
      <c r="AS16">
        <v>0.45898962174199998</v>
      </c>
      <c r="AT16">
        <v>0.53852834258600002</v>
      </c>
      <c r="AU16">
        <v>-7.9007576201000004E-2</v>
      </c>
      <c r="AV16">
        <v>7.7265480082299998E-2</v>
      </c>
      <c r="AW16">
        <v>0.46469317296700002</v>
      </c>
      <c r="AX16">
        <v>0.56245879435099999</v>
      </c>
      <c r="AY16">
        <v>0.49382745665299999</v>
      </c>
      <c r="AZ16">
        <v>0.61389570066400001</v>
      </c>
    </row>
    <row r="17" spans="1:52" x14ac:dyDescent="0.25">
      <c r="A17" t="s">
        <v>78</v>
      </c>
      <c r="B17" t="s">
        <v>53</v>
      </c>
      <c r="C17">
        <v>60</v>
      </c>
      <c r="D17">
        <v>30</v>
      </c>
      <c r="E17" t="s">
        <v>54</v>
      </c>
      <c r="F17" t="s">
        <v>55</v>
      </c>
      <c r="G17" t="s">
        <v>75</v>
      </c>
      <c r="H17" t="s">
        <v>63</v>
      </c>
      <c r="I17">
        <v>77</v>
      </c>
      <c r="J17">
        <v>77</v>
      </c>
      <c r="K17">
        <v>42</v>
      </c>
      <c r="L17">
        <v>42</v>
      </c>
      <c r="M17" t="b">
        <v>1</v>
      </c>
      <c r="N17" t="b">
        <v>0</v>
      </c>
      <c r="O17">
        <v>1056.7933642</v>
      </c>
      <c r="P17">
        <v>681</v>
      </c>
      <c r="Q17">
        <v>314</v>
      </c>
      <c r="R17">
        <v>367</v>
      </c>
      <c r="S17" t="b">
        <v>1</v>
      </c>
      <c r="T17">
        <v>0.54478707782699998</v>
      </c>
      <c r="U17">
        <v>0.54017338030899997</v>
      </c>
      <c r="V17">
        <v>0.54056197101699999</v>
      </c>
      <c r="W17">
        <v>0.54017338030899997</v>
      </c>
      <c r="X17">
        <v>0.54006535947699996</v>
      </c>
      <c r="Y17">
        <v>0.50671140939600001</v>
      </c>
      <c r="Z17">
        <v>0.480891719745</v>
      </c>
      <c r="AA17">
        <v>0.493464052288</v>
      </c>
      <c r="AB17">
        <v>314</v>
      </c>
      <c r="AC17">
        <v>0.57441253263699998</v>
      </c>
      <c r="AD17">
        <v>0.59945504087199997</v>
      </c>
      <c r="AE17">
        <v>0.58666666666699996</v>
      </c>
      <c r="AF17">
        <v>367</v>
      </c>
      <c r="AG17">
        <v>8.0734416148599997E-2</v>
      </c>
      <c r="AH17">
        <v>151</v>
      </c>
      <c r="AI17">
        <v>163</v>
      </c>
      <c r="AJ17">
        <v>147</v>
      </c>
      <c r="AK17">
        <v>220</v>
      </c>
      <c r="AL17">
        <v>0.55418351585400005</v>
      </c>
      <c r="AM17">
        <v>0.566936625847</v>
      </c>
      <c r="AN17">
        <v>1000</v>
      </c>
      <c r="AO17">
        <v>0.50821296909900004</v>
      </c>
      <c r="AP17">
        <v>0.58548850574699995</v>
      </c>
      <c r="AQ17">
        <v>0.50429881189000003</v>
      </c>
      <c r="AR17">
        <v>0.57729982184999995</v>
      </c>
      <c r="AS17">
        <v>0.50209605243199995</v>
      </c>
      <c r="AT17">
        <v>0.57667373507300002</v>
      </c>
      <c r="AU17">
        <v>8.8015945677400002E-3</v>
      </c>
      <c r="AV17">
        <v>0.15557823448399999</v>
      </c>
      <c r="AW17">
        <v>0.50418979827400001</v>
      </c>
      <c r="AX17">
        <v>0.60298098427299995</v>
      </c>
      <c r="AY17">
        <v>0.503229668538</v>
      </c>
      <c r="AZ17">
        <v>0.63517776249400004</v>
      </c>
    </row>
    <row r="18" spans="1:52" x14ac:dyDescent="0.25">
      <c r="A18" t="s">
        <v>79</v>
      </c>
      <c r="B18" t="s">
        <v>53</v>
      </c>
      <c r="C18">
        <v>60</v>
      </c>
      <c r="D18">
        <v>30</v>
      </c>
      <c r="E18" t="s">
        <v>54</v>
      </c>
      <c r="F18" t="s">
        <v>55</v>
      </c>
      <c r="G18" t="s">
        <v>80</v>
      </c>
      <c r="H18" t="s">
        <v>57</v>
      </c>
      <c r="I18">
        <v>77</v>
      </c>
      <c r="J18">
        <v>77</v>
      </c>
      <c r="K18">
        <v>42</v>
      </c>
      <c r="L18">
        <v>42</v>
      </c>
      <c r="M18" t="b">
        <v>1</v>
      </c>
      <c r="N18" t="b">
        <v>0</v>
      </c>
      <c r="O18">
        <v>43.245787</v>
      </c>
      <c r="P18">
        <v>681</v>
      </c>
      <c r="Q18">
        <v>314</v>
      </c>
      <c r="R18">
        <v>367</v>
      </c>
      <c r="S18" t="b">
        <v>1</v>
      </c>
      <c r="T18">
        <v>0.49486049926600001</v>
      </c>
      <c r="U18">
        <v>0.48465349971400001</v>
      </c>
      <c r="V18">
        <v>0.483641358641</v>
      </c>
      <c r="W18">
        <v>0.48465349971400001</v>
      </c>
      <c r="X18">
        <v>0.48003267219500001</v>
      </c>
      <c r="Y18">
        <v>0.44047619047600001</v>
      </c>
      <c r="Z18">
        <v>0.35350318471300002</v>
      </c>
      <c r="AA18">
        <v>0.39222614840999998</v>
      </c>
      <c r="AB18">
        <v>314</v>
      </c>
      <c r="AC18">
        <v>0.52680652680700002</v>
      </c>
      <c r="AD18">
        <v>0.61580381471400003</v>
      </c>
      <c r="AE18">
        <v>0.56783919597999999</v>
      </c>
      <c r="AF18">
        <v>367</v>
      </c>
      <c r="AG18">
        <v>-3.1688981952399997E-2</v>
      </c>
      <c r="AH18">
        <v>111</v>
      </c>
      <c r="AI18">
        <v>203</v>
      </c>
      <c r="AJ18">
        <v>141</v>
      </c>
      <c r="AK18">
        <v>226</v>
      </c>
      <c r="AL18">
        <v>0.48748676651799999</v>
      </c>
      <c r="AM18">
        <v>0.53471565563099999</v>
      </c>
      <c r="AN18">
        <v>1000</v>
      </c>
      <c r="AO18">
        <v>0.45070158977800001</v>
      </c>
      <c r="AP18">
        <v>0.53619512995700003</v>
      </c>
      <c r="AQ18">
        <v>0.44142975145000002</v>
      </c>
      <c r="AR18">
        <v>0.52477348412799996</v>
      </c>
      <c r="AS18">
        <v>0.43181329957300002</v>
      </c>
      <c r="AT18">
        <v>0.52191240024700003</v>
      </c>
      <c r="AU18">
        <v>-0.12270156867699999</v>
      </c>
      <c r="AV18">
        <v>5.1644586233299997E-2</v>
      </c>
      <c r="AW18">
        <v>0.43883945042200001</v>
      </c>
      <c r="AX18">
        <v>0.53683315193100001</v>
      </c>
      <c r="AY18">
        <v>0.48602271559999999</v>
      </c>
      <c r="AZ18">
        <v>0.60062275271800003</v>
      </c>
    </row>
    <row r="19" spans="1:52" x14ac:dyDescent="0.25">
      <c r="A19" t="s">
        <v>81</v>
      </c>
      <c r="B19" t="s">
        <v>53</v>
      </c>
      <c r="C19">
        <v>60</v>
      </c>
      <c r="D19">
        <v>30</v>
      </c>
      <c r="E19" t="s">
        <v>54</v>
      </c>
      <c r="F19" t="s">
        <v>55</v>
      </c>
      <c r="G19" t="s">
        <v>80</v>
      </c>
      <c r="H19" t="s">
        <v>59</v>
      </c>
      <c r="I19">
        <v>77</v>
      </c>
      <c r="J19">
        <v>77</v>
      </c>
      <c r="K19">
        <v>42</v>
      </c>
      <c r="L19">
        <v>42</v>
      </c>
      <c r="M19" t="b">
        <v>1</v>
      </c>
      <c r="N19" t="b">
        <v>0</v>
      </c>
      <c r="O19">
        <v>543.1552375</v>
      </c>
      <c r="P19">
        <v>681</v>
      </c>
      <c r="Q19">
        <v>314</v>
      </c>
      <c r="R19">
        <v>367</v>
      </c>
      <c r="S19" t="b">
        <v>1</v>
      </c>
      <c r="T19">
        <v>0.52276064610899997</v>
      </c>
      <c r="U19">
        <v>0.51283864697399995</v>
      </c>
      <c r="V19">
        <v>0.51366314506300004</v>
      </c>
      <c r="W19">
        <v>0.51283864697399995</v>
      </c>
      <c r="X19">
        <v>0.50900136434700005</v>
      </c>
      <c r="Y19">
        <v>0.47826086956500002</v>
      </c>
      <c r="Z19">
        <v>0.38535031847099999</v>
      </c>
      <c r="AA19">
        <v>0.42680776014100003</v>
      </c>
      <c r="AB19">
        <v>314</v>
      </c>
      <c r="AC19">
        <v>0.54906542056100005</v>
      </c>
      <c r="AD19">
        <v>0.64032697547700002</v>
      </c>
      <c r="AE19">
        <v>0.59119496855300002</v>
      </c>
      <c r="AF19">
        <v>367</v>
      </c>
      <c r="AG19">
        <v>2.64889634391E-2</v>
      </c>
      <c r="AH19">
        <v>121</v>
      </c>
      <c r="AI19">
        <v>193</v>
      </c>
      <c r="AJ19">
        <v>132</v>
      </c>
      <c r="AK19">
        <v>235</v>
      </c>
      <c r="AL19">
        <v>0.48781218000999998</v>
      </c>
      <c r="AM19">
        <v>0.53222906145500004</v>
      </c>
      <c r="AN19">
        <v>1000</v>
      </c>
      <c r="AO19">
        <v>0.47328777163800001</v>
      </c>
      <c r="AP19">
        <v>0.57270102996799999</v>
      </c>
      <c r="AQ19">
        <v>0.46994416357300001</v>
      </c>
      <c r="AR19">
        <v>0.55263321472500004</v>
      </c>
      <c r="AS19">
        <v>0.46563952542300002</v>
      </c>
      <c r="AT19">
        <v>0.55125486227800002</v>
      </c>
      <c r="AU19">
        <v>-6.1546090847299999E-2</v>
      </c>
      <c r="AV19">
        <v>0.108911911934</v>
      </c>
      <c r="AW19">
        <v>0.44316127892700002</v>
      </c>
      <c r="AX19">
        <v>0.53290723990199995</v>
      </c>
      <c r="AY19">
        <v>0.47488884556799998</v>
      </c>
      <c r="AZ19">
        <v>0.59967705075099997</v>
      </c>
    </row>
    <row r="20" spans="1:52" x14ac:dyDescent="0.25">
      <c r="A20" t="s">
        <v>82</v>
      </c>
      <c r="B20" t="s">
        <v>53</v>
      </c>
      <c r="C20">
        <v>60</v>
      </c>
      <c r="D20">
        <v>30</v>
      </c>
      <c r="E20" t="s">
        <v>54</v>
      </c>
      <c r="F20" t="s">
        <v>55</v>
      </c>
      <c r="G20" t="s">
        <v>80</v>
      </c>
      <c r="H20" t="s">
        <v>61</v>
      </c>
      <c r="I20">
        <v>77</v>
      </c>
      <c r="J20">
        <v>77</v>
      </c>
      <c r="K20">
        <v>42</v>
      </c>
      <c r="L20">
        <v>42</v>
      </c>
      <c r="M20" t="b">
        <v>1</v>
      </c>
      <c r="N20" t="b">
        <v>0</v>
      </c>
      <c r="O20">
        <v>25.2038498</v>
      </c>
      <c r="P20">
        <v>681</v>
      </c>
      <c r="Q20">
        <v>314</v>
      </c>
      <c r="R20">
        <v>367</v>
      </c>
      <c r="S20" t="b">
        <v>1</v>
      </c>
      <c r="T20">
        <v>0.49045521292200001</v>
      </c>
      <c r="U20">
        <v>0.48493552474000001</v>
      </c>
      <c r="V20">
        <v>0.48472960135100002</v>
      </c>
      <c r="W20">
        <v>0.48493552474000001</v>
      </c>
      <c r="X20">
        <v>0.48436671503500001</v>
      </c>
      <c r="Y20">
        <v>0.44368600682600001</v>
      </c>
      <c r="Z20">
        <v>0.41401273885399997</v>
      </c>
      <c r="AA20">
        <v>0.428336079077</v>
      </c>
      <c r="AB20">
        <v>314</v>
      </c>
      <c r="AC20">
        <v>0.52577319587600002</v>
      </c>
      <c r="AD20">
        <v>0.55585831062699997</v>
      </c>
      <c r="AE20">
        <v>0.54039735099300001</v>
      </c>
      <c r="AF20">
        <v>367</v>
      </c>
      <c r="AG20">
        <v>-3.0334174961899999E-2</v>
      </c>
      <c r="AH20">
        <v>130</v>
      </c>
      <c r="AI20">
        <v>184</v>
      </c>
      <c r="AJ20">
        <v>163</v>
      </c>
      <c r="AK20">
        <v>204</v>
      </c>
      <c r="AL20">
        <v>0.47260018396699999</v>
      </c>
      <c r="AM20">
        <v>0.52212188049300001</v>
      </c>
      <c r="AN20">
        <v>1000</v>
      </c>
      <c r="AO20">
        <v>0.45136884942700001</v>
      </c>
      <c r="AP20">
        <v>0.53221219776299999</v>
      </c>
      <c r="AQ20">
        <v>0.443480114604</v>
      </c>
      <c r="AR20">
        <v>0.52737121373700002</v>
      </c>
      <c r="AS20">
        <v>0.44281903135299999</v>
      </c>
      <c r="AT20">
        <v>0.52699494766199995</v>
      </c>
      <c r="AU20">
        <v>-0.11337095541099999</v>
      </c>
      <c r="AV20">
        <v>5.4833747395999999E-2</v>
      </c>
      <c r="AW20">
        <v>0.42276657353500002</v>
      </c>
      <c r="AX20">
        <v>0.52331893755000003</v>
      </c>
      <c r="AY20">
        <v>0.47510920874700002</v>
      </c>
      <c r="AZ20">
        <v>0.57251356814400001</v>
      </c>
    </row>
    <row r="21" spans="1:52" x14ac:dyDescent="0.25">
      <c r="A21" t="s">
        <v>83</v>
      </c>
      <c r="B21" t="s">
        <v>53</v>
      </c>
      <c r="C21">
        <v>60</v>
      </c>
      <c r="D21">
        <v>30</v>
      </c>
      <c r="E21" t="s">
        <v>54</v>
      </c>
      <c r="F21" t="s">
        <v>55</v>
      </c>
      <c r="G21" t="s">
        <v>80</v>
      </c>
      <c r="H21" t="s">
        <v>63</v>
      </c>
      <c r="I21">
        <v>77</v>
      </c>
      <c r="J21">
        <v>77</v>
      </c>
      <c r="K21">
        <v>42</v>
      </c>
      <c r="L21">
        <v>42</v>
      </c>
      <c r="M21" t="b">
        <v>1</v>
      </c>
      <c r="N21" t="b">
        <v>0</v>
      </c>
      <c r="O21">
        <v>1001.7995718</v>
      </c>
      <c r="P21">
        <v>681</v>
      </c>
      <c r="Q21">
        <v>314</v>
      </c>
      <c r="R21">
        <v>367</v>
      </c>
      <c r="S21" t="b">
        <v>1</v>
      </c>
      <c r="T21">
        <v>0.50513950073400005</v>
      </c>
      <c r="U21">
        <v>0.50246880369299995</v>
      </c>
      <c r="V21">
        <v>0.50246559434299998</v>
      </c>
      <c r="W21">
        <v>0.50246880369299995</v>
      </c>
      <c r="X21">
        <v>0.50245739397</v>
      </c>
      <c r="Y21">
        <v>0.46372239747600003</v>
      </c>
      <c r="Z21">
        <v>0.46815286624199998</v>
      </c>
      <c r="AA21">
        <v>0.46592709984199998</v>
      </c>
      <c r="AB21">
        <v>314</v>
      </c>
      <c r="AC21">
        <v>0.54120879120900001</v>
      </c>
      <c r="AD21">
        <v>0.53678474114399999</v>
      </c>
      <c r="AE21">
        <v>0.53898768809800002</v>
      </c>
      <c r="AF21">
        <v>367</v>
      </c>
      <c r="AG21">
        <v>4.9343969921099998E-3</v>
      </c>
      <c r="AH21">
        <v>147</v>
      </c>
      <c r="AI21">
        <v>167</v>
      </c>
      <c r="AJ21">
        <v>170</v>
      </c>
      <c r="AK21">
        <v>197</v>
      </c>
      <c r="AL21">
        <v>0.50624793904800003</v>
      </c>
      <c r="AM21">
        <v>0.53956825493299998</v>
      </c>
      <c r="AN21">
        <v>1000</v>
      </c>
      <c r="AO21">
        <v>0.467569191065</v>
      </c>
      <c r="AP21">
        <v>0.54254432036199995</v>
      </c>
      <c r="AQ21">
        <v>0.46655933655699999</v>
      </c>
      <c r="AR21">
        <v>0.53720500727599996</v>
      </c>
      <c r="AS21">
        <v>0.46564153782099998</v>
      </c>
      <c r="AT21">
        <v>0.536679581046</v>
      </c>
      <c r="AU21">
        <v>-6.6897807332600007E-2</v>
      </c>
      <c r="AV21">
        <v>7.3671918460500002E-2</v>
      </c>
      <c r="AW21">
        <v>0.46807411867199999</v>
      </c>
      <c r="AX21">
        <v>0.54204270652599995</v>
      </c>
      <c r="AY21">
        <v>0.481731582755</v>
      </c>
      <c r="AZ21">
        <v>0.60245309227999999</v>
      </c>
    </row>
    <row r="22" spans="1:52" x14ac:dyDescent="0.25">
      <c r="A22" t="s">
        <v>84</v>
      </c>
      <c r="B22" t="s">
        <v>53</v>
      </c>
      <c r="C22">
        <v>60</v>
      </c>
      <c r="D22">
        <v>30</v>
      </c>
      <c r="E22" t="s">
        <v>54</v>
      </c>
      <c r="F22" t="s">
        <v>85</v>
      </c>
      <c r="G22" t="s">
        <v>56</v>
      </c>
      <c r="H22" t="s">
        <v>57</v>
      </c>
      <c r="I22">
        <v>29</v>
      </c>
      <c r="J22">
        <v>58</v>
      </c>
      <c r="K22">
        <v>42</v>
      </c>
      <c r="L22">
        <v>42</v>
      </c>
      <c r="M22" t="b">
        <v>1</v>
      </c>
      <c r="N22" t="b">
        <v>0</v>
      </c>
      <c r="O22">
        <v>24.8265596</v>
      </c>
      <c r="P22">
        <v>304</v>
      </c>
      <c r="Q22">
        <v>140</v>
      </c>
      <c r="R22">
        <v>164</v>
      </c>
      <c r="S22" t="b">
        <v>1</v>
      </c>
      <c r="T22">
        <v>0.5</v>
      </c>
      <c r="U22">
        <v>0.50156794425100004</v>
      </c>
      <c r="V22">
        <v>0.50156060343300002</v>
      </c>
      <c r="W22">
        <v>0.50156794425100004</v>
      </c>
      <c r="X22">
        <v>0.49980515263000003</v>
      </c>
      <c r="Y22">
        <v>0.46202531645599998</v>
      </c>
      <c r="Z22">
        <v>0.52142857142900001</v>
      </c>
      <c r="AA22">
        <v>0.48993288590599998</v>
      </c>
      <c r="AB22">
        <v>140</v>
      </c>
      <c r="AC22">
        <v>0.54109589041100004</v>
      </c>
      <c r="AD22">
        <v>0.48170731707300002</v>
      </c>
      <c r="AE22">
        <v>0.50967741935499999</v>
      </c>
      <c r="AF22">
        <v>164</v>
      </c>
      <c r="AG22">
        <v>3.1285390719499998E-3</v>
      </c>
      <c r="AH22">
        <v>73</v>
      </c>
      <c r="AI22">
        <v>67</v>
      </c>
      <c r="AJ22">
        <v>85</v>
      </c>
      <c r="AK22">
        <v>79</v>
      </c>
      <c r="AL22">
        <v>0.48924216027900003</v>
      </c>
      <c r="AM22">
        <v>0.54687003995600003</v>
      </c>
      <c r="AN22">
        <v>1000</v>
      </c>
      <c r="AO22">
        <v>0.45608108108099998</v>
      </c>
      <c r="AP22">
        <v>0.54545454545500005</v>
      </c>
      <c r="AQ22">
        <v>0.45532785634700002</v>
      </c>
      <c r="AR22">
        <v>0.54729708101800001</v>
      </c>
      <c r="AS22">
        <v>0.45419244251399998</v>
      </c>
      <c r="AT22">
        <v>0.54391295450699995</v>
      </c>
      <c r="AU22">
        <v>-8.9650806930999999E-2</v>
      </c>
      <c r="AV22">
        <v>9.4140771872699994E-2</v>
      </c>
      <c r="AW22">
        <v>0.43483858562599997</v>
      </c>
      <c r="AX22">
        <v>0.54478624780600005</v>
      </c>
      <c r="AY22">
        <v>0.48786481087400002</v>
      </c>
      <c r="AZ22">
        <v>0.62403081820200001</v>
      </c>
    </row>
    <row r="23" spans="1:52" x14ac:dyDescent="0.25">
      <c r="A23" t="s">
        <v>86</v>
      </c>
      <c r="B23" t="s">
        <v>53</v>
      </c>
      <c r="C23">
        <v>60</v>
      </c>
      <c r="D23">
        <v>30</v>
      </c>
      <c r="E23" t="s">
        <v>54</v>
      </c>
      <c r="F23" t="s">
        <v>85</v>
      </c>
      <c r="G23" t="s">
        <v>56</v>
      </c>
      <c r="H23" t="s">
        <v>59</v>
      </c>
      <c r="I23">
        <v>29</v>
      </c>
      <c r="J23">
        <v>58</v>
      </c>
      <c r="K23">
        <v>42</v>
      </c>
      <c r="L23">
        <v>42</v>
      </c>
      <c r="M23" t="b">
        <v>1</v>
      </c>
      <c r="N23" t="b">
        <v>0</v>
      </c>
      <c r="O23">
        <v>401.28456549999999</v>
      </c>
      <c r="P23">
        <v>304</v>
      </c>
      <c r="Q23">
        <v>140</v>
      </c>
      <c r="R23">
        <v>164</v>
      </c>
      <c r="S23" t="b">
        <v>1</v>
      </c>
      <c r="T23">
        <v>0.54934210526299998</v>
      </c>
      <c r="U23">
        <v>0.54155052264799997</v>
      </c>
      <c r="V23">
        <v>0.543083593009</v>
      </c>
      <c r="W23">
        <v>0.54155052264799997</v>
      </c>
      <c r="X23">
        <v>0.54014155266300001</v>
      </c>
      <c r="Y23">
        <v>0.512396694215</v>
      </c>
      <c r="Z23">
        <v>0.44285714285700001</v>
      </c>
      <c r="AA23">
        <v>0.47509578544100001</v>
      </c>
      <c r="AB23">
        <v>140</v>
      </c>
      <c r="AC23">
        <v>0.57377049180299999</v>
      </c>
      <c r="AD23">
        <v>0.64024390243899998</v>
      </c>
      <c r="AE23">
        <v>0.60518731988499996</v>
      </c>
      <c r="AF23">
        <v>164</v>
      </c>
      <c r="AG23">
        <v>8.4620229427399996E-2</v>
      </c>
      <c r="AH23">
        <v>62</v>
      </c>
      <c r="AI23">
        <v>78</v>
      </c>
      <c r="AJ23">
        <v>59</v>
      </c>
      <c r="AK23">
        <v>105</v>
      </c>
      <c r="AL23">
        <v>0.56866289198599995</v>
      </c>
      <c r="AM23">
        <v>0.57844500742299998</v>
      </c>
      <c r="AN23">
        <v>1000</v>
      </c>
      <c r="AO23">
        <v>0.49826522078500002</v>
      </c>
      <c r="AP23">
        <v>0.59800824689400001</v>
      </c>
      <c r="AQ23">
        <v>0.48903838500300001</v>
      </c>
      <c r="AR23">
        <v>0.59085498878599996</v>
      </c>
      <c r="AS23">
        <v>0.48692210556999999</v>
      </c>
      <c r="AT23">
        <v>0.59004324661300001</v>
      </c>
      <c r="AU23">
        <v>-2.2477936962200001E-2</v>
      </c>
      <c r="AV23">
        <v>0.18565002097</v>
      </c>
      <c r="AW23">
        <v>0.52236631667599998</v>
      </c>
      <c r="AX23">
        <v>0.613614669158</v>
      </c>
      <c r="AY23">
        <v>0.51286620850200004</v>
      </c>
      <c r="AZ23">
        <v>0.65571731870299999</v>
      </c>
    </row>
    <row r="24" spans="1:52" x14ac:dyDescent="0.25">
      <c r="A24" t="s">
        <v>87</v>
      </c>
      <c r="B24" t="s">
        <v>53</v>
      </c>
      <c r="C24">
        <v>60</v>
      </c>
      <c r="D24">
        <v>30</v>
      </c>
      <c r="E24" t="s">
        <v>54</v>
      </c>
      <c r="F24" t="s">
        <v>85</v>
      </c>
      <c r="G24" t="s">
        <v>56</v>
      </c>
      <c r="H24" t="s">
        <v>61</v>
      </c>
      <c r="I24">
        <v>29</v>
      </c>
      <c r="J24">
        <v>58</v>
      </c>
      <c r="K24">
        <v>42</v>
      </c>
      <c r="L24">
        <v>42</v>
      </c>
      <c r="M24" t="b">
        <v>1</v>
      </c>
      <c r="N24" t="b">
        <v>0</v>
      </c>
      <c r="O24">
        <v>22.511364</v>
      </c>
      <c r="P24">
        <v>304</v>
      </c>
      <c r="Q24">
        <v>140</v>
      </c>
      <c r="R24">
        <v>164</v>
      </c>
      <c r="S24" t="b">
        <v>1</v>
      </c>
      <c r="T24">
        <v>0.51973684210500004</v>
      </c>
      <c r="U24">
        <v>0.51411149825799995</v>
      </c>
      <c r="V24">
        <v>0.51432360742700001</v>
      </c>
      <c r="W24">
        <v>0.51411149825799995</v>
      </c>
      <c r="X24">
        <v>0.51365329826899997</v>
      </c>
      <c r="Y24">
        <v>0.47692307692300001</v>
      </c>
      <c r="Z24">
        <v>0.44285714285700001</v>
      </c>
      <c r="AA24">
        <v>0.45925925925900002</v>
      </c>
      <c r="AB24">
        <v>140</v>
      </c>
      <c r="AC24">
        <v>0.55172413793099995</v>
      </c>
      <c r="AD24">
        <v>0.58536585365899996</v>
      </c>
      <c r="AE24">
        <v>0.56804733727800005</v>
      </c>
      <c r="AF24">
        <v>164</v>
      </c>
      <c r="AG24">
        <v>2.8434314568999999E-2</v>
      </c>
      <c r="AH24">
        <v>62</v>
      </c>
      <c r="AI24">
        <v>78</v>
      </c>
      <c r="AJ24">
        <v>68</v>
      </c>
      <c r="AK24">
        <v>96</v>
      </c>
      <c r="AL24">
        <v>0.49579703832799998</v>
      </c>
      <c r="AM24">
        <v>0.54166620933800003</v>
      </c>
      <c r="AN24">
        <v>1000</v>
      </c>
      <c r="AO24">
        <v>0.45171350201499999</v>
      </c>
      <c r="AP24">
        <v>0.58620970459400001</v>
      </c>
      <c r="AQ24">
        <v>0.44795904401600001</v>
      </c>
      <c r="AR24">
        <v>0.57899783181599995</v>
      </c>
      <c r="AS24">
        <v>0.44690100419200002</v>
      </c>
      <c r="AT24">
        <v>0.57916968812000003</v>
      </c>
      <c r="AU24">
        <v>-0.104871722014</v>
      </c>
      <c r="AV24">
        <v>0.15919621342199999</v>
      </c>
      <c r="AW24">
        <v>0.42908931201200001</v>
      </c>
      <c r="AX24">
        <v>0.55462275133500005</v>
      </c>
      <c r="AY24">
        <v>0.47858557832499998</v>
      </c>
      <c r="AZ24">
        <v>0.61140869465500003</v>
      </c>
    </row>
    <row r="25" spans="1:52" x14ac:dyDescent="0.25">
      <c r="A25" t="s">
        <v>88</v>
      </c>
      <c r="B25" t="s">
        <v>53</v>
      </c>
      <c r="C25">
        <v>60</v>
      </c>
      <c r="D25">
        <v>30</v>
      </c>
      <c r="E25" t="s">
        <v>54</v>
      </c>
      <c r="F25" t="s">
        <v>85</v>
      </c>
      <c r="G25" t="s">
        <v>56</v>
      </c>
      <c r="H25" t="s">
        <v>63</v>
      </c>
      <c r="I25">
        <v>29</v>
      </c>
      <c r="J25">
        <v>58</v>
      </c>
      <c r="K25">
        <v>42</v>
      </c>
      <c r="L25">
        <v>42</v>
      </c>
      <c r="M25" t="b">
        <v>1</v>
      </c>
      <c r="N25" t="b">
        <v>0</v>
      </c>
      <c r="O25">
        <v>542.40533900000003</v>
      </c>
      <c r="P25">
        <v>304</v>
      </c>
      <c r="Q25">
        <v>140</v>
      </c>
      <c r="R25">
        <v>164</v>
      </c>
      <c r="S25" t="b">
        <v>1</v>
      </c>
      <c r="T25">
        <v>0.52631578947400004</v>
      </c>
      <c r="U25">
        <v>0.52177700348400002</v>
      </c>
      <c r="V25">
        <v>0.52194907813900004</v>
      </c>
      <c r="W25">
        <v>0.52177700348400002</v>
      </c>
      <c r="X25">
        <v>0.52165741509700003</v>
      </c>
      <c r="Y25">
        <v>0.485074626866</v>
      </c>
      <c r="Z25">
        <v>0.46428571428600002</v>
      </c>
      <c r="AA25">
        <v>0.47445255474499998</v>
      </c>
      <c r="AB25">
        <v>140</v>
      </c>
      <c r="AC25">
        <v>0.55882352941199998</v>
      </c>
      <c r="AD25">
        <v>0.57926829268299995</v>
      </c>
      <c r="AE25">
        <v>0.56886227544900003</v>
      </c>
      <c r="AF25">
        <v>164</v>
      </c>
      <c r="AG25">
        <v>4.3725743040200001E-2</v>
      </c>
      <c r="AH25">
        <v>65</v>
      </c>
      <c r="AI25">
        <v>75</v>
      </c>
      <c r="AJ25">
        <v>69</v>
      </c>
      <c r="AK25">
        <v>95</v>
      </c>
      <c r="AL25">
        <v>0.56520034843199995</v>
      </c>
      <c r="AM25">
        <v>0.62299673802199995</v>
      </c>
      <c r="AN25">
        <v>1000</v>
      </c>
      <c r="AO25">
        <v>0.47230356586099997</v>
      </c>
      <c r="AP25">
        <v>0.57557236761800001</v>
      </c>
      <c r="AQ25">
        <v>0.468790693328</v>
      </c>
      <c r="AR25">
        <v>0.57054169045799996</v>
      </c>
      <c r="AS25">
        <v>0.468643838842</v>
      </c>
      <c r="AT25">
        <v>0.570249651483</v>
      </c>
      <c r="AU25">
        <v>-6.2288817367699999E-2</v>
      </c>
      <c r="AV25">
        <v>0.141857265358</v>
      </c>
      <c r="AW25">
        <v>0.50324001602900004</v>
      </c>
      <c r="AX25">
        <v>0.61972606533499996</v>
      </c>
      <c r="AY25">
        <v>0.55709915091499995</v>
      </c>
      <c r="AZ25">
        <v>0.69221040227099995</v>
      </c>
    </row>
    <row r="26" spans="1:52" x14ac:dyDescent="0.25">
      <c r="A26" t="s">
        <v>89</v>
      </c>
      <c r="B26" t="s">
        <v>53</v>
      </c>
      <c r="C26">
        <v>60</v>
      </c>
      <c r="D26">
        <v>30</v>
      </c>
      <c r="E26" t="s">
        <v>54</v>
      </c>
      <c r="F26" t="s">
        <v>85</v>
      </c>
      <c r="G26" t="s">
        <v>65</v>
      </c>
      <c r="H26" t="s">
        <v>57</v>
      </c>
      <c r="I26">
        <v>48</v>
      </c>
      <c r="J26">
        <v>96</v>
      </c>
      <c r="K26">
        <v>42</v>
      </c>
      <c r="L26">
        <v>42</v>
      </c>
      <c r="M26" t="b">
        <v>1</v>
      </c>
      <c r="N26" t="b">
        <v>0</v>
      </c>
      <c r="O26">
        <v>25.806851900000002</v>
      </c>
      <c r="P26">
        <v>304</v>
      </c>
      <c r="Q26">
        <v>140</v>
      </c>
      <c r="R26">
        <v>164</v>
      </c>
      <c r="S26" t="b">
        <v>1</v>
      </c>
      <c r="T26">
        <v>0.56578947368400001</v>
      </c>
      <c r="U26">
        <v>0.565156794425</v>
      </c>
      <c r="V26">
        <v>0.56479556479600002</v>
      </c>
      <c r="W26">
        <v>0.565156794425</v>
      </c>
      <c r="X26">
        <v>0.56458333333300004</v>
      </c>
      <c r="Y26">
        <v>0.52702702702699999</v>
      </c>
      <c r="Z26">
        <v>0.55714285714300005</v>
      </c>
      <c r="AA26">
        <v>0.54166666666700003</v>
      </c>
      <c r="AB26">
        <v>140</v>
      </c>
      <c r="AC26">
        <v>0.60256410256399995</v>
      </c>
      <c r="AD26">
        <v>0.57317073170699995</v>
      </c>
      <c r="AE26">
        <v>0.58750000000000002</v>
      </c>
      <c r="AF26">
        <v>164</v>
      </c>
      <c r="AG26">
        <v>0.12995185716300001</v>
      </c>
      <c r="AH26">
        <v>78</v>
      </c>
      <c r="AI26">
        <v>62</v>
      </c>
      <c r="AJ26">
        <v>70</v>
      </c>
      <c r="AK26">
        <v>94</v>
      </c>
      <c r="AL26">
        <v>0.56785714285699995</v>
      </c>
      <c r="AM26">
        <v>0.57423959976299999</v>
      </c>
      <c r="AN26">
        <v>1000</v>
      </c>
      <c r="AO26">
        <v>0.50846497723700002</v>
      </c>
      <c r="AP26">
        <v>0.62376237623800002</v>
      </c>
      <c r="AQ26">
        <v>0.51101759874099995</v>
      </c>
      <c r="AR26">
        <v>0.62326203301200001</v>
      </c>
      <c r="AS26">
        <v>0.50790777429699996</v>
      </c>
      <c r="AT26">
        <v>0.62212818929299996</v>
      </c>
      <c r="AU26">
        <v>2.1934116511900002E-2</v>
      </c>
      <c r="AV26">
        <v>0.24546179376400001</v>
      </c>
      <c r="AW26">
        <v>0.50478888704900005</v>
      </c>
      <c r="AX26">
        <v>0.62980219264299997</v>
      </c>
      <c r="AY26">
        <v>0.51348140476199999</v>
      </c>
      <c r="AZ26">
        <v>0.65588766044900004</v>
      </c>
    </row>
    <row r="27" spans="1:52" x14ac:dyDescent="0.25">
      <c r="A27" t="s">
        <v>90</v>
      </c>
      <c r="B27" t="s">
        <v>53</v>
      </c>
      <c r="C27">
        <v>60</v>
      </c>
      <c r="D27">
        <v>30</v>
      </c>
      <c r="E27" t="s">
        <v>54</v>
      </c>
      <c r="F27" t="s">
        <v>85</v>
      </c>
      <c r="G27" t="s">
        <v>65</v>
      </c>
      <c r="H27" t="s">
        <v>59</v>
      </c>
      <c r="I27">
        <v>48</v>
      </c>
      <c r="J27">
        <v>96</v>
      </c>
      <c r="K27">
        <v>42</v>
      </c>
      <c r="L27">
        <v>42</v>
      </c>
      <c r="M27" t="b">
        <v>1</v>
      </c>
      <c r="N27" t="b">
        <v>0</v>
      </c>
      <c r="O27">
        <v>410.7015778</v>
      </c>
      <c r="P27">
        <v>304</v>
      </c>
      <c r="Q27">
        <v>140</v>
      </c>
      <c r="R27">
        <v>164</v>
      </c>
      <c r="S27" t="b">
        <v>1</v>
      </c>
      <c r="T27">
        <v>0.62828947368400001</v>
      </c>
      <c r="U27">
        <v>0.62308362369299997</v>
      </c>
      <c r="V27">
        <v>0.62518272425200005</v>
      </c>
      <c r="W27">
        <v>0.62308362369299997</v>
      </c>
      <c r="X27">
        <v>0.62329615861200005</v>
      </c>
      <c r="Y27">
        <v>0.60465116279099995</v>
      </c>
      <c r="Z27">
        <v>0.55714285714300005</v>
      </c>
      <c r="AA27">
        <v>0.57992565055800005</v>
      </c>
      <c r="AB27">
        <v>140</v>
      </c>
      <c r="AC27">
        <v>0.64571428571400002</v>
      </c>
      <c r="AD27">
        <v>0.68902439024399997</v>
      </c>
      <c r="AE27">
        <v>0.66666666666700003</v>
      </c>
      <c r="AF27">
        <v>164</v>
      </c>
      <c r="AG27">
        <v>0.24825747380300001</v>
      </c>
      <c r="AH27">
        <v>78</v>
      </c>
      <c r="AI27">
        <v>62</v>
      </c>
      <c r="AJ27">
        <v>51</v>
      </c>
      <c r="AK27">
        <v>113</v>
      </c>
      <c r="AL27">
        <v>0.65228658536600004</v>
      </c>
      <c r="AM27">
        <v>0.63937812548499995</v>
      </c>
      <c r="AN27">
        <v>1000</v>
      </c>
      <c r="AO27">
        <v>0.58248521398200004</v>
      </c>
      <c r="AP27">
        <v>0.67412140575099999</v>
      </c>
      <c r="AQ27">
        <v>0.57699577999399998</v>
      </c>
      <c r="AR27">
        <v>0.66759813796</v>
      </c>
      <c r="AS27">
        <v>0.57660294515300003</v>
      </c>
      <c r="AT27">
        <v>0.66814043907499998</v>
      </c>
      <c r="AU27">
        <v>0.155061126612</v>
      </c>
      <c r="AV27">
        <v>0.34114849652599999</v>
      </c>
      <c r="AW27">
        <v>0.60144508054099999</v>
      </c>
      <c r="AX27">
        <v>0.70942508180200003</v>
      </c>
      <c r="AY27">
        <v>0.57796576285400003</v>
      </c>
      <c r="AZ27">
        <v>0.72504647875399997</v>
      </c>
    </row>
    <row r="28" spans="1:52" x14ac:dyDescent="0.25">
      <c r="A28" t="s">
        <v>91</v>
      </c>
      <c r="B28" t="s">
        <v>53</v>
      </c>
      <c r="C28">
        <v>60</v>
      </c>
      <c r="D28">
        <v>30</v>
      </c>
      <c r="E28" t="s">
        <v>54</v>
      </c>
      <c r="F28" t="s">
        <v>85</v>
      </c>
      <c r="G28" t="s">
        <v>65</v>
      </c>
      <c r="H28" t="s">
        <v>61</v>
      </c>
      <c r="I28">
        <v>48</v>
      </c>
      <c r="J28">
        <v>96</v>
      </c>
      <c r="K28">
        <v>42</v>
      </c>
      <c r="L28">
        <v>42</v>
      </c>
      <c r="M28" t="b">
        <v>1</v>
      </c>
      <c r="N28" t="b">
        <v>0</v>
      </c>
      <c r="O28">
        <v>23.1797982</v>
      </c>
      <c r="P28">
        <v>304</v>
      </c>
      <c r="Q28">
        <v>140</v>
      </c>
      <c r="R28">
        <v>164</v>
      </c>
      <c r="S28" t="b">
        <v>1</v>
      </c>
      <c r="T28">
        <v>0.53947368421099995</v>
      </c>
      <c r="U28">
        <v>0.540243902439</v>
      </c>
      <c r="V28">
        <v>0.54</v>
      </c>
      <c r="W28">
        <v>0.540243902439</v>
      </c>
      <c r="X28">
        <v>0.53897482559900001</v>
      </c>
      <c r="Y28">
        <v>0.5</v>
      </c>
      <c r="Z28">
        <v>0.55000000000000004</v>
      </c>
      <c r="AA28">
        <v>0.52380952381000001</v>
      </c>
      <c r="AB28">
        <v>140</v>
      </c>
      <c r="AC28">
        <v>0.57999999999999996</v>
      </c>
      <c r="AD28">
        <v>0.53048780487799996</v>
      </c>
      <c r="AE28">
        <v>0.55414012738899998</v>
      </c>
      <c r="AF28">
        <v>164</v>
      </c>
      <c r="AG28">
        <v>8.02435317658E-2</v>
      </c>
      <c r="AH28">
        <v>77</v>
      </c>
      <c r="AI28">
        <v>63</v>
      </c>
      <c r="AJ28">
        <v>77</v>
      </c>
      <c r="AK28">
        <v>87</v>
      </c>
      <c r="AL28">
        <v>0.55148083623699995</v>
      </c>
      <c r="AM28">
        <v>0.58335086091199995</v>
      </c>
      <c r="AN28">
        <v>1000</v>
      </c>
      <c r="AO28">
        <v>0.49174358113799999</v>
      </c>
      <c r="AP28">
        <v>0.58899676375400001</v>
      </c>
      <c r="AQ28">
        <v>0.49182612147299998</v>
      </c>
      <c r="AR28">
        <v>0.58996216971899995</v>
      </c>
      <c r="AS28">
        <v>0.49049915750299999</v>
      </c>
      <c r="AT28">
        <v>0.58739065620300002</v>
      </c>
      <c r="AU28">
        <v>-1.6263978661999998E-2</v>
      </c>
      <c r="AV28">
        <v>0.17915475785099999</v>
      </c>
      <c r="AW28">
        <v>0.501685051168</v>
      </c>
      <c r="AX28">
        <v>0.60530755040600004</v>
      </c>
      <c r="AY28">
        <v>0.52468165524300003</v>
      </c>
      <c r="AZ28">
        <v>0.65158869411599996</v>
      </c>
    </row>
    <row r="29" spans="1:52" x14ac:dyDescent="0.25">
      <c r="A29" t="s">
        <v>92</v>
      </c>
      <c r="B29" t="s">
        <v>53</v>
      </c>
      <c r="C29">
        <v>60</v>
      </c>
      <c r="D29">
        <v>30</v>
      </c>
      <c r="E29" t="s">
        <v>54</v>
      </c>
      <c r="F29" t="s">
        <v>85</v>
      </c>
      <c r="G29" t="s">
        <v>65</v>
      </c>
      <c r="H29" t="s">
        <v>63</v>
      </c>
      <c r="I29">
        <v>48</v>
      </c>
      <c r="J29">
        <v>96</v>
      </c>
      <c r="K29">
        <v>42</v>
      </c>
      <c r="L29">
        <v>42</v>
      </c>
      <c r="M29" t="b">
        <v>1</v>
      </c>
      <c r="N29" t="b">
        <v>0</v>
      </c>
      <c r="O29">
        <v>737.4496292</v>
      </c>
      <c r="P29">
        <v>304</v>
      </c>
      <c r="Q29">
        <v>140</v>
      </c>
      <c r="R29">
        <v>164</v>
      </c>
      <c r="S29" t="b">
        <v>1</v>
      </c>
      <c r="T29">
        <v>0.62171052631599999</v>
      </c>
      <c r="U29">
        <v>0.61803135888500005</v>
      </c>
      <c r="V29">
        <v>0.618781503397</v>
      </c>
      <c r="W29">
        <v>0.61803135888500005</v>
      </c>
      <c r="X29">
        <v>0.61823641823599995</v>
      </c>
      <c r="Y29">
        <v>0.59259259259300001</v>
      </c>
      <c r="Z29">
        <v>0.57142857142900005</v>
      </c>
      <c r="AA29">
        <v>0.58181818181800005</v>
      </c>
      <c r="AB29">
        <v>140</v>
      </c>
      <c r="AC29">
        <v>0.64497041420099999</v>
      </c>
      <c r="AD29">
        <v>0.66463414634100004</v>
      </c>
      <c r="AE29">
        <v>0.65465465465499995</v>
      </c>
      <c r="AF29">
        <v>164</v>
      </c>
      <c r="AG29">
        <v>0.23681167417499999</v>
      </c>
      <c r="AH29">
        <v>80</v>
      </c>
      <c r="AI29">
        <v>60</v>
      </c>
      <c r="AJ29">
        <v>55</v>
      </c>
      <c r="AK29">
        <v>109</v>
      </c>
      <c r="AL29">
        <v>0.639067944251</v>
      </c>
      <c r="AM29">
        <v>0.64211130058200006</v>
      </c>
      <c r="AN29">
        <v>1000</v>
      </c>
      <c r="AO29">
        <v>0.56861631016000003</v>
      </c>
      <c r="AP29">
        <v>0.67237299816200002</v>
      </c>
      <c r="AQ29">
        <v>0.566099182511</v>
      </c>
      <c r="AR29">
        <v>0.66992079274899996</v>
      </c>
      <c r="AS29">
        <v>0.56534588474900005</v>
      </c>
      <c r="AT29">
        <v>0.66937223532300005</v>
      </c>
      <c r="AU29">
        <v>0.13226828496599999</v>
      </c>
      <c r="AV29">
        <v>0.340829802249</v>
      </c>
      <c r="AW29">
        <v>0.581956033506</v>
      </c>
      <c r="AX29">
        <v>0.69683742982700003</v>
      </c>
      <c r="AY29">
        <v>0.57615211046000003</v>
      </c>
      <c r="AZ29">
        <v>0.71639411872299996</v>
      </c>
    </row>
    <row r="30" spans="1:52" x14ac:dyDescent="0.25">
      <c r="A30" t="s">
        <v>93</v>
      </c>
      <c r="B30" t="s">
        <v>53</v>
      </c>
      <c r="C30">
        <v>60</v>
      </c>
      <c r="D30">
        <v>30</v>
      </c>
      <c r="E30" t="s">
        <v>54</v>
      </c>
      <c r="F30" t="s">
        <v>85</v>
      </c>
      <c r="G30" t="s">
        <v>70</v>
      </c>
      <c r="H30" t="s">
        <v>57</v>
      </c>
      <c r="I30">
        <v>48</v>
      </c>
      <c r="J30">
        <v>96</v>
      </c>
      <c r="K30">
        <v>42</v>
      </c>
      <c r="L30">
        <v>42</v>
      </c>
      <c r="M30" t="b">
        <v>1</v>
      </c>
      <c r="N30" t="b">
        <v>0</v>
      </c>
      <c r="O30">
        <v>26.496297999999999</v>
      </c>
      <c r="P30">
        <v>304</v>
      </c>
      <c r="Q30">
        <v>140</v>
      </c>
      <c r="R30">
        <v>164</v>
      </c>
      <c r="S30" t="b">
        <v>1</v>
      </c>
      <c r="T30">
        <v>0.51973684210500004</v>
      </c>
      <c r="U30">
        <v>0.51097560975599998</v>
      </c>
      <c r="V30">
        <v>0.51148168398000005</v>
      </c>
      <c r="W30">
        <v>0.51097560975599998</v>
      </c>
      <c r="X30">
        <v>0.50848283499400004</v>
      </c>
      <c r="Y30">
        <v>0.47457627118599999</v>
      </c>
      <c r="Z30">
        <v>0.4</v>
      </c>
      <c r="AA30">
        <v>0.43410852713199999</v>
      </c>
      <c r="AB30">
        <v>140</v>
      </c>
      <c r="AC30">
        <v>0.54838709677399999</v>
      </c>
      <c r="AD30">
        <v>0.62195121951200005</v>
      </c>
      <c r="AE30">
        <v>0.58285714285699997</v>
      </c>
      <c r="AF30">
        <v>164</v>
      </c>
      <c r="AG30">
        <v>2.2451590830999998E-2</v>
      </c>
      <c r="AH30">
        <v>56</v>
      </c>
      <c r="AI30">
        <v>84</v>
      </c>
      <c r="AJ30">
        <v>62</v>
      </c>
      <c r="AK30">
        <v>102</v>
      </c>
      <c r="AL30">
        <v>0.51123693379799995</v>
      </c>
      <c r="AM30">
        <v>0.56695586370499995</v>
      </c>
      <c r="AN30">
        <v>1000</v>
      </c>
      <c r="AO30">
        <v>0.46325449750199998</v>
      </c>
      <c r="AP30">
        <v>0.57282847896400002</v>
      </c>
      <c r="AQ30">
        <v>0.45452096778500001</v>
      </c>
      <c r="AR30">
        <v>0.56240235939899996</v>
      </c>
      <c r="AS30">
        <v>0.45220578629899999</v>
      </c>
      <c r="AT30">
        <v>0.55914185369000002</v>
      </c>
      <c r="AU30">
        <v>-9.1535893198500001E-2</v>
      </c>
      <c r="AV30">
        <v>0.12785826901700001</v>
      </c>
      <c r="AW30">
        <v>0.44730366658499998</v>
      </c>
      <c r="AX30">
        <v>0.56708036560499997</v>
      </c>
      <c r="AY30">
        <v>0.51136065481199999</v>
      </c>
      <c r="AZ30">
        <v>0.63719221703600004</v>
      </c>
    </row>
    <row r="31" spans="1:52" x14ac:dyDescent="0.25">
      <c r="A31" t="s">
        <v>94</v>
      </c>
      <c r="B31" t="s">
        <v>53</v>
      </c>
      <c r="C31">
        <v>60</v>
      </c>
      <c r="D31">
        <v>30</v>
      </c>
      <c r="E31" t="s">
        <v>54</v>
      </c>
      <c r="F31" t="s">
        <v>85</v>
      </c>
      <c r="G31" t="s">
        <v>70</v>
      </c>
      <c r="H31" t="s">
        <v>59</v>
      </c>
      <c r="I31">
        <v>48</v>
      </c>
      <c r="J31">
        <v>96</v>
      </c>
      <c r="K31">
        <v>42</v>
      </c>
      <c r="L31">
        <v>42</v>
      </c>
      <c r="M31" t="b">
        <v>1</v>
      </c>
      <c r="N31" t="b">
        <v>0</v>
      </c>
      <c r="O31">
        <v>412.2729544</v>
      </c>
      <c r="P31">
        <v>304</v>
      </c>
      <c r="Q31">
        <v>140</v>
      </c>
      <c r="R31">
        <v>164</v>
      </c>
      <c r="S31" t="b">
        <v>1</v>
      </c>
      <c r="T31">
        <v>0.56578947368400001</v>
      </c>
      <c r="U31">
        <v>0.549477351916</v>
      </c>
      <c r="V31">
        <v>0.55976430976400005</v>
      </c>
      <c r="W31">
        <v>0.549477351916</v>
      </c>
      <c r="X31">
        <v>0.53684210526300002</v>
      </c>
      <c r="Y31">
        <v>0.54545454545500005</v>
      </c>
      <c r="Z31">
        <v>0.34285714285699997</v>
      </c>
      <c r="AA31">
        <v>0.42105263157900003</v>
      </c>
      <c r="AB31">
        <v>140</v>
      </c>
      <c r="AC31">
        <v>0.57407407407400002</v>
      </c>
      <c r="AD31">
        <v>0.756097560976</v>
      </c>
      <c r="AE31">
        <v>0.65263157894699997</v>
      </c>
      <c r="AF31">
        <v>164</v>
      </c>
      <c r="AG31">
        <v>0.10875623726899999</v>
      </c>
      <c r="AH31">
        <v>48</v>
      </c>
      <c r="AI31">
        <v>92</v>
      </c>
      <c r="AJ31">
        <v>40</v>
      </c>
      <c r="AK31">
        <v>124</v>
      </c>
      <c r="AL31">
        <v>0.58362369337999997</v>
      </c>
      <c r="AM31">
        <v>0.59874269548100001</v>
      </c>
      <c r="AN31">
        <v>1000</v>
      </c>
      <c r="AO31">
        <v>0.518269409997</v>
      </c>
      <c r="AP31">
        <v>0.60855263157899997</v>
      </c>
      <c r="AQ31">
        <v>0.50461579650300004</v>
      </c>
      <c r="AR31">
        <v>0.59386534914900002</v>
      </c>
      <c r="AS31">
        <v>0.48799299429100002</v>
      </c>
      <c r="AT31">
        <v>0.58275089563399995</v>
      </c>
      <c r="AU31">
        <v>1.03378491698E-2</v>
      </c>
      <c r="AV31">
        <v>0.20667780347</v>
      </c>
      <c r="AW31">
        <v>0.51654773860199998</v>
      </c>
      <c r="AX31">
        <v>0.65153681447900003</v>
      </c>
      <c r="AY31">
        <v>0.54009480240700003</v>
      </c>
      <c r="AZ31">
        <v>0.67178870719200001</v>
      </c>
    </row>
    <row r="32" spans="1:52" x14ac:dyDescent="0.25">
      <c r="A32" t="s">
        <v>95</v>
      </c>
      <c r="B32" t="s">
        <v>53</v>
      </c>
      <c r="C32">
        <v>60</v>
      </c>
      <c r="D32">
        <v>30</v>
      </c>
      <c r="E32" t="s">
        <v>54</v>
      </c>
      <c r="F32" t="s">
        <v>85</v>
      </c>
      <c r="G32" t="s">
        <v>70</v>
      </c>
      <c r="H32" t="s">
        <v>61</v>
      </c>
      <c r="I32">
        <v>48</v>
      </c>
      <c r="J32">
        <v>96</v>
      </c>
      <c r="K32">
        <v>42</v>
      </c>
      <c r="L32">
        <v>42</v>
      </c>
      <c r="M32" t="b">
        <v>1</v>
      </c>
      <c r="N32" t="b">
        <v>0</v>
      </c>
      <c r="O32">
        <v>23.123574999999999</v>
      </c>
      <c r="P32">
        <v>304</v>
      </c>
      <c r="Q32">
        <v>140</v>
      </c>
      <c r="R32">
        <v>164</v>
      </c>
      <c r="S32" t="b">
        <v>1</v>
      </c>
      <c r="T32">
        <v>0.52631578947400004</v>
      </c>
      <c r="U32">
        <v>0.52020905923299998</v>
      </c>
      <c r="V32">
        <v>0.52059659090900001</v>
      </c>
      <c r="W32">
        <v>0.52020905923299998</v>
      </c>
      <c r="X32">
        <v>0.51957857770000004</v>
      </c>
      <c r="Y32">
        <v>0.484375</v>
      </c>
      <c r="Z32">
        <v>0.44285714285700001</v>
      </c>
      <c r="AA32">
        <v>0.46268656716399997</v>
      </c>
      <c r="AB32">
        <v>140</v>
      </c>
      <c r="AC32">
        <v>0.55681818181800002</v>
      </c>
      <c r="AD32">
        <v>0.59756097560999999</v>
      </c>
      <c r="AE32">
        <v>0.57647058823499997</v>
      </c>
      <c r="AF32">
        <v>164</v>
      </c>
      <c r="AG32">
        <v>4.0803809904899999E-2</v>
      </c>
      <c r="AH32">
        <v>62</v>
      </c>
      <c r="AI32">
        <v>78</v>
      </c>
      <c r="AJ32">
        <v>66</v>
      </c>
      <c r="AK32">
        <v>98</v>
      </c>
      <c r="AL32">
        <v>0.48556184669000002</v>
      </c>
      <c r="AM32">
        <v>0.52201998144600004</v>
      </c>
      <c r="AN32">
        <v>1000</v>
      </c>
      <c r="AO32">
        <v>0.461787630974</v>
      </c>
      <c r="AP32">
        <v>0.58984281027899998</v>
      </c>
      <c r="AQ32">
        <v>0.455717314895</v>
      </c>
      <c r="AR32">
        <v>0.58413910390900003</v>
      </c>
      <c r="AS32">
        <v>0.453690873409</v>
      </c>
      <c r="AT32">
        <v>0.583690739904</v>
      </c>
      <c r="AU32">
        <v>-8.9323558099600006E-2</v>
      </c>
      <c r="AV32">
        <v>0.16973367646099999</v>
      </c>
      <c r="AW32">
        <v>0.421252570045</v>
      </c>
      <c r="AX32">
        <v>0.55353474057600005</v>
      </c>
      <c r="AY32">
        <v>0.46979383461300001</v>
      </c>
      <c r="AZ32">
        <v>0.58933186444700003</v>
      </c>
    </row>
    <row r="33" spans="1:52" x14ac:dyDescent="0.25">
      <c r="A33" t="s">
        <v>96</v>
      </c>
      <c r="B33" t="s">
        <v>53</v>
      </c>
      <c r="C33">
        <v>60</v>
      </c>
      <c r="D33">
        <v>30</v>
      </c>
      <c r="E33" t="s">
        <v>54</v>
      </c>
      <c r="F33" t="s">
        <v>85</v>
      </c>
      <c r="G33" t="s">
        <v>70</v>
      </c>
      <c r="H33" t="s">
        <v>63</v>
      </c>
      <c r="I33">
        <v>48</v>
      </c>
      <c r="J33">
        <v>96</v>
      </c>
      <c r="K33">
        <v>42</v>
      </c>
      <c r="L33">
        <v>42</v>
      </c>
      <c r="M33" t="b">
        <v>1</v>
      </c>
      <c r="N33" t="b">
        <v>0</v>
      </c>
      <c r="O33">
        <v>705.22510690000001</v>
      </c>
      <c r="P33">
        <v>304</v>
      </c>
      <c r="Q33">
        <v>140</v>
      </c>
      <c r="R33">
        <v>164</v>
      </c>
      <c r="S33" t="b">
        <v>1</v>
      </c>
      <c r="T33">
        <v>0.54934210526299998</v>
      </c>
      <c r="U33">
        <v>0.54468641115000005</v>
      </c>
      <c r="V33">
        <v>0.54511278195500001</v>
      </c>
      <c r="W33">
        <v>0.54468641115000005</v>
      </c>
      <c r="X33">
        <v>0.54460663714400004</v>
      </c>
      <c r="Y33">
        <v>0.511278195489</v>
      </c>
      <c r="Z33">
        <v>0.48571428571399999</v>
      </c>
      <c r="AA33">
        <v>0.49816849816800002</v>
      </c>
      <c r="AB33">
        <v>140</v>
      </c>
      <c r="AC33">
        <v>0.57894736842100003</v>
      </c>
      <c r="AD33">
        <v>0.60365853658500002</v>
      </c>
      <c r="AE33">
        <v>0.59104477611899997</v>
      </c>
      <c r="AF33">
        <v>164</v>
      </c>
      <c r="AG33">
        <v>8.9798180884699999E-2</v>
      </c>
      <c r="AH33">
        <v>68</v>
      </c>
      <c r="AI33">
        <v>72</v>
      </c>
      <c r="AJ33">
        <v>65</v>
      </c>
      <c r="AK33">
        <v>99</v>
      </c>
      <c r="AL33">
        <v>0.54864982578400001</v>
      </c>
      <c r="AM33">
        <v>0.58653023915299995</v>
      </c>
      <c r="AN33">
        <v>1000</v>
      </c>
      <c r="AO33">
        <v>0.49662623762399999</v>
      </c>
      <c r="AP33">
        <v>0.60312752016100002</v>
      </c>
      <c r="AQ33">
        <v>0.489295242272</v>
      </c>
      <c r="AR33">
        <v>0.59869218997499996</v>
      </c>
      <c r="AS33">
        <v>0.48849301301199999</v>
      </c>
      <c r="AT33">
        <v>0.59833929747699999</v>
      </c>
      <c r="AU33">
        <v>-2.2168914957600001E-2</v>
      </c>
      <c r="AV33">
        <v>0.19829157373299999</v>
      </c>
      <c r="AW33">
        <v>0.489290261492</v>
      </c>
      <c r="AX33">
        <v>0.61035685510000004</v>
      </c>
      <c r="AY33">
        <v>0.52498512285700005</v>
      </c>
      <c r="AZ33">
        <v>0.65572926952199995</v>
      </c>
    </row>
    <row r="34" spans="1:52" x14ac:dyDescent="0.25">
      <c r="A34" t="s">
        <v>97</v>
      </c>
      <c r="B34" t="s">
        <v>53</v>
      </c>
      <c r="C34">
        <v>60</v>
      </c>
      <c r="D34">
        <v>30</v>
      </c>
      <c r="E34" t="s">
        <v>54</v>
      </c>
      <c r="F34" t="s">
        <v>85</v>
      </c>
      <c r="G34" t="s">
        <v>75</v>
      </c>
      <c r="H34" t="s">
        <v>57</v>
      </c>
      <c r="I34">
        <v>77</v>
      </c>
      <c r="J34">
        <v>154</v>
      </c>
      <c r="K34">
        <v>42</v>
      </c>
      <c r="L34">
        <v>42</v>
      </c>
      <c r="M34" t="b">
        <v>1</v>
      </c>
      <c r="N34" t="b">
        <v>0</v>
      </c>
      <c r="O34">
        <v>28.122862900000001</v>
      </c>
      <c r="P34">
        <v>304</v>
      </c>
      <c r="Q34">
        <v>140</v>
      </c>
      <c r="R34">
        <v>164</v>
      </c>
      <c r="S34" t="b">
        <v>1</v>
      </c>
      <c r="T34">
        <v>0.58552631578900005</v>
      </c>
      <c r="U34">
        <v>0.58135888501699995</v>
      </c>
      <c r="V34">
        <v>0.58200175592600001</v>
      </c>
      <c r="W34">
        <v>0.58135888501699995</v>
      </c>
      <c r="X34">
        <v>0.58145023820999997</v>
      </c>
      <c r="Y34">
        <v>0.55223880596999997</v>
      </c>
      <c r="Z34">
        <v>0.52857142857100003</v>
      </c>
      <c r="AA34">
        <v>0.54014598540100001</v>
      </c>
      <c r="AB34">
        <v>140</v>
      </c>
      <c r="AC34">
        <v>0.61176470588200005</v>
      </c>
      <c r="AD34">
        <v>0.63414634146299997</v>
      </c>
      <c r="AE34">
        <v>0.62275449101799996</v>
      </c>
      <c r="AF34">
        <v>164</v>
      </c>
      <c r="AG34">
        <v>0.16335937599799999</v>
      </c>
      <c r="AH34">
        <v>74</v>
      </c>
      <c r="AI34">
        <v>66</v>
      </c>
      <c r="AJ34">
        <v>60</v>
      </c>
      <c r="AK34">
        <v>104</v>
      </c>
      <c r="AL34">
        <v>0.57404181184699998</v>
      </c>
      <c r="AM34">
        <v>0.58511830666999998</v>
      </c>
      <c r="AN34">
        <v>1000</v>
      </c>
      <c r="AO34">
        <v>0.52842337137100004</v>
      </c>
      <c r="AP34">
        <v>0.64311016741799998</v>
      </c>
      <c r="AQ34">
        <v>0.52529727095500001</v>
      </c>
      <c r="AR34">
        <v>0.63635245534700002</v>
      </c>
      <c r="AS34">
        <v>0.52439214327899997</v>
      </c>
      <c r="AT34">
        <v>0.63658654100099998</v>
      </c>
      <c r="AU34">
        <v>5.0532990605600001E-2</v>
      </c>
      <c r="AV34">
        <v>0.27538552427599999</v>
      </c>
      <c r="AW34">
        <v>0.51504180593799997</v>
      </c>
      <c r="AX34">
        <v>0.63053408522999999</v>
      </c>
      <c r="AY34">
        <v>0.52221155823999998</v>
      </c>
      <c r="AZ34">
        <v>0.65934422708700002</v>
      </c>
    </row>
    <row r="35" spans="1:52" x14ac:dyDescent="0.25">
      <c r="A35" t="s">
        <v>98</v>
      </c>
      <c r="B35" t="s">
        <v>53</v>
      </c>
      <c r="C35">
        <v>60</v>
      </c>
      <c r="D35">
        <v>30</v>
      </c>
      <c r="E35" t="s">
        <v>54</v>
      </c>
      <c r="F35" t="s">
        <v>85</v>
      </c>
      <c r="G35" t="s">
        <v>75</v>
      </c>
      <c r="H35" t="s">
        <v>59</v>
      </c>
      <c r="I35">
        <v>77</v>
      </c>
      <c r="J35">
        <v>154</v>
      </c>
      <c r="K35">
        <v>42</v>
      </c>
      <c r="L35">
        <v>42</v>
      </c>
      <c r="M35" t="b">
        <v>1</v>
      </c>
      <c r="N35" t="b">
        <v>0</v>
      </c>
      <c r="O35">
        <v>433.8365283</v>
      </c>
      <c r="P35">
        <v>304</v>
      </c>
      <c r="Q35">
        <v>140</v>
      </c>
      <c r="R35">
        <v>164</v>
      </c>
      <c r="S35" t="b">
        <v>1</v>
      </c>
      <c r="T35">
        <v>0.61842105263199998</v>
      </c>
      <c r="U35">
        <v>0.61184668989500002</v>
      </c>
      <c r="V35">
        <v>0.61505376344100005</v>
      </c>
      <c r="W35">
        <v>0.61184668989500002</v>
      </c>
      <c r="X35">
        <v>0.61169837914000003</v>
      </c>
      <c r="Y35">
        <v>0.59677419354799999</v>
      </c>
      <c r="Z35">
        <v>0.52857142857100003</v>
      </c>
      <c r="AA35">
        <v>0.56060606060600005</v>
      </c>
      <c r="AB35">
        <v>140</v>
      </c>
      <c r="AC35">
        <v>0.63333333333300001</v>
      </c>
      <c r="AD35">
        <v>0.69512195121999998</v>
      </c>
      <c r="AE35">
        <v>0.66279069767400001</v>
      </c>
      <c r="AF35">
        <v>164</v>
      </c>
      <c r="AG35">
        <v>0.226877787374</v>
      </c>
      <c r="AH35">
        <v>74</v>
      </c>
      <c r="AI35">
        <v>66</v>
      </c>
      <c r="AJ35">
        <v>50</v>
      </c>
      <c r="AK35">
        <v>114</v>
      </c>
      <c r="AL35">
        <v>0.63754355400700002</v>
      </c>
      <c r="AM35">
        <v>0.63388648600499997</v>
      </c>
      <c r="AN35">
        <v>1000</v>
      </c>
      <c r="AO35">
        <v>0.57142857142900005</v>
      </c>
      <c r="AP35">
        <v>0.66779690039499995</v>
      </c>
      <c r="AQ35">
        <v>0.56548395847099997</v>
      </c>
      <c r="AR35">
        <v>0.65972035790100003</v>
      </c>
      <c r="AS35">
        <v>0.56421153578200001</v>
      </c>
      <c r="AT35">
        <v>0.65897815367299994</v>
      </c>
      <c r="AU35">
        <v>0.13401849082799999</v>
      </c>
      <c r="AV35">
        <v>0.32802158494400002</v>
      </c>
      <c r="AW35">
        <v>0.58314007511199994</v>
      </c>
      <c r="AX35">
        <v>0.69132627207300001</v>
      </c>
      <c r="AY35">
        <v>0.56813175145100003</v>
      </c>
      <c r="AZ35">
        <v>0.71701782398900005</v>
      </c>
    </row>
    <row r="36" spans="1:52" x14ac:dyDescent="0.25">
      <c r="A36" t="s">
        <v>99</v>
      </c>
      <c r="B36" t="s">
        <v>53</v>
      </c>
      <c r="C36">
        <v>60</v>
      </c>
      <c r="D36">
        <v>30</v>
      </c>
      <c r="E36" t="s">
        <v>54</v>
      </c>
      <c r="F36" t="s">
        <v>85</v>
      </c>
      <c r="G36" t="s">
        <v>75</v>
      </c>
      <c r="H36" t="s">
        <v>61</v>
      </c>
      <c r="I36">
        <v>77</v>
      </c>
      <c r="J36">
        <v>154</v>
      </c>
      <c r="K36">
        <v>42</v>
      </c>
      <c r="L36">
        <v>42</v>
      </c>
      <c r="M36" t="b">
        <v>1</v>
      </c>
      <c r="N36" t="b">
        <v>0</v>
      </c>
      <c r="O36">
        <v>24.425842899999999</v>
      </c>
      <c r="P36">
        <v>304</v>
      </c>
      <c r="Q36">
        <v>140</v>
      </c>
      <c r="R36">
        <v>164</v>
      </c>
      <c r="S36" t="b">
        <v>1</v>
      </c>
      <c r="T36">
        <v>0.52960526315800005</v>
      </c>
      <c r="U36">
        <v>0.52430313588900002</v>
      </c>
      <c r="V36">
        <v>0.52462162996999995</v>
      </c>
      <c r="W36">
        <v>0.52430313588900002</v>
      </c>
      <c r="X36">
        <v>0.523996189517</v>
      </c>
      <c r="Y36">
        <v>0.48854961832100002</v>
      </c>
      <c r="Z36">
        <v>0.45714285714300001</v>
      </c>
      <c r="AA36">
        <v>0.47232472324699998</v>
      </c>
      <c r="AB36">
        <v>140</v>
      </c>
      <c r="AC36">
        <v>0.56069364161799995</v>
      </c>
      <c r="AD36">
        <v>0.59146341463399998</v>
      </c>
      <c r="AE36">
        <v>0.57566765578599999</v>
      </c>
      <c r="AF36">
        <v>164</v>
      </c>
      <c r="AG36">
        <v>4.8923729168800001E-2</v>
      </c>
      <c r="AH36">
        <v>64</v>
      </c>
      <c r="AI36">
        <v>76</v>
      </c>
      <c r="AJ36">
        <v>67</v>
      </c>
      <c r="AK36">
        <v>97</v>
      </c>
      <c r="AL36">
        <v>0.53377613240400001</v>
      </c>
      <c r="AM36">
        <v>0.55647995830800001</v>
      </c>
      <c r="AN36">
        <v>1000</v>
      </c>
      <c r="AO36">
        <v>0.47524752475199999</v>
      </c>
      <c r="AP36">
        <v>0.58141030434499996</v>
      </c>
      <c r="AQ36">
        <v>0.47093340916900001</v>
      </c>
      <c r="AR36">
        <v>0.57815209217999997</v>
      </c>
      <c r="AS36">
        <v>0.470082270601</v>
      </c>
      <c r="AT36">
        <v>0.57779867324</v>
      </c>
      <c r="AU36">
        <v>-5.8500304912999998E-2</v>
      </c>
      <c r="AV36">
        <v>0.15675389169100001</v>
      </c>
      <c r="AW36">
        <v>0.477958085443</v>
      </c>
      <c r="AX36">
        <v>0.59106801267599995</v>
      </c>
      <c r="AY36">
        <v>0.49341191750500002</v>
      </c>
      <c r="AZ36">
        <v>0.628600029723</v>
      </c>
    </row>
    <row r="37" spans="1:52" x14ac:dyDescent="0.25">
      <c r="A37" t="s">
        <v>100</v>
      </c>
      <c r="B37" t="s">
        <v>53</v>
      </c>
      <c r="C37">
        <v>60</v>
      </c>
      <c r="D37">
        <v>30</v>
      </c>
      <c r="E37" t="s">
        <v>54</v>
      </c>
      <c r="F37" t="s">
        <v>85</v>
      </c>
      <c r="G37" t="s">
        <v>75</v>
      </c>
      <c r="H37" t="s">
        <v>63</v>
      </c>
      <c r="I37">
        <v>77</v>
      </c>
      <c r="J37">
        <v>154</v>
      </c>
      <c r="K37">
        <v>42</v>
      </c>
      <c r="L37">
        <v>42</v>
      </c>
      <c r="M37" t="b">
        <v>1</v>
      </c>
      <c r="N37" t="b">
        <v>0</v>
      </c>
      <c r="O37">
        <v>1204.0349277</v>
      </c>
      <c r="P37">
        <v>304</v>
      </c>
      <c r="Q37">
        <v>140</v>
      </c>
      <c r="R37">
        <v>164</v>
      </c>
      <c r="S37" t="b">
        <v>1</v>
      </c>
      <c r="T37">
        <v>0.64144736842100003</v>
      </c>
      <c r="U37">
        <v>0.63527874564499998</v>
      </c>
      <c r="V37">
        <v>0.63881564245800004</v>
      </c>
      <c r="W37">
        <v>0.63527874564499998</v>
      </c>
      <c r="X37">
        <v>0.63544749436199999</v>
      </c>
      <c r="Y37">
        <v>0.624</v>
      </c>
      <c r="Z37">
        <v>0.55714285714300005</v>
      </c>
      <c r="AA37">
        <v>0.58867924528299997</v>
      </c>
      <c r="AB37">
        <v>140</v>
      </c>
      <c r="AC37">
        <v>0.65363128491599998</v>
      </c>
      <c r="AD37">
        <v>0.71341463414600004</v>
      </c>
      <c r="AE37">
        <v>0.68221574344000002</v>
      </c>
      <c r="AF37">
        <v>164</v>
      </c>
      <c r="AG37">
        <v>0.27407156720499998</v>
      </c>
      <c r="AH37">
        <v>78</v>
      </c>
      <c r="AI37">
        <v>62</v>
      </c>
      <c r="AJ37">
        <v>47</v>
      </c>
      <c r="AK37">
        <v>117</v>
      </c>
      <c r="AL37">
        <v>0.65413763066200004</v>
      </c>
      <c r="AM37">
        <v>0.65279895823900003</v>
      </c>
      <c r="AN37">
        <v>1000</v>
      </c>
      <c r="AO37">
        <v>0.58116341991300002</v>
      </c>
      <c r="AP37">
        <v>0.692837134854</v>
      </c>
      <c r="AQ37">
        <v>0.57687218945200003</v>
      </c>
      <c r="AR37">
        <v>0.68729625312999998</v>
      </c>
      <c r="AS37">
        <v>0.57298839537199997</v>
      </c>
      <c r="AT37">
        <v>0.68764217526899996</v>
      </c>
      <c r="AU37">
        <v>0.15833171637099999</v>
      </c>
      <c r="AV37">
        <v>0.38100876188499999</v>
      </c>
      <c r="AW37">
        <v>0.60130514109199995</v>
      </c>
      <c r="AX37">
        <v>0.70582091446299999</v>
      </c>
      <c r="AY37">
        <v>0.594342375044</v>
      </c>
      <c r="AZ37">
        <v>0.72683546184699999</v>
      </c>
    </row>
    <row r="38" spans="1:52" x14ac:dyDescent="0.25">
      <c r="A38" t="s">
        <v>101</v>
      </c>
      <c r="B38" t="s">
        <v>53</v>
      </c>
      <c r="C38">
        <v>60</v>
      </c>
      <c r="D38">
        <v>30</v>
      </c>
      <c r="E38" t="s">
        <v>54</v>
      </c>
      <c r="F38" t="s">
        <v>85</v>
      </c>
      <c r="G38" t="s">
        <v>80</v>
      </c>
      <c r="H38" t="s">
        <v>57</v>
      </c>
      <c r="I38">
        <v>77</v>
      </c>
      <c r="J38">
        <v>154</v>
      </c>
      <c r="K38">
        <v>42</v>
      </c>
      <c r="L38">
        <v>42</v>
      </c>
      <c r="M38" t="b">
        <v>1</v>
      </c>
      <c r="N38" t="b">
        <v>0</v>
      </c>
      <c r="O38">
        <v>28.378727600000001</v>
      </c>
      <c r="P38">
        <v>304</v>
      </c>
      <c r="Q38">
        <v>140</v>
      </c>
      <c r="R38">
        <v>164</v>
      </c>
      <c r="S38" t="b">
        <v>1</v>
      </c>
      <c r="T38">
        <v>0.49342105263199998</v>
      </c>
      <c r="U38">
        <v>0.483449477352</v>
      </c>
      <c r="V38">
        <v>0.48245614035099998</v>
      </c>
      <c r="W38">
        <v>0.483449477352</v>
      </c>
      <c r="X38">
        <v>0.47933626940700003</v>
      </c>
      <c r="Y38">
        <v>0.43859649122799998</v>
      </c>
      <c r="Z38">
        <v>0.35714285714299998</v>
      </c>
      <c r="AA38">
        <v>0.39370078740199999</v>
      </c>
      <c r="AB38">
        <v>140</v>
      </c>
      <c r="AC38">
        <v>0.52631578947400004</v>
      </c>
      <c r="AD38">
        <v>0.60975609756100002</v>
      </c>
      <c r="AE38">
        <v>0.56497175141199996</v>
      </c>
      <c r="AF38">
        <v>164</v>
      </c>
      <c r="AG38">
        <v>-3.4079908829500002E-2</v>
      </c>
      <c r="AH38">
        <v>50</v>
      </c>
      <c r="AI38">
        <v>90</v>
      </c>
      <c r="AJ38">
        <v>64</v>
      </c>
      <c r="AK38">
        <v>100</v>
      </c>
      <c r="AL38">
        <v>0.50540069686400002</v>
      </c>
      <c r="AM38">
        <v>0.54352170530099997</v>
      </c>
      <c r="AN38">
        <v>1000</v>
      </c>
      <c r="AO38">
        <v>0.45116543726699998</v>
      </c>
      <c r="AP38">
        <v>0.53356846094099997</v>
      </c>
      <c r="AQ38">
        <v>0.44127318282799999</v>
      </c>
      <c r="AR38">
        <v>0.52390954233599996</v>
      </c>
      <c r="AS38">
        <v>0.43670724844100001</v>
      </c>
      <c r="AT38">
        <v>0.51995272218499999</v>
      </c>
      <c r="AU38">
        <v>-0.121619511412</v>
      </c>
      <c r="AV38">
        <v>4.85028359231E-2</v>
      </c>
      <c r="AW38">
        <v>0.46003887148900002</v>
      </c>
      <c r="AX38">
        <v>0.55138494893400003</v>
      </c>
      <c r="AY38">
        <v>0.49848762233799998</v>
      </c>
      <c r="AZ38">
        <v>0.59839706583499996</v>
      </c>
    </row>
    <row r="39" spans="1:52" x14ac:dyDescent="0.25">
      <c r="A39" t="s">
        <v>102</v>
      </c>
      <c r="B39" t="s">
        <v>53</v>
      </c>
      <c r="C39">
        <v>60</v>
      </c>
      <c r="D39">
        <v>30</v>
      </c>
      <c r="E39" t="s">
        <v>54</v>
      </c>
      <c r="F39" t="s">
        <v>85</v>
      </c>
      <c r="G39" t="s">
        <v>80</v>
      </c>
      <c r="H39" t="s">
        <v>59</v>
      </c>
      <c r="I39">
        <v>77</v>
      </c>
      <c r="J39">
        <v>154</v>
      </c>
      <c r="K39">
        <v>42</v>
      </c>
      <c r="L39">
        <v>42</v>
      </c>
      <c r="M39" t="b">
        <v>1</v>
      </c>
      <c r="N39" t="b">
        <v>0</v>
      </c>
      <c r="O39">
        <v>435.30075640000001</v>
      </c>
      <c r="P39">
        <v>304</v>
      </c>
      <c r="Q39">
        <v>140</v>
      </c>
      <c r="R39">
        <v>164</v>
      </c>
      <c r="S39" t="b">
        <v>1</v>
      </c>
      <c r="T39">
        <v>0.5625</v>
      </c>
      <c r="U39">
        <v>0.54904181184699996</v>
      </c>
      <c r="V39">
        <v>0.55548164572600001</v>
      </c>
      <c r="W39">
        <v>0.54904181184699996</v>
      </c>
      <c r="X39">
        <v>0.54154052000800001</v>
      </c>
      <c r="Y39">
        <v>0.53535353535399999</v>
      </c>
      <c r="Z39">
        <v>0.37857142857100001</v>
      </c>
      <c r="AA39">
        <v>0.44351464435100002</v>
      </c>
      <c r="AB39">
        <v>140</v>
      </c>
      <c r="AC39">
        <v>0.57560975609800002</v>
      </c>
      <c r="AD39">
        <v>0.71951219512200004</v>
      </c>
      <c r="AE39">
        <v>0.63956639566399998</v>
      </c>
      <c r="AF39">
        <v>164</v>
      </c>
      <c r="AG39">
        <v>0.104324885442</v>
      </c>
      <c r="AH39">
        <v>53</v>
      </c>
      <c r="AI39">
        <v>87</v>
      </c>
      <c r="AJ39">
        <v>46</v>
      </c>
      <c r="AK39">
        <v>118</v>
      </c>
      <c r="AL39">
        <v>0.56602787456400006</v>
      </c>
      <c r="AM39">
        <v>0.58990994379299999</v>
      </c>
      <c r="AN39">
        <v>1000</v>
      </c>
      <c r="AO39">
        <v>0.51324285465300001</v>
      </c>
      <c r="AP39">
        <v>0.61321069182400001</v>
      </c>
      <c r="AQ39">
        <v>0.50220483484800005</v>
      </c>
      <c r="AR39">
        <v>0.59654841784500001</v>
      </c>
      <c r="AS39">
        <v>0.494307514043</v>
      </c>
      <c r="AT39">
        <v>0.58931246221199995</v>
      </c>
      <c r="AU39">
        <v>4.5850636307000004E-3</v>
      </c>
      <c r="AV39">
        <v>0.208765494839</v>
      </c>
      <c r="AW39">
        <v>0.52197990318900001</v>
      </c>
      <c r="AX39">
        <v>0.61230780803999996</v>
      </c>
      <c r="AY39">
        <v>0.54278881130800005</v>
      </c>
      <c r="AZ39">
        <v>0.65342725487599995</v>
      </c>
    </row>
    <row r="40" spans="1:52" x14ac:dyDescent="0.25">
      <c r="A40" t="s">
        <v>103</v>
      </c>
      <c r="B40" t="s">
        <v>53</v>
      </c>
      <c r="C40">
        <v>60</v>
      </c>
      <c r="D40">
        <v>30</v>
      </c>
      <c r="E40" t="s">
        <v>54</v>
      </c>
      <c r="F40" t="s">
        <v>85</v>
      </c>
      <c r="G40" t="s">
        <v>80</v>
      </c>
      <c r="H40" t="s">
        <v>61</v>
      </c>
      <c r="I40">
        <v>77</v>
      </c>
      <c r="J40">
        <v>154</v>
      </c>
      <c r="K40">
        <v>42</v>
      </c>
      <c r="L40">
        <v>42</v>
      </c>
      <c r="M40" t="b">
        <v>1</v>
      </c>
      <c r="N40" t="b">
        <v>0</v>
      </c>
      <c r="O40">
        <v>24.462224200000001</v>
      </c>
      <c r="P40">
        <v>304</v>
      </c>
      <c r="Q40">
        <v>140</v>
      </c>
      <c r="R40">
        <v>164</v>
      </c>
      <c r="S40" t="b">
        <v>1</v>
      </c>
      <c r="T40">
        <v>0.53947368421099995</v>
      </c>
      <c r="U40">
        <v>0.53240418118499999</v>
      </c>
      <c r="V40">
        <v>0.53333333333300004</v>
      </c>
      <c r="W40">
        <v>0.53240418118499999</v>
      </c>
      <c r="X40">
        <v>0.53136011275499995</v>
      </c>
      <c r="Y40">
        <v>0.5</v>
      </c>
      <c r="Z40">
        <v>0.44285714285700001</v>
      </c>
      <c r="AA40">
        <v>0.46969696969699998</v>
      </c>
      <c r="AB40">
        <v>140</v>
      </c>
      <c r="AC40">
        <v>0.56666666666700005</v>
      </c>
      <c r="AD40">
        <v>0.62195121951200005</v>
      </c>
      <c r="AE40">
        <v>0.59302325581399995</v>
      </c>
      <c r="AF40">
        <v>164</v>
      </c>
      <c r="AG40">
        <v>6.5730947743700002E-2</v>
      </c>
      <c r="AH40">
        <v>62</v>
      </c>
      <c r="AI40">
        <v>78</v>
      </c>
      <c r="AJ40">
        <v>62</v>
      </c>
      <c r="AK40">
        <v>102</v>
      </c>
      <c r="AL40">
        <v>0.51618031358899996</v>
      </c>
      <c r="AM40">
        <v>0.54687968226799999</v>
      </c>
      <c r="AN40">
        <v>1000</v>
      </c>
      <c r="AO40">
        <v>0.48451683625699998</v>
      </c>
      <c r="AP40">
        <v>0.59155156016499999</v>
      </c>
      <c r="AQ40">
        <v>0.47645265997300001</v>
      </c>
      <c r="AR40">
        <v>0.58652961356300004</v>
      </c>
      <c r="AS40">
        <v>0.47497016157799998</v>
      </c>
      <c r="AT40">
        <v>0.58488019077999998</v>
      </c>
      <c r="AU40">
        <v>-4.7366244992300001E-2</v>
      </c>
      <c r="AV40">
        <v>0.17595128116700001</v>
      </c>
      <c r="AW40">
        <v>0.45746487056099999</v>
      </c>
      <c r="AX40">
        <v>0.569130572886</v>
      </c>
      <c r="AY40">
        <v>0.495521705674</v>
      </c>
      <c r="AZ40">
        <v>0.60787767441700002</v>
      </c>
    </row>
    <row r="41" spans="1:52" x14ac:dyDescent="0.25">
      <c r="A41" t="s">
        <v>104</v>
      </c>
      <c r="B41" t="s">
        <v>53</v>
      </c>
      <c r="C41">
        <v>60</v>
      </c>
      <c r="D41">
        <v>30</v>
      </c>
      <c r="E41" t="s">
        <v>54</v>
      </c>
      <c r="F41" t="s">
        <v>85</v>
      </c>
      <c r="G41" t="s">
        <v>80</v>
      </c>
      <c r="H41" t="s">
        <v>63</v>
      </c>
      <c r="I41">
        <v>77</v>
      </c>
      <c r="J41">
        <v>154</v>
      </c>
      <c r="K41">
        <v>42</v>
      </c>
      <c r="L41">
        <v>42</v>
      </c>
      <c r="M41" t="b">
        <v>1</v>
      </c>
      <c r="N41" t="b">
        <v>0</v>
      </c>
      <c r="O41">
        <v>1200.5259467999999</v>
      </c>
      <c r="P41">
        <v>304</v>
      </c>
      <c r="Q41">
        <v>140</v>
      </c>
      <c r="R41">
        <v>164</v>
      </c>
      <c r="S41" t="b">
        <v>1</v>
      </c>
      <c r="T41">
        <v>0.52960526315800005</v>
      </c>
      <c r="U41">
        <v>0.52482578397199997</v>
      </c>
      <c r="V41">
        <v>0.52506265664200003</v>
      </c>
      <c r="W41">
        <v>0.52482578397199997</v>
      </c>
      <c r="X41">
        <v>0.52466240227399996</v>
      </c>
      <c r="Y41">
        <v>0.488721804511</v>
      </c>
      <c r="Z41">
        <v>0.46428571428600002</v>
      </c>
      <c r="AA41">
        <v>0.47619047618999999</v>
      </c>
      <c r="AB41">
        <v>140</v>
      </c>
      <c r="AC41">
        <v>0.56140350877199996</v>
      </c>
      <c r="AD41">
        <v>0.58536585365899996</v>
      </c>
      <c r="AE41">
        <v>0.57313432835800004</v>
      </c>
      <c r="AF41">
        <v>164</v>
      </c>
      <c r="AG41">
        <v>4.9887878269300003E-2</v>
      </c>
      <c r="AH41">
        <v>65</v>
      </c>
      <c r="AI41">
        <v>75</v>
      </c>
      <c r="AJ41">
        <v>68</v>
      </c>
      <c r="AK41">
        <v>96</v>
      </c>
      <c r="AL41">
        <v>0.53484320557499998</v>
      </c>
      <c r="AM41">
        <v>0.58819918795500004</v>
      </c>
      <c r="AN41">
        <v>1000</v>
      </c>
      <c r="AO41">
        <v>0.486450570172</v>
      </c>
      <c r="AP41">
        <v>0.57097926267300003</v>
      </c>
      <c r="AQ41">
        <v>0.48178398774699999</v>
      </c>
      <c r="AR41">
        <v>0.56659616192499995</v>
      </c>
      <c r="AS41">
        <v>0.480882228887</v>
      </c>
      <c r="AT41">
        <v>0.565493152981</v>
      </c>
      <c r="AU41">
        <v>-3.6649654656499997E-2</v>
      </c>
      <c r="AV41">
        <v>0.132728494365</v>
      </c>
      <c r="AW41">
        <v>0.48717538072400002</v>
      </c>
      <c r="AX41">
        <v>0.58369743666999996</v>
      </c>
      <c r="AY41">
        <v>0.53624636600200004</v>
      </c>
      <c r="AZ41">
        <v>0.652644306487</v>
      </c>
    </row>
    <row r="42" spans="1:52" x14ac:dyDescent="0.25">
      <c r="A42" t="s">
        <v>105</v>
      </c>
      <c r="B42" t="s">
        <v>53</v>
      </c>
      <c r="C42">
        <v>60</v>
      </c>
      <c r="D42">
        <v>30</v>
      </c>
      <c r="E42" t="s">
        <v>106</v>
      </c>
      <c r="F42" t="s">
        <v>55</v>
      </c>
      <c r="G42" t="s">
        <v>56</v>
      </c>
      <c r="H42" t="s">
        <v>57</v>
      </c>
      <c r="I42">
        <v>29</v>
      </c>
      <c r="J42">
        <v>29</v>
      </c>
      <c r="K42">
        <v>42</v>
      </c>
      <c r="L42">
        <v>42</v>
      </c>
      <c r="M42" t="b">
        <v>1</v>
      </c>
      <c r="N42" t="b">
        <v>0</v>
      </c>
      <c r="O42">
        <v>35.549819499999998</v>
      </c>
      <c r="P42">
        <v>624</v>
      </c>
      <c r="Q42">
        <v>333</v>
      </c>
      <c r="R42">
        <v>291</v>
      </c>
      <c r="S42" t="b">
        <v>1</v>
      </c>
      <c r="T42">
        <v>0.43910256410300003</v>
      </c>
      <c r="U42">
        <v>0.438066932912</v>
      </c>
      <c r="V42">
        <v>0.43831646024999998</v>
      </c>
      <c r="W42">
        <v>0.438066932912</v>
      </c>
      <c r="X42">
        <v>0.43797093095099998</v>
      </c>
      <c r="Y42">
        <v>0.47335423197499998</v>
      </c>
      <c r="Z42">
        <v>0.45345345345299998</v>
      </c>
      <c r="AA42">
        <v>0.46319018404899998</v>
      </c>
      <c r="AB42">
        <v>333</v>
      </c>
      <c r="AC42">
        <v>0.40327868852499998</v>
      </c>
      <c r="AD42">
        <v>0.42268041237100001</v>
      </c>
      <c r="AE42">
        <v>0.41275167785200001</v>
      </c>
      <c r="AF42">
        <v>291</v>
      </c>
      <c r="AG42">
        <v>-0.123616354995</v>
      </c>
      <c r="AH42">
        <v>151</v>
      </c>
      <c r="AI42">
        <v>182</v>
      </c>
      <c r="AJ42">
        <v>168</v>
      </c>
      <c r="AK42">
        <v>123</v>
      </c>
      <c r="AL42">
        <v>0.42502296110499999</v>
      </c>
      <c r="AM42">
        <v>0.41651922418300003</v>
      </c>
      <c r="AN42">
        <v>1000</v>
      </c>
      <c r="AO42">
        <v>0.36475432517299999</v>
      </c>
      <c r="AP42">
        <v>0.51182439000699997</v>
      </c>
      <c r="AQ42">
        <v>0.36583358809299998</v>
      </c>
      <c r="AR42">
        <v>0.50896556789900005</v>
      </c>
      <c r="AS42">
        <v>0.36334215868399999</v>
      </c>
      <c r="AT42">
        <v>0.50821033649900005</v>
      </c>
      <c r="AU42">
        <v>-0.26742956434100001</v>
      </c>
      <c r="AV42">
        <v>1.80618377875E-2</v>
      </c>
      <c r="AW42">
        <v>0.32762403493699999</v>
      </c>
      <c r="AX42">
        <v>0.522649316019</v>
      </c>
      <c r="AY42">
        <v>0.28342377908799998</v>
      </c>
      <c r="AZ42">
        <v>0.56478882851900003</v>
      </c>
    </row>
    <row r="43" spans="1:52" x14ac:dyDescent="0.25">
      <c r="A43" t="s">
        <v>107</v>
      </c>
      <c r="B43" t="s">
        <v>53</v>
      </c>
      <c r="C43">
        <v>60</v>
      </c>
      <c r="D43">
        <v>30</v>
      </c>
      <c r="E43" t="s">
        <v>106</v>
      </c>
      <c r="F43" t="s">
        <v>55</v>
      </c>
      <c r="G43" t="s">
        <v>56</v>
      </c>
      <c r="H43" t="s">
        <v>59</v>
      </c>
      <c r="I43">
        <v>29</v>
      </c>
      <c r="J43">
        <v>29</v>
      </c>
      <c r="K43">
        <v>42</v>
      </c>
      <c r="L43">
        <v>42</v>
      </c>
      <c r="M43" t="b">
        <v>1</v>
      </c>
      <c r="N43" t="b">
        <v>0</v>
      </c>
      <c r="O43">
        <v>468.60011200000002</v>
      </c>
      <c r="P43">
        <v>624</v>
      </c>
      <c r="Q43">
        <v>333</v>
      </c>
      <c r="R43">
        <v>291</v>
      </c>
      <c r="S43" t="b">
        <v>1</v>
      </c>
      <c r="T43">
        <v>0.509615384615</v>
      </c>
      <c r="U43">
        <v>0.50174917185199996</v>
      </c>
      <c r="V43">
        <v>0.50184209096300003</v>
      </c>
      <c r="W43">
        <v>0.50174917185199996</v>
      </c>
      <c r="X43">
        <v>0.49822883271099999</v>
      </c>
      <c r="Y43">
        <v>0.53506493506499997</v>
      </c>
      <c r="Z43">
        <v>0.61861861861900003</v>
      </c>
      <c r="AA43">
        <v>0.57381615598900004</v>
      </c>
      <c r="AB43">
        <v>333</v>
      </c>
      <c r="AC43">
        <v>0.46861924686200002</v>
      </c>
      <c r="AD43">
        <v>0.38487972508599999</v>
      </c>
      <c r="AE43">
        <v>0.42264150943399997</v>
      </c>
      <c r="AF43">
        <v>291</v>
      </c>
      <c r="AG43">
        <v>3.5900605357299998E-3</v>
      </c>
      <c r="AH43">
        <v>206</v>
      </c>
      <c r="AI43">
        <v>127</v>
      </c>
      <c r="AJ43">
        <v>179</v>
      </c>
      <c r="AK43">
        <v>112</v>
      </c>
      <c r="AL43">
        <v>0.48645552769299999</v>
      </c>
      <c r="AM43">
        <v>0.48171040968700002</v>
      </c>
      <c r="AN43">
        <v>1000</v>
      </c>
      <c r="AO43">
        <v>0.414657782596</v>
      </c>
      <c r="AP43">
        <v>0.58928984587800004</v>
      </c>
      <c r="AQ43">
        <v>0.40646936177100002</v>
      </c>
      <c r="AR43">
        <v>0.58831804683199995</v>
      </c>
      <c r="AS43">
        <v>0.39834993479899999</v>
      </c>
      <c r="AT43">
        <v>0.57888927627099995</v>
      </c>
      <c r="AU43">
        <v>-0.18944390438100001</v>
      </c>
      <c r="AV43">
        <v>0.17912854025300001</v>
      </c>
      <c r="AW43">
        <v>0.36382220217</v>
      </c>
      <c r="AX43">
        <v>0.6021512779</v>
      </c>
      <c r="AY43">
        <v>0.32041714486099998</v>
      </c>
      <c r="AZ43">
        <v>0.66070987047499996</v>
      </c>
    </row>
    <row r="44" spans="1:52" x14ac:dyDescent="0.25">
      <c r="A44" t="s">
        <v>108</v>
      </c>
      <c r="B44" t="s">
        <v>53</v>
      </c>
      <c r="C44">
        <v>60</v>
      </c>
      <c r="D44">
        <v>30</v>
      </c>
      <c r="E44" t="s">
        <v>106</v>
      </c>
      <c r="F44" t="s">
        <v>55</v>
      </c>
      <c r="G44" t="s">
        <v>56</v>
      </c>
      <c r="H44" t="s">
        <v>61</v>
      </c>
      <c r="I44">
        <v>29</v>
      </c>
      <c r="J44">
        <v>29</v>
      </c>
      <c r="K44">
        <v>42</v>
      </c>
      <c r="L44">
        <v>42</v>
      </c>
      <c r="M44" t="b">
        <v>1</v>
      </c>
      <c r="N44" t="b">
        <v>0</v>
      </c>
      <c r="O44">
        <v>23.185216799999999</v>
      </c>
      <c r="P44">
        <v>624</v>
      </c>
      <c r="Q44">
        <v>333</v>
      </c>
      <c r="R44">
        <v>291</v>
      </c>
      <c r="S44" t="b">
        <v>1</v>
      </c>
      <c r="T44">
        <v>0.42948717948699999</v>
      </c>
      <c r="U44">
        <v>0.42472369276499999</v>
      </c>
      <c r="V44">
        <v>0.42374794852800002</v>
      </c>
      <c r="W44">
        <v>0.42472369276499999</v>
      </c>
      <c r="X44">
        <v>0.42379880269300002</v>
      </c>
      <c r="Y44">
        <v>0.46742209631699999</v>
      </c>
      <c r="Z44">
        <v>0.49549549549499999</v>
      </c>
      <c r="AA44">
        <v>0.481049562682</v>
      </c>
      <c r="AB44">
        <v>333</v>
      </c>
      <c r="AC44">
        <v>0.38007380073800001</v>
      </c>
      <c r="AD44">
        <v>0.35395189003400002</v>
      </c>
      <c r="AE44">
        <v>0.36654804270500002</v>
      </c>
      <c r="AF44">
        <v>291</v>
      </c>
      <c r="AG44">
        <v>-0.151525217095</v>
      </c>
      <c r="AH44">
        <v>165</v>
      </c>
      <c r="AI44">
        <v>168</v>
      </c>
      <c r="AJ44">
        <v>188</v>
      </c>
      <c r="AK44">
        <v>103</v>
      </c>
      <c r="AL44">
        <v>0.38386324468799998</v>
      </c>
      <c r="AM44">
        <v>0.39891810726799998</v>
      </c>
      <c r="AN44">
        <v>1000</v>
      </c>
      <c r="AO44">
        <v>0.37377668346999998</v>
      </c>
      <c r="AP44">
        <v>0.489670246019</v>
      </c>
      <c r="AQ44">
        <v>0.36716253133499999</v>
      </c>
      <c r="AR44">
        <v>0.48991171525999999</v>
      </c>
      <c r="AS44">
        <v>0.36375043895199999</v>
      </c>
      <c r="AT44">
        <v>0.48460725957299999</v>
      </c>
      <c r="AU44">
        <v>-0.26639477442699999</v>
      </c>
      <c r="AV44">
        <v>-2.0331502490999999E-2</v>
      </c>
      <c r="AW44">
        <v>0.31560362222100002</v>
      </c>
      <c r="AX44">
        <v>0.46578807997499999</v>
      </c>
      <c r="AY44">
        <v>0.28209187713799999</v>
      </c>
      <c r="AZ44">
        <v>0.53743082280599996</v>
      </c>
    </row>
    <row r="45" spans="1:52" x14ac:dyDescent="0.25">
      <c r="A45" t="s">
        <v>109</v>
      </c>
      <c r="B45" t="s">
        <v>53</v>
      </c>
      <c r="C45">
        <v>60</v>
      </c>
      <c r="D45">
        <v>30</v>
      </c>
      <c r="E45" t="s">
        <v>106</v>
      </c>
      <c r="F45" t="s">
        <v>55</v>
      </c>
      <c r="G45" t="s">
        <v>56</v>
      </c>
      <c r="H45" t="s">
        <v>63</v>
      </c>
      <c r="I45">
        <v>29</v>
      </c>
      <c r="J45">
        <v>29</v>
      </c>
      <c r="K45">
        <v>42</v>
      </c>
      <c r="L45">
        <v>42</v>
      </c>
      <c r="M45" t="b">
        <v>1</v>
      </c>
      <c r="N45" t="b">
        <v>0</v>
      </c>
      <c r="O45">
        <v>554.66521150000005</v>
      </c>
      <c r="P45">
        <v>624</v>
      </c>
      <c r="Q45">
        <v>333</v>
      </c>
      <c r="R45">
        <v>291</v>
      </c>
      <c r="S45" t="b">
        <v>1</v>
      </c>
      <c r="T45">
        <v>0.51442307692300004</v>
      </c>
      <c r="U45">
        <v>0.51058790749500005</v>
      </c>
      <c r="V45">
        <v>0.510682158921</v>
      </c>
      <c r="W45">
        <v>0.51058790749500005</v>
      </c>
      <c r="X45">
        <v>0.510337272452</v>
      </c>
      <c r="Y45">
        <v>0.54310344827599999</v>
      </c>
      <c r="Z45">
        <v>0.56756756756799998</v>
      </c>
      <c r="AA45">
        <v>0.55506607929499996</v>
      </c>
      <c r="AB45">
        <v>333</v>
      </c>
      <c r="AC45">
        <v>0.47826086956500002</v>
      </c>
      <c r="AD45">
        <v>0.45360824742299999</v>
      </c>
      <c r="AE45">
        <v>0.46560846560800001</v>
      </c>
      <c r="AF45">
        <v>291</v>
      </c>
      <c r="AG45">
        <v>2.12698575923E-2</v>
      </c>
      <c r="AH45">
        <v>189</v>
      </c>
      <c r="AI45">
        <v>144</v>
      </c>
      <c r="AJ45">
        <v>159</v>
      </c>
      <c r="AK45">
        <v>132</v>
      </c>
      <c r="AL45">
        <v>0.53824958979600002</v>
      </c>
      <c r="AM45">
        <v>0.52499980624499998</v>
      </c>
      <c r="AN45">
        <v>1000</v>
      </c>
      <c r="AO45">
        <v>0.42809278929099998</v>
      </c>
      <c r="AP45">
        <v>0.60440048459700002</v>
      </c>
      <c r="AQ45">
        <v>0.42316877987200002</v>
      </c>
      <c r="AR45">
        <v>0.59958851308399996</v>
      </c>
      <c r="AS45">
        <v>0.4219813838</v>
      </c>
      <c r="AT45">
        <v>0.59743131123100002</v>
      </c>
      <c r="AU45">
        <v>-0.15384801904299999</v>
      </c>
      <c r="AV45">
        <v>0.19743330917499999</v>
      </c>
      <c r="AW45">
        <v>0.41970041673699998</v>
      </c>
      <c r="AX45">
        <v>0.64728805857600002</v>
      </c>
      <c r="AY45">
        <v>0.351337611223</v>
      </c>
      <c r="AZ45">
        <v>0.691920841796</v>
      </c>
    </row>
    <row r="46" spans="1:52" x14ac:dyDescent="0.25">
      <c r="A46" t="s">
        <v>110</v>
      </c>
      <c r="B46" t="s">
        <v>53</v>
      </c>
      <c r="C46">
        <v>60</v>
      </c>
      <c r="D46">
        <v>30</v>
      </c>
      <c r="E46" t="s">
        <v>106</v>
      </c>
      <c r="F46" t="s">
        <v>55</v>
      </c>
      <c r="G46" t="s">
        <v>65</v>
      </c>
      <c r="H46" t="s">
        <v>57</v>
      </c>
      <c r="I46">
        <v>48</v>
      </c>
      <c r="J46">
        <v>48</v>
      </c>
      <c r="K46">
        <v>42</v>
      </c>
      <c r="L46">
        <v>42</v>
      </c>
      <c r="M46" t="b">
        <v>1</v>
      </c>
      <c r="N46" t="b">
        <v>0</v>
      </c>
      <c r="O46">
        <v>40.822622000000003</v>
      </c>
      <c r="P46">
        <v>624</v>
      </c>
      <c r="Q46">
        <v>333</v>
      </c>
      <c r="R46">
        <v>291</v>
      </c>
      <c r="S46" t="b">
        <v>1</v>
      </c>
      <c r="T46">
        <v>0.50160256410299997</v>
      </c>
      <c r="U46">
        <v>0.50074301105200003</v>
      </c>
      <c r="V46">
        <v>0.50074013157899999</v>
      </c>
      <c r="W46">
        <v>0.50074301105200003</v>
      </c>
      <c r="X46">
        <v>0.500523762338</v>
      </c>
      <c r="Y46">
        <v>0.53437500000000004</v>
      </c>
      <c r="Z46">
        <v>0.51351351351399999</v>
      </c>
      <c r="AA46">
        <v>0.523736600306</v>
      </c>
      <c r="AB46">
        <v>333</v>
      </c>
      <c r="AC46">
        <v>0.46710526315799999</v>
      </c>
      <c r="AD46">
        <v>0.487972508591</v>
      </c>
      <c r="AE46">
        <v>0.47731092437</v>
      </c>
      <c r="AF46">
        <v>291</v>
      </c>
      <c r="AG46">
        <v>1.4831398360300001E-3</v>
      </c>
      <c r="AH46">
        <v>171</v>
      </c>
      <c r="AI46">
        <v>162</v>
      </c>
      <c r="AJ46">
        <v>149</v>
      </c>
      <c r="AK46">
        <v>142</v>
      </c>
      <c r="AL46">
        <v>0.52565968029900001</v>
      </c>
      <c r="AM46">
        <v>0.50226854712500002</v>
      </c>
      <c r="AN46">
        <v>1000</v>
      </c>
      <c r="AO46">
        <v>0.44495027522899999</v>
      </c>
      <c r="AP46">
        <v>0.55233804545800003</v>
      </c>
      <c r="AQ46">
        <v>0.44171832224200003</v>
      </c>
      <c r="AR46">
        <v>0.55152446403300004</v>
      </c>
      <c r="AS46">
        <v>0.44089565693900001</v>
      </c>
      <c r="AT46">
        <v>0.548480042467</v>
      </c>
      <c r="AU46">
        <v>-0.113286780766</v>
      </c>
      <c r="AV46">
        <v>0.10216349544599999</v>
      </c>
      <c r="AW46">
        <v>0.45026582883400001</v>
      </c>
      <c r="AX46">
        <v>0.59195671224000002</v>
      </c>
      <c r="AY46">
        <v>0.36407228897799998</v>
      </c>
      <c r="AZ46">
        <v>0.63367452308799999</v>
      </c>
    </row>
    <row r="47" spans="1:52" x14ac:dyDescent="0.25">
      <c r="A47" t="s">
        <v>111</v>
      </c>
      <c r="B47" t="s">
        <v>53</v>
      </c>
      <c r="C47">
        <v>60</v>
      </c>
      <c r="D47">
        <v>30</v>
      </c>
      <c r="E47" t="s">
        <v>106</v>
      </c>
      <c r="F47" t="s">
        <v>55</v>
      </c>
      <c r="G47" t="s">
        <v>65</v>
      </c>
      <c r="H47" t="s">
        <v>59</v>
      </c>
      <c r="I47">
        <v>48</v>
      </c>
      <c r="J47">
        <v>48</v>
      </c>
      <c r="K47">
        <v>42</v>
      </c>
      <c r="L47">
        <v>42</v>
      </c>
      <c r="M47" t="b">
        <v>1</v>
      </c>
      <c r="N47" t="b">
        <v>0</v>
      </c>
      <c r="O47">
        <v>508.10071629999999</v>
      </c>
      <c r="P47">
        <v>624</v>
      </c>
      <c r="Q47">
        <v>333</v>
      </c>
      <c r="R47">
        <v>291</v>
      </c>
      <c r="S47" t="b">
        <v>1</v>
      </c>
      <c r="T47">
        <v>0.54166666666700003</v>
      </c>
      <c r="U47">
        <v>0.53589672146400003</v>
      </c>
      <c r="V47">
        <v>0.53688016200300004</v>
      </c>
      <c r="W47">
        <v>0.53589672146400003</v>
      </c>
      <c r="X47">
        <v>0.53476538060500001</v>
      </c>
      <c r="Y47">
        <v>0.56403269754800001</v>
      </c>
      <c r="Z47">
        <v>0.62162162162199996</v>
      </c>
      <c r="AA47">
        <v>0.59142857142899996</v>
      </c>
      <c r="AB47">
        <v>333</v>
      </c>
      <c r="AC47">
        <v>0.50972762645900005</v>
      </c>
      <c r="AD47">
        <v>0.45017182130599998</v>
      </c>
      <c r="AE47">
        <v>0.478102189781</v>
      </c>
      <c r="AF47">
        <v>291</v>
      </c>
      <c r="AG47">
        <v>7.2770238503800003E-2</v>
      </c>
      <c r="AH47">
        <v>207</v>
      </c>
      <c r="AI47">
        <v>126</v>
      </c>
      <c r="AJ47">
        <v>160</v>
      </c>
      <c r="AK47">
        <v>131</v>
      </c>
      <c r="AL47">
        <v>0.54884265709000002</v>
      </c>
      <c r="AM47">
        <v>0.50412804996600002</v>
      </c>
      <c r="AN47">
        <v>1000</v>
      </c>
      <c r="AO47">
        <v>0.476043021191</v>
      </c>
      <c r="AP47">
        <v>0.605305254663</v>
      </c>
      <c r="AQ47">
        <v>0.47431557745500003</v>
      </c>
      <c r="AR47">
        <v>0.59802228640199995</v>
      </c>
      <c r="AS47">
        <v>0.47073689059000001</v>
      </c>
      <c r="AT47">
        <v>0.59241544888999997</v>
      </c>
      <c r="AU47">
        <v>-5.2152159846600002E-2</v>
      </c>
      <c r="AV47">
        <v>0.19676947793899999</v>
      </c>
      <c r="AW47">
        <v>0.47371818464499998</v>
      </c>
      <c r="AX47">
        <v>0.61872509033699996</v>
      </c>
      <c r="AY47">
        <v>0.37201269226299999</v>
      </c>
      <c r="AZ47">
        <v>0.65804976900300005</v>
      </c>
    </row>
    <row r="48" spans="1:52" x14ac:dyDescent="0.25">
      <c r="A48" t="s">
        <v>112</v>
      </c>
      <c r="B48" t="s">
        <v>53</v>
      </c>
      <c r="C48">
        <v>60</v>
      </c>
      <c r="D48">
        <v>30</v>
      </c>
      <c r="E48" t="s">
        <v>106</v>
      </c>
      <c r="F48" t="s">
        <v>55</v>
      </c>
      <c r="G48" t="s">
        <v>65</v>
      </c>
      <c r="H48" t="s">
        <v>61</v>
      </c>
      <c r="I48">
        <v>48</v>
      </c>
      <c r="J48">
        <v>48</v>
      </c>
      <c r="K48">
        <v>42</v>
      </c>
      <c r="L48">
        <v>42</v>
      </c>
      <c r="M48" t="b">
        <v>1</v>
      </c>
      <c r="N48" t="b">
        <v>0</v>
      </c>
      <c r="O48">
        <v>25.4004923</v>
      </c>
      <c r="P48">
        <v>624</v>
      </c>
      <c r="Q48">
        <v>333</v>
      </c>
      <c r="R48">
        <v>291</v>
      </c>
      <c r="S48" t="b">
        <v>1</v>
      </c>
      <c r="T48">
        <v>0.47435897435899999</v>
      </c>
      <c r="U48">
        <v>0.46958298504700002</v>
      </c>
      <c r="V48">
        <v>0.46913450965999998</v>
      </c>
      <c r="W48">
        <v>0.46958298504700002</v>
      </c>
      <c r="X48">
        <v>0.46877076412000002</v>
      </c>
      <c r="Y48">
        <v>0.50704225352099996</v>
      </c>
      <c r="Z48">
        <v>0.54054054054099998</v>
      </c>
      <c r="AA48">
        <v>0.52325581395300003</v>
      </c>
      <c r="AB48">
        <v>333</v>
      </c>
      <c r="AC48">
        <v>0.43122676579899999</v>
      </c>
      <c r="AD48">
        <v>0.39862542955300001</v>
      </c>
      <c r="AE48">
        <v>0.41428571428599997</v>
      </c>
      <c r="AF48">
        <v>291</v>
      </c>
      <c r="AG48">
        <v>-6.1280864262899998E-2</v>
      </c>
      <c r="AH48">
        <v>180</v>
      </c>
      <c r="AI48">
        <v>153</v>
      </c>
      <c r="AJ48">
        <v>175</v>
      </c>
      <c r="AK48">
        <v>116</v>
      </c>
      <c r="AL48">
        <v>0.47697697697699998</v>
      </c>
      <c r="AM48">
        <v>0.460290715558</v>
      </c>
      <c r="AN48">
        <v>1000</v>
      </c>
      <c r="AO48">
        <v>0.43033645746900001</v>
      </c>
      <c r="AP48">
        <v>0.52588314402000003</v>
      </c>
      <c r="AQ48">
        <v>0.42730356000399999</v>
      </c>
      <c r="AR48">
        <v>0.51763595947100005</v>
      </c>
      <c r="AS48">
        <v>0.42466587115600002</v>
      </c>
      <c r="AT48">
        <v>0.51458160863699998</v>
      </c>
      <c r="AU48">
        <v>-0.143873128066</v>
      </c>
      <c r="AV48">
        <v>3.5109483508900002E-2</v>
      </c>
      <c r="AW48">
        <v>0.42334795703299999</v>
      </c>
      <c r="AX48">
        <v>0.53203793510399999</v>
      </c>
      <c r="AY48">
        <v>0.334017078533</v>
      </c>
      <c r="AZ48">
        <v>0.59961447652800004</v>
      </c>
    </row>
    <row r="49" spans="1:52" x14ac:dyDescent="0.25">
      <c r="A49" t="s">
        <v>113</v>
      </c>
      <c r="B49" t="s">
        <v>53</v>
      </c>
      <c r="C49">
        <v>60</v>
      </c>
      <c r="D49">
        <v>30</v>
      </c>
      <c r="E49" t="s">
        <v>106</v>
      </c>
      <c r="F49" t="s">
        <v>55</v>
      </c>
      <c r="G49" t="s">
        <v>65</v>
      </c>
      <c r="H49" t="s">
        <v>63</v>
      </c>
      <c r="I49">
        <v>48</v>
      </c>
      <c r="J49">
        <v>48</v>
      </c>
      <c r="K49">
        <v>42</v>
      </c>
      <c r="L49">
        <v>42</v>
      </c>
      <c r="M49" t="b">
        <v>1</v>
      </c>
      <c r="N49" t="b">
        <v>0</v>
      </c>
      <c r="O49">
        <v>648.06267500000001</v>
      </c>
      <c r="P49">
        <v>624</v>
      </c>
      <c r="Q49">
        <v>333</v>
      </c>
      <c r="R49">
        <v>291</v>
      </c>
      <c r="S49" t="b">
        <v>1</v>
      </c>
      <c r="T49">
        <v>0.57532051282100005</v>
      </c>
      <c r="U49">
        <v>0.57154577257700001</v>
      </c>
      <c r="V49">
        <v>0.57229405630899999</v>
      </c>
      <c r="W49">
        <v>0.57154577257700001</v>
      </c>
      <c r="X49">
        <v>0.57148965392100004</v>
      </c>
      <c r="Y49">
        <v>0.59714285714299997</v>
      </c>
      <c r="Z49">
        <v>0.62762762762799995</v>
      </c>
      <c r="AA49">
        <v>0.61200585651499995</v>
      </c>
      <c r="AB49">
        <v>333</v>
      </c>
      <c r="AC49">
        <v>0.54744525547400003</v>
      </c>
      <c r="AD49">
        <v>0.51546391752599996</v>
      </c>
      <c r="AE49">
        <v>0.53097345132700002</v>
      </c>
      <c r="AF49">
        <v>291</v>
      </c>
      <c r="AG49">
        <v>0.14383788251099999</v>
      </c>
      <c r="AH49">
        <v>209</v>
      </c>
      <c r="AI49">
        <v>124</v>
      </c>
      <c r="AJ49">
        <v>141</v>
      </c>
      <c r="AK49">
        <v>150</v>
      </c>
      <c r="AL49">
        <v>0.58194276750999996</v>
      </c>
      <c r="AM49">
        <v>0.51214744689699998</v>
      </c>
      <c r="AN49">
        <v>1000</v>
      </c>
      <c r="AO49">
        <v>0.51535994609900004</v>
      </c>
      <c r="AP49">
        <v>0.62816704826100001</v>
      </c>
      <c r="AQ49">
        <v>0.51339966338999998</v>
      </c>
      <c r="AR49">
        <v>0.62377383077299997</v>
      </c>
      <c r="AS49">
        <v>0.50937882859700001</v>
      </c>
      <c r="AT49">
        <v>0.62173047623300004</v>
      </c>
      <c r="AU49">
        <v>2.7364969143E-2</v>
      </c>
      <c r="AV49">
        <v>0.24656000658499999</v>
      </c>
      <c r="AW49">
        <v>0.50553586717200005</v>
      </c>
      <c r="AX49">
        <v>0.644428449535</v>
      </c>
      <c r="AY49">
        <v>0.38838131822100003</v>
      </c>
      <c r="AZ49">
        <v>0.64274606496200004</v>
      </c>
    </row>
    <row r="50" spans="1:52" x14ac:dyDescent="0.25">
      <c r="A50" t="s">
        <v>114</v>
      </c>
      <c r="B50" t="s">
        <v>53</v>
      </c>
      <c r="C50">
        <v>60</v>
      </c>
      <c r="D50">
        <v>30</v>
      </c>
      <c r="E50" t="s">
        <v>106</v>
      </c>
      <c r="F50" t="s">
        <v>55</v>
      </c>
      <c r="G50" t="s">
        <v>70</v>
      </c>
      <c r="H50" t="s">
        <v>57</v>
      </c>
      <c r="I50">
        <v>48</v>
      </c>
      <c r="J50">
        <v>48</v>
      </c>
      <c r="K50">
        <v>42</v>
      </c>
      <c r="L50">
        <v>42</v>
      </c>
      <c r="M50" t="b">
        <v>1</v>
      </c>
      <c r="N50" t="b">
        <v>0</v>
      </c>
      <c r="O50">
        <v>39.256293599999999</v>
      </c>
      <c r="P50">
        <v>624</v>
      </c>
      <c r="Q50">
        <v>333</v>
      </c>
      <c r="R50">
        <v>291</v>
      </c>
      <c r="S50" t="b">
        <v>1</v>
      </c>
      <c r="T50">
        <v>0.54006410256399995</v>
      </c>
      <c r="U50">
        <v>0.55346583697100005</v>
      </c>
      <c r="V50">
        <v>0.56283046325499997</v>
      </c>
      <c r="W50">
        <v>0.55346583697100005</v>
      </c>
      <c r="X50">
        <v>0.52769038043100003</v>
      </c>
      <c r="Y50">
        <v>0.62105263157900004</v>
      </c>
      <c r="Z50">
        <v>0.35435435435399998</v>
      </c>
      <c r="AA50">
        <v>0.45124282982800001</v>
      </c>
      <c r="AB50">
        <v>333</v>
      </c>
      <c r="AC50">
        <v>0.50460829493100001</v>
      </c>
      <c r="AD50">
        <v>0.752577319588</v>
      </c>
      <c r="AE50">
        <v>0.60413793103400004</v>
      </c>
      <c r="AF50">
        <v>291</v>
      </c>
      <c r="AG50">
        <v>0.11591864915</v>
      </c>
      <c r="AH50">
        <v>118</v>
      </c>
      <c r="AI50">
        <v>215</v>
      </c>
      <c r="AJ50">
        <v>72</v>
      </c>
      <c r="AK50">
        <v>219</v>
      </c>
      <c r="AL50">
        <v>0.56241808819100003</v>
      </c>
      <c r="AM50">
        <v>0.493229461225</v>
      </c>
      <c r="AN50">
        <v>1000</v>
      </c>
      <c r="AO50">
        <v>0.47549389257000002</v>
      </c>
      <c r="AP50">
        <v>0.60650941491200006</v>
      </c>
      <c r="AQ50">
        <v>0.502115068695</v>
      </c>
      <c r="AR50">
        <v>0.60668428887000003</v>
      </c>
      <c r="AS50">
        <v>0.47008716232800002</v>
      </c>
      <c r="AT50">
        <v>0.58673137805599995</v>
      </c>
      <c r="AU50">
        <v>4.2478276779999999E-3</v>
      </c>
      <c r="AV50">
        <v>0.22600347974400001</v>
      </c>
      <c r="AW50">
        <v>0.489430719387</v>
      </c>
      <c r="AX50">
        <v>0.63975001981599999</v>
      </c>
      <c r="AY50">
        <v>0.370072956221</v>
      </c>
      <c r="AZ50">
        <v>0.61351050652500005</v>
      </c>
    </row>
    <row r="51" spans="1:52" x14ac:dyDescent="0.25">
      <c r="A51" t="s">
        <v>115</v>
      </c>
      <c r="B51" t="s">
        <v>53</v>
      </c>
      <c r="C51">
        <v>60</v>
      </c>
      <c r="D51">
        <v>30</v>
      </c>
      <c r="E51" t="s">
        <v>106</v>
      </c>
      <c r="F51" t="s">
        <v>55</v>
      </c>
      <c r="G51" t="s">
        <v>70</v>
      </c>
      <c r="H51" t="s">
        <v>59</v>
      </c>
      <c r="I51">
        <v>48</v>
      </c>
      <c r="J51">
        <v>48</v>
      </c>
      <c r="K51">
        <v>42</v>
      </c>
      <c r="L51">
        <v>42</v>
      </c>
      <c r="M51" t="b">
        <v>1</v>
      </c>
      <c r="N51" t="b">
        <v>0</v>
      </c>
      <c r="O51">
        <v>493.83739430000003</v>
      </c>
      <c r="P51">
        <v>624</v>
      </c>
      <c r="Q51">
        <v>333</v>
      </c>
      <c r="R51">
        <v>291</v>
      </c>
      <c r="S51" t="b">
        <v>1</v>
      </c>
      <c r="T51">
        <v>0.48878205128199997</v>
      </c>
      <c r="U51">
        <v>0.48699730658500001</v>
      </c>
      <c r="V51">
        <v>0.48702208305900002</v>
      </c>
      <c r="W51">
        <v>0.48699730658500001</v>
      </c>
      <c r="X51">
        <v>0.48697832771100003</v>
      </c>
      <c r="Y51">
        <v>0.52134146341499998</v>
      </c>
      <c r="Z51">
        <v>0.51351351351399999</v>
      </c>
      <c r="AA51">
        <v>0.51739788199699999</v>
      </c>
      <c r="AB51">
        <v>333</v>
      </c>
      <c r="AC51">
        <v>0.452702702703</v>
      </c>
      <c r="AD51">
        <v>0.46048109965599998</v>
      </c>
      <c r="AE51">
        <v>0.45655877342399998</v>
      </c>
      <c r="AF51">
        <v>291</v>
      </c>
      <c r="AG51">
        <v>-2.5980598542300001E-2</v>
      </c>
      <c r="AH51">
        <v>171</v>
      </c>
      <c r="AI51">
        <v>162</v>
      </c>
      <c r="AJ51">
        <v>157</v>
      </c>
      <c r="AK51">
        <v>134</v>
      </c>
      <c r="AL51">
        <v>0.50881293664799998</v>
      </c>
      <c r="AM51">
        <v>0.44152688565100001</v>
      </c>
      <c r="AN51">
        <v>1000</v>
      </c>
      <c r="AO51">
        <v>0.42691791500600001</v>
      </c>
      <c r="AP51">
        <v>0.54874451513800004</v>
      </c>
      <c r="AQ51">
        <v>0.42442221040299999</v>
      </c>
      <c r="AR51">
        <v>0.54491263208200003</v>
      </c>
      <c r="AS51">
        <v>0.42269954567200002</v>
      </c>
      <c r="AT51">
        <v>0.54159076030700004</v>
      </c>
      <c r="AU51">
        <v>-0.14832371904200001</v>
      </c>
      <c r="AV51">
        <v>9.0470214511299996E-2</v>
      </c>
      <c r="AW51">
        <v>0.42282119681699998</v>
      </c>
      <c r="AX51">
        <v>0.59227109637399999</v>
      </c>
      <c r="AY51">
        <v>0.32676555445400002</v>
      </c>
      <c r="AZ51">
        <v>0.57063801921000001</v>
      </c>
    </row>
    <row r="52" spans="1:52" x14ac:dyDescent="0.25">
      <c r="A52" t="s">
        <v>116</v>
      </c>
      <c r="B52" t="s">
        <v>53</v>
      </c>
      <c r="C52">
        <v>60</v>
      </c>
      <c r="D52">
        <v>30</v>
      </c>
      <c r="E52" t="s">
        <v>106</v>
      </c>
      <c r="F52" t="s">
        <v>55</v>
      </c>
      <c r="G52" t="s">
        <v>70</v>
      </c>
      <c r="H52" t="s">
        <v>61</v>
      </c>
      <c r="I52">
        <v>48</v>
      </c>
      <c r="J52">
        <v>48</v>
      </c>
      <c r="K52">
        <v>42</v>
      </c>
      <c r="L52">
        <v>42</v>
      </c>
      <c r="M52" t="b">
        <v>1</v>
      </c>
      <c r="N52" t="b">
        <v>0</v>
      </c>
      <c r="O52">
        <v>25.119001399999998</v>
      </c>
      <c r="P52">
        <v>624</v>
      </c>
      <c r="Q52">
        <v>333</v>
      </c>
      <c r="R52">
        <v>291</v>
      </c>
      <c r="S52" t="b">
        <v>1</v>
      </c>
      <c r="T52">
        <v>0.49839743589699997</v>
      </c>
      <c r="U52">
        <v>0.49643973870800001</v>
      </c>
      <c r="V52">
        <v>0.49644403215799998</v>
      </c>
      <c r="W52">
        <v>0.49643973870800001</v>
      </c>
      <c r="X52">
        <v>0.49643036701900001</v>
      </c>
      <c r="Y52">
        <v>0.53030303030299997</v>
      </c>
      <c r="Z52">
        <v>0.52552552552599996</v>
      </c>
      <c r="AA52">
        <v>0.52790346907999997</v>
      </c>
      <c r="AB52">
        <v>333</v>
      </c>
      <c r="AC52">
        <v>0.46258503401399997</v>
      </c>
      <c r="AD52">
        <v>0.46735395189000001</v>
      </c>
      <c r="AE52">
        <v>0.46495726495700002</v>
      </c>
      <c r="AF52">
        <v>291</v>
      </c>
      <c r="AG52">
        <v>-7.11622783871E-3</v>
      </c>
      <c r="AH52">
        <v>175</v>
      </c>
      <c r="AI52">
        <v>158</v>
      </c>
      <c r="AJ52">
        <v>155</v>
      </c>
      <c r="AK52">
        <v>136</v>
      </c>
      <c r="AL52">
        <v>0.52691351144999998</v>
      </c>
      <c r="AM52">
        <v>0.48960102200400002</v>
      </c>
      <c r="AN52">
        <v>1000</v>
      </c>
      <c r="AO52">
        <v>0.45407065143899999</v>
      </c>
      <c r="AP52">
        <v>0.54347284337900004</v>
      </c>
      <c r="AQ52">
        <v>0.45226707776500003</v>
      </c>
      <c r="AR52">
        <v>0.54051762500400002</v>
      </c>
      <c r="AS52">
        <v>0.44918211963499999</v>
      </c>
      <c r="AT52">
        <v>0.53723559894299999</v>
      </c>
      <c r="AU52">
        <v>-9.4693854076000006E-2</v>
      </c>
      <c r="AV52">
        <v>7.9829481931300003E-2</v>
      </c>
      <c r="AW52">
        <v>0.47957739327999999</v>
      </c>
      <c r="AX52">
        <v>0.57755551708300001</v>
      </c>
      <c r="AY52">
        <v>0.36688182654099999</v>
      </c>
      <c r="AZ52">
        <v>0.62414986626199997</v>
      </c>
    </row>
    <row r="53" spans="1:52" x14ac:dyDescent="0.25">
      <c r="A53" t="s">
        <v>117</v>
      </c>
      <c r="B53" t="s">
        <v>53</v>
      </c>
      <c r="C53">
        <v>60</v>
      </c>
      <c r="D53">
        <v>30</v>
      </c>
      <c r="E53" t="s">
        <v>106</v>
      </c>
      <c r="F53" t="s">
        <v>55</v>
      </c>
      <c r="G53" t="s">
        <v>70</v>
      </c>
      <c r="H53" t="s">
        <v>63</v>
      </c>
      <c r="I53">
        <v>48</v>
      </c>
      <c r="J53">
        <v>48</v>
      </c>
      <c r="K53">
        <v>42</v>
      </c>
      <c r="L53">
        <v>42</v>
      </c>
      <c r="M53" t="b">
        <v>1</v>
      </c>
      <c r="N53" t="b">
        <v>0</v>
      </c>
      <c r="O53">
        <v>568.39145719999999</v>
      </c>
      <c r="P53">
        <v>624</v>
      </c>
      <c r="Q53">
        <v>333</v>
      </c>
      <c r="R53">
        <v>291</v>
      </c>
      <c r="S53" t="b">
        <v>1</v>
      </c>
      <c r="T53">
        <v>0.51602564102600001</v>
      </c>
      <c r="U53">
        <v>0.51360638989499996</v>
      </c>
      <c r="V53">
        <v>0.51361875742399998</v>
      </c>
      <c r="W53">
        <v>0.51360638989499996</v>
      </c>
      <c r="X53">
        <v>0.51360726822199998</v>
      </c>
      <c r="Y53">
        <v>0.546268656716</v>
      </c>
      <c r="Z53">
        <v>0.54954954955000002</v>
      </c>
      <c r="AA53">
        <v>0.54790419161699999</v>
      </c>
      <c r="AB53">
        <v>333</v>
      </c>
      <c r="AC53">
        <v>0.48096885813099999</v>
      </c>
      <c r="AD53">
        <v>0.47766323024099999</v>
      </c>
      <c r="AE53">
        <v>0.479310344828</v>
      </c>
      <c r="AF53">
        <v>291</v>
      </c>
      <c r="AG53">
        <v>2.72251445099E-2</v>
      </c>
      <c r="AH53">
        <v>183</v>
      </c>
      <c r="AI53">
        <v>150</v>
      </c>
      <c r="AJ53">
        <v>152</v>
      </c>
      <c r="AK53">
        <v>139</v>
      </c>
      <c r="AL53">
        <v>0.53796064105300001</v>
      </c>
      <c r="AM53">
        <v>0.46204443268200002</v>
      </c>
      <c r="AN53">
        <v>1000</v>
      </c>
      <c r="AO53">
        <v>0.459494516347</v>
      </c>
      <c r="AP53">
        <v>0.578965871711</v>
      </c>
      <c r="AQ53">
        <v>0.46060803873599998</v>
      </c>
      <c r="AR53">
        <v>0.57164206047900001</v>
      </c>
      <c r="AS53">
        <v>0.45570910614400001</v>
      </c>
      <c r="AT53">
        <v>0.56932754466199997</v>
      </c>
      <c r="AU53">
        <v>-7.8333594745200005E-2</v>
      </c>
      <c r="AV53">
        <v>0.141955310098</v>
      </c>
      <c r="AW53">
        <v>0.46329744498300002</v>
      </c>
      <c r="AX53">
        <v>0.61979449198400005</v>
      </c>
      <c r="AY53">
        <v>0.34275664667299999</v>
      </c>
      <c r="AZ53">
        <v>0.60197834689100005</v>
      </c>
    </row>
    <row r="54" spans="1:52" x14ac:dyDescent="0.25">
      <c r="A54" t="s">
        <v>118</v>
      </c>
      <c r="B54" t="s">
        <v>53</v>
      </c>
      <c r="C54">
        <v>60</v>
      </c>
      <c r="D54">
        <v>30</v>
      </c>
      <c r="E54" t="s">
        <v>106</v>
      </c>
      <c r="F54" t="s">
        <v>55</v>
      </c>
      <c r="G54" t="s">
        <v>75</v>
      </c>
      <c r="H54" t="s">
        <v>57</v>
      </c>
      <c r="I54">
        <v>77</v>
      </c>
      <c r="J54">
        <v>77</v>
      </c>
      <c r="K54">
        <v>42</v>
      </c>
      <c r="L54">
        <v>42</v>
      </c>
      <c r="M54" t="b">
        <v>1</v>
      </c>
      <c r="N54" t="b">
        <v>0</v>
      </c>
      <c r="O54">
        <v>41.422545700000001</v>
      </c>
      <c r="P54">
        <v>624</v>
      </c>
      <c r="Q54">
        <v>333</v>
      </c>
      <c r="R54">
        <v>291</v>
      </c>
      <c r="S54" t="b">
        <v>1</v>
      </c>
      <c r="T54">
        <v>0.46634615384599998</v>
      </c>
      <c r="U54">
        <v>0.46424259310900001</v>
      </c>
      <c r="V54">
        <v>0.46428571428600002</v>
      </c>
      <c r="W54">
        <v>0.46424259310900001</v>
      </c>
      <c r="X54">
        <v>0.46425339366500001</v>
      </c>
      <c r="Y54">
        <v>0.5</v>
      </c>
      <c r="Z54">
        <v>0.49549549549499999</v>
      </c>
      <c r="AA54">
        <v>0.49773755656099999</v>
      </c>
      <c r="AB54">
        <v>333</v>
      </c>
      <c r="AC54">
        <v>0.428571428571</v>
      </c>
      <c r="AD54">
        <v>0.432989690722</v>
      </c>
      <c r="AE54">
        <v>0.43076923076899998</v>
      </c>
      <c r="AF54">
        <v>291</v>
      </c>
      <c r="AG54">
        <v>-7.1471679597500004E-2</v>
      </c>
      <c r="AH54">
        <v>165</v>
      </c>
      <c r="AI54">
        <v>168</v>
      </c>
      <c r="AJ54">
        <v>165</v>
      </c>
      <c r="AK54">
        <v>126</v>
      </c>
      <c r="AL54">
        <v>0.47792122018900002</v>
      </c>
      <c r="AM54">
        <v>0.44699978881199998</v>
      </c>
      <c r="AN54">
        <v>1000</v>
      </c>
      <c r="AO54">
        <v>0.40512494186699999</v>
      </c>
      <c r="AP54">
        <v>0.52699500767999996</v>
      </c>
      <c r="AQ54">
        <v>0.404718185058</v>
      </c>
      <c r="AR54">
        <v>0.52550318920799999</v>
      </c>
      <c r="AS54">
        <v>0.40116558705900002</v>
      </c>
      <c r="AT54">
        <v>0.52142307843000002</v>
      </c>
      <c r="AU54">
        <v>-0.19151166473100001</v>
      </c>
      <c r="AV54">
        <v>5.0255710314800001E-2</v>
      </c>
      <c r="AW54">
        <v>0.40230233238699997</v>
      </c>
      <c r="AX54">
        <v>0.55304931062399998</v>
      </c>
      <c r="AY54">
        <v>0.32328416481700001</v>
      </c>
      <c r="AZ54">
        <v>0.58031831878100004</v>
      </c>
    </row>
    <row r="55" spans="1:52" x14ac:dyDescent="0.25">
      <c r="A55" t="s">
        <v>119</v>
      </c>
      <c r="B55" t="s">
        <v>53</v>
      </c>
      <c r="C55">
        <v>60</v>
      </c>
      <c r="D55">
        <v>30</v>
      </c>
      <c r="E55" t="s">
        <v>106</v>
      </c>
      <c r="F55" t="s">
        <v>55</v>
      </c>
      <c r="G55" t="s">
        <v>75</v>
      </c>
      <c r="H55" t="s">
        <v>59</v>
      </c>
      <c r="I55">
        <v>77</v>
      </c>
      <c r="J55">
        <v>77</v>
      </c>
      <c r="K55">
        <v>42</v>
      </c>
      <c r="L55">
        <v>42</v>
      </c>
      <c r="M55" t="b">
        <v>1</v>
      </c>
      <c r="N55" t="b">
        <v>0</v>
      </c>
      <c r="O55">
        <v>543.04501809999999</v>
      </c>
      <c r="P55">
        <v>624</v>
      </c>
      <c r="Q55">
        <v>333</v>
      </c>
      <c r="R55">
        <v>291</v>
      </c>
      <c r="S55" t="b">
        <v>1</v>
      </c>
      <c r="T55">
        <v>0.52564102564100001</v>
      </c>
      <c r="U55">
        <v>0.51828116776599997</v>
      </c>
      <c r="V55">
        <v>0.51913418230099995</v>
      </c>
      <c r="W55">
        <v>0.51828116776599997</v>
      </c>
      <c r="X55">
        <v>0.51556352878199996</v>
      </c>
      <c r="Y55">
        <v>0.548556430446</v>
      </c>
      <c r="Z55">
        <v>0.62762762762799995</v>
      </c>
      <c r="AA55">
        <v>0.58543417366899997</v>
      </c>
      <c r="AB55">
        <v>333</v>
      </c>
      <c r="AC55">
        <v>0.48971193415600001</v>
      </c>
      <c r="AD55">
        <v>0.40893470790399999</v>
      </c>
      <c r="AE55">
        <v>0.445692883895</v>
      </c>
      <c r="AF55">
        <v>291</v>
      </c>
      <c r="AG55">
        <v>3.7405625069500001E-2</v>
      </c>
      <c r="AH55">
        <v>209</v>
      </c>
      <c r="AI55">
        <v>124</v>
      </c>
      <c r="AJ55">
        <v>172</v>
      </c>
      <c r="AK55">
        <v>119</v>
      </c>
      <c r="AL55">
        <v>0.50609888238800005</v>
      </c>
      <c r="AM55">
        <v>0.480235516556</v>
      </c>
      <c r="AN55">
        <v>1000</v>
      </c>
      <c r="AO55">
        <v>0.44622729443100001</v>
      </c>
      <c r="AP55">
        <v>0.59680581910200003</v>
      </c>
      <c r="AQ55">
        <v>0.43906388906299998</v>
      </c>
      <c r="AR55">
        <v>0.59224904951199997</v>
      </c>
      <c r="AS55">
        <v>0.43380160770600001</v>
      </c>
      <c r="AT55">
        <v>0.58603010665699995</v>
      </c>
      <c r="AU55">
        <v>-0.12472214699799999</v>
      </c>
      <c r="AV55">
        <v>0.184869048018</v>
      </c>
      <c r="AW55">
        <v>0.40051430590300002</v>
      </c>
      <c r="AX55">
        <v>0.60834762368899997</v>
      </c>
      <c r="AY55">
        <v>0.34450588870299997</v>
      </c>
      <c r="AZ55">
        <v>0.64232392758699997</v>
      </c>
    </row>
    <row r="56" spans="1:52" x14ac:dyDescent="0.25">
      <c r="A56" t="s">
        <v>120</v>
      </c>
      <c r="B56" t="s">
        <v>53</v>
      </c>
      <c r="C56">
        <v>60</v>
      </c>
      <c r="D56">
        <v>30</v>
      </c>
      <c r="E56" t="s">
        <v>106</v>
      </c>
      <c r="F56" t="s">
        <v>55</v>
      </c>
      <c r="G56" t="s">
        <v>75</v>
      </c>
      <c r="H56" t="s">
        <v>61</v>
      </c>
      <c r="I56">
        <v>77</v>
      </c>
      <c r="J56">
        <v>77</v>
      </c>
      <c r="K56">
        <v>42</v>
      </c>
      <c r="L56">
        <v>42</v>
      </c>
      <c r="M56" t="b">
        <v>1</v>
      </c>
      <c r="N56" t="b">
        <v>0</v>
      </c>
      <c r="O56">
        <v>26.178538799999998</v>
      </c>
      <c r="P56">
        <v>624</v>
      </c>
      <c r="Q56">
        <v>333</v>
      </c>
      <c r="R56">
        <v>291</v>
      </c>
      <c r="S56" t="b">
        <v>1</v>
      </c>
      <c r="T56">
        <v>0.49839743589699997</v>
      </c>
      <c r="U56">
        <v>0.491238661342</v>
      </c>
      <c r="V56">
        <v>0.49086978965</v>
      </c>
      <c r="W56">
        <v>0.491238661342</v>
      </c>
      <c r="X56">
        <v>0.48845359042699998</v>
      </c>
      <c r="Y56">
        <v>0.52645502645499997</v>
      </c>
      <c r="Z56">
        <v>0.59759759759800002</v>
      </c>
      <c r="AA56">
        <v>0.55977496483800004</v>
      </c>
      <c r="AB56">
        <v>333</v>
      </c>
      <c r="AC56">
        <v>0.455284552846</v>
      </c>
      <c r="AD56">
        <v>0.38487972508599999</v>
      </c>
      <c r="AE56">
        <v>0.417132216015</v>
      </c>
      <c r="AF56">
        <v>291</v>
      </c>
      <c r="AG56">
        <v>-1.7887746073200001E-2</v>
      </c>
      <c r="AH56">
        <v>199</v>
      </c>
      <c r="AI56">
        <v>134</v>
      </c>
      <c r="AJ56">
        <v>179</v>
      </c>
      <c r="AK56">
        <v>112</v>
      </c>
      <c r="AL56">
        <v>0.48602726437799998</v>
      </c>
      <c r="AM56">
        <v>0.46527605314800002</v>
      </c>
      <c r="AN56">
        <v>1000</v>
      </c>
      <c r="AO56">
        <v>0.43640833625699998</v>
      </c>
      <c r="AP56">
        <v>0.55769611727400004</v>
      </c>
      <c r="AQ56">
        <v>0.43209343608</v>
      </c>
      <c r="AR56">
        <v>0.54498653442099998</v>
      </c>
      <c r="AS56">
        <v>0.42585738536500001</v>
      </c>
      <c r="AT56">
        <v>0.54236010708399995</v>
      </c>
      <c r="AU56">
        <v>-0.13940033605300001</v>
      </c>
      <c r="AV56">
        <v>9.0660681044499994E-2</v>
      </c>
      <c r="AW56">
        <v>0.40822025724099997</v>
      </c>
      <c r="AX56">
        <v>0.56030921096700004</v>
      </c>
      <c r="AY56">
        <v>0.34097944090999999</v>
      </c>
      <c r="AZ56">
        <v>0.60964286486999997</v>
      </c>
    </row>
    <row r="57" spans="1:52" x14ac:dyDescent="0.25">
      <c r="A57" t="s">
        <v>121</v>
      </c>
      <c r="B57" t="s">
        <v>53</v>
      </c>
      <c r="C57">
        <v>60</v>
      </c>
      <c r="D57">
        <v>30</v>
      </c>
      <c r="E57" t="s">
        <v>106</v>
      </c>
      <c r="F57" t="s">
        <v>55</v>
      </c>
      <c r="G57" t="s">
        <v>75</v>
      </c>
      <c r="H57" t="s">
        <v>63</v>
      </c>
      <c r="I57">
        <v>77</v>
      </c>
      <c r="J57">
        <v>77</v>
      </c>
      <c r="K57">
        <v>42</v>
      </c>
      <c r="L57">
        <v>42</v>
      </c>
      <c r="M57" t="b">
        <v>1</v>
      </c>
      <c r="N57" t="b">
        <v>0</v>
      </c>
      <c r="O57">
        <v>980.75230239999996</v>
      </c>
      <c r="P57">
        <v>624</v>
      </c>
      <c r="Q57">
        <v>333</v>
      </c>
      <c r="R57">
        <v>291</v>
      </c>
      <c r="S57" t="b">
        <v>1</v>
      </c>
      <c r="T57">
        <v>0.54166666666700003</v>
      </c>
      <c r="U57">
        <v>0.53698027924799996</v>
      </c>
      <c r="V57">
        <v>0.537594813206</v>
      </c>
      <c r="W57">
        <v>0.53698027924799996</v>
      </c>
      <c r="X57">
        <v>0.53648122175500002</v>
      </c>
      <c r="Y57">
        <v>0.56582633053200004</v>
      </c>
      <c r="Z57">
        <v>0.60660660660700005</v>
      </c>
      <c r="AA57">
        <v>0.58550724637700002</v>
      </c>
      <c r="AB57">
        <v>333</v>
      </c>
      <c r="AC57">
        <v>0.50936329587999996</v>
      </c>
      <c r="AD57">
        <v>0.46735395189000001</v>
      </c>
      <c r="AE57">
        <v>0.48745519713300001</v>
      </c>
      <c r="AF57">
        <v>291</v>
      </c>
      <c r="AG57">
        <v>7.4572560386599998E-2</v>
      </c>
      <c r="AH57">
        <v>202</v>
      </c>
      <c r="AI57">
        <v>131</v>
      </c>
      <c r="AJ57">
        <v>155</v>
      </c>
      <c r="AK57">
        <v>136</v>
      </c>
      <c r="AL57">
        <v>0.55778458871199998</v>
      </c>
      <c r="AM57">
        <v>0.51242946606700002</v>
      </c>
      <c r="AN57">
        <v>1000</v>
      </c>
      <c r="AO57">
        <v>0.46303142790599999</v>
      </c>
      <c r="AP57">
        <v>0.61944466904499995</v>
      </c>
      <c r="AQ57">
        <v>0.45504262930299999</v>
      </c>
      <c r="AR57">
        <v>0.61704894407499999</v>
      </c>
      <c r="AS57">
        <v>0.45073891858499998</v>
      </c>
      <c r="AT57">
        <v>0.61434989750500002</v>
      </c>
      <c r="AU57">
        <v>-9.0152980781899997E-2</v>
      </c>
      <c r="AV57">
        <v>0.23312855074700001</v>
      </c>
      <c r="AW57">
        <v>0.44966907874099998</v>
      </c>
      <c r="AX57">
        <v>0.66562677413500004</v>
      </c>
      <c r="AY57">
        <v>0.35206626391399998</v>
      </c>
      <c r="AZ57">
        <v>0.70051778286099997</v>
      </c>
    </row>
    <row r="58" spans="1:52" x14ac:dyDescent="0.25">
      <c r="A58" t="s">
        <v>122</v>
      </c>
      <c r="B58" t="s">
        <v>53</v>
      </c>
      <c r="C58">
        <v>60</v>
      </c>
      <c r="D58">
        <v>30</v>
      </c>
      <c r="E58" t="s">
        <v>106</v>
      </c>
      <c r="F58" t="s">
        <v>55</v>
      </c>
      <c r="G58" t="s">
        <v>80</v>
      </c>
      <c r="H58" t="s">
        <v>57</v>
      </c>
      <c r="I58">
        <v>77</v>
      </c>
      <c r="J58">
        <v>77</v>
      </c>
      <c r="K58">
        <v>42</v>
      </c>
      <c r="L58">
        <v>42</v>
      </c>
      <c r="M58" t="b">
        <v>1</v>
      </c>
      <c r="N58" t="b">
        <v>0</v>
      </c>
      <c r="O58">
        <v>41.002689199999999</v>
      </c>
      <c r="P58">
        <v>624</v>
      </c>
      <c r="Q58">
        <v>333</v>
      </c>
      <c r="R58">
        <v>291</v>
      </c>
      <c r="S58" t="b">
        <v>1</v>
      </c>
      <c r="T58">
        <v>0.53205128205100005</v>
      </c>
      <c r="U58">
        <v>0.54769202191900002</v>
      </c>
      <c r="V58">
        <v>0.56010143702500004</v>
      </c>
      <c r="W58">
        <v>0.54769202191900002</v>
      </c>
      <c r="X58">
        <v>0.51345289084900003</v>
      </c>
      <c r="Y58">
        <v>0.621301775148</v>
      </c>
      <c r="Z58">
        <v>0.31531531531500001</v>
      </c>
      <c r="AA58">
        <v>0.418326693227</v>
      </c>
      <c r="AB58">
        <v>333</v>
      </c>
      <c r="AC58">
        <v>0.49890109890099998</v>
      </c>
      <c r="AD58">
        <v>0.78006872852200004</v>
      </c>
      <c r="AE58">
        <v>0.60857908847200004</v>
      </c>
      <c r="AF58">
        <v>291</v>
      </c>
      <c r="AG58">
        <v>0.107076777163</v>
      </c>
      <c r="AH58">
        <v>105</v>
      </c>
      <c r="AI58">
        <v>228</v>
      </c>
      <c r="AJ58">
        <v>64</v>
      </c>
      <c r="AK58">
        <v>227</v>
      </c>
      <c r="AL58">
        <v>0.54951859075599996</v>
      </c>
      <c r="AM58">
        <v>0.48442320075400003</v>
      </c>
      <c r="AN58">
        <v>1000</v>
      </c>
      <c r="AO58">
        <v>0.45680961504099998</v>
      </c>
      <c r="AP58">
        <v>0.61093247588400001</v>
      </c>
      <c r="AQ58">
        <v>0.48965400374599999</v>
      </c>
      <c r="AR58">
        <v>0.60097714201999997</v>
      </c>
      <c r="AS58">
        <v>0.44377683531099998</v>
      </c>
      <c r="AT58">
        <v>0.57781559761400003</v>
      </c>
      <c r="AU58">
        <v>-2.28245587724E-2</v>
      </c>
      <c r="AV58">
        <v>0.228417007654</v>
      </c>
      <c r="AW58">
        <v>0.46817915172899999</v>
      </c>
      <c r="AX58">
        <v>0.62707813864600004</v>
      </c>
      <c r="AY58">
        <v>0.34723527686599998</v>
      </c>
      <c r="AZ58">
        <v>0.62515688846799999</v>
      </c>
    </row>
    <row r="59" spans="1:52" x14ac:dyDescent="0.25">
      <c r="A59" t="s">
        <v>123</v>
      </c>
      <c r="B59" t="s">
        <v>53</v>
      </c>
      <c r="C59">
        <v>60</v>
      </c>
      <c r="D59">
        <v>30</v>
      </c>
      <c r="E59" t="s">
        <v>106</v>
      </c>
      <c r="F59" t="s">
        <v>55</v>
      </c>
      <c r="G59" t="s">
        <v>80</v>
      </c>
      <c r="H59" t="s">
        <v>59</v>
      </c>
      <c r="I59">
        <v>77</v>
      </c>
      <c r="J59">
        <v>77</v>
      </c>
      <c r="K59">
        <v>42</v>
      </c>
      <c r="L59">
        <v>42</v>
      </c>
      <c r="M59" t="b">
        <v>1</v>
      </c>
      <c r="N59" t="b">
        <v>0</v>
      </c>
      <c r="O59">
        <v>525.8930441</v>
      </c>
      <c r="P59">
        <v>624</v>
      </c>
      <c r="Q59">
        <v>333</v>
      </c>
      <c r="R59">
        <v>291</v>
      </c>
      <c r="S59" t="b">
        <v>1</v>
      </c>
      <c r="T59">
        <v>0.51282051282100005</v>
      </c>
      <c r="U59">
        <v>0.50756942509500003</v>
      </c>
      <c r="V59">
        <v>0.50772568804399998</v>
      </c>
      <c r="W59">
        <v>0.50756942509500003</v>
      </c>
      <c r="X59">
        <v>0.50661159604200001</v>
      </c>
      <c r="Y59">
        <v>0.54016620498599999</v>
      </c>
      <c r="Z59">
        <v>0.58558558558600005</v>
      </c>
      <c r="AA59">
        <v>0.56195965417899996</v>
      </c>
      <c r="AB59">
        <v>333</v>
      </c>
      <c r="AC59">
        <v>0.475285171103</v>
      </c>
      <c r="AD59">
        <v>0.42955326460499998</v>
      </c>
      <c r="AE59">
        <v>0.45126353790599999</v>
      </c>
      <c r="AF59">
        <v>291</v>
      </c>
      <c r="AG59">
        <v>1.52943148864E-2</v>
      </c>
      <c r="AH59">
        <v>195</v>
      </c>
      <c r="AI59">
        <v>138</v>
      </c>
      <c r="AJ59">
        <v>166</v>
      </c>
      <c r="AK59">
        <v>125</v>
      </c>
      <c r="AL59">
        <v>0.51490149943800001</v>
      </c>
      <c r="AM59">
        <v>0.462456266309</v>
      </c>
      <c r="AN59">
        <v>1000</v>
      </c>
      <c r="AO59">
        <v>0.42677332362600001</v>
      </c>
      <c r="AP59">
        <v>0.59716831655400004</v>
      </c>
      <c r="AQ59">
        <v>0.42075658777300001</v>
      </c>
      <c r="AR59">
        <v>0.59455736656799996</v>
      </c>
      <c r="AS59">
        <v>0.41588943729099997</v>
      </c>
      <c r="AT59">
        <v>0.58698324949299996</v>
      </c>
      <c r="AU59">
        <v>-0.15971236405100001</v>
      </c>
      <c r="AV59">
        <v>0.192250015946</v>
      </c>
      <c r="AW59">
        <v>0.40906695163099999</v>
      </c>
      <c r="AX59">
        <v>0.61919233507399996</v>
      </c>
      <c r="AY59">
        <v>0.31735405703399999</v>
      </c>
      <c r="AZ59">
        <v>0.62752754512599995</v>
      </c>
    </row>
    <row r="60" spans="1:52" x14ac:dyDescent="0.25">
      <c r="A60" t="s">
        <v>124</v>
      </c>
      <c r="B60" t="s">
        <v>53</v>
      </c>
      <c r="C60">
        <v>60</v>
      </c>
      <c r="D60">
        <v>30</v>
      </c>
      <c r="E60" t="s">
        <v>106</v>
      </c>
      <c r="F60" t="s">
        <v>55</v>
      </c>
      <c r="G60" t="s">
        <v>80</v>
      </c>
      <c r="H60" t="s">
        <v>61</v>
      </c>
      <c r="I60">
        <v>77</v>
      </c>
      <c r="J60">
        <v>77</v>
      </c>
      <c r="K60">
        <v>42</v>
      </c>
      <c r="L60">
        <v>42</v>
      </c>
      <c r="M60" t="b">
        <v>1</v>
      </c>
      <c r="N60" t="b">
        <v>0</v>
      </c>
      <c r="O60">
        <v>26.057544400000001</v>
      </c>
      <c r="P60">
        <v>624</v>
      </c>
      <c r="Q60">
        <v>333</v>
      </c>
      <c r="R60">
        <v>291</v>
      </c>
      <c r="S60" t="b">
        <v>1</v>
      </c>
      <c r="T60">
        <v>0.48397435897399999</v>
      </c>
      <c r="U60">
        <v>0.47837528249900002</v>
      </c>
      <c r="V60">
        <v>0.477882270986</v>
      </c>
      <c r="W60">
        <v>0.47837528249900002</v>
      </c>
      <c r="X60">
        <v>0.47701149425299999</v>
      </c>
      <c r="Y60">
        <v>0.51515151515199997</v>
      </c>
      <c r="Z60">
        <v>0.56156156156199999</v>
      </c>
      <c r="AA60">
        <v>0.53735632183899995</v>
      </c>
      <c r="AB60">
        <v>333</v>
      </c>
      <c r="AC60">
        <v>0.44061302681999998</v>
      </c>
      <c r="AD60">
        <v>0.395189003436</v>
      </c>
      <c r="AE60">
        <v>0.41666666666699997</v>
      </c>
      <c r="AF60">
        <v>291</v>
      </c>
      <c r="AG60">
        <v>-4.3739668114799998E-2</v>
      </c>
      <c r="AH60">
        <v>187</v>
      </c>
      <c r="AI60">
        <v>146</v>
      </c>
      <c r="AJ60">
        <v>176</v>
      </c>
      <c r="AK60">
        <v>115</v>
      </c>
      <c r="AL60">
        <v>0.48079522821800003</v>
      </c>
      <c r="AM60">
        <v>0.44380539252099999</v>
      </c>
      <c r="AN60">
        <v>1000</v>
      </c>
      <c r="AO60">
        <v>0.42377919006800002</v>
      </c>
      <c r="AP60">
        <v>0.53546391076099997</v>
      </c>
      <c r="AQ60">
        <v>0.41767402981399998</v>
      </c>
      <c r="AR60">
        <v>0.53089826613699997</v>
      </c>
      <c r="AS60">
        <v>0.412520018268</v>
      </c>
      <c r="AT60">
        <v>0.52986438868600005</v>
      </c>
      <c r="AU60">
        <v>-0.166283665705</v>
      </c>
      <c r="AV60">
        <v>6.1495302933900001E-2</v>
      </c>
      <c r="AW60">
        <v>0.41030949310800002</v>
      </c>
      <c r="AX60">
        <v>0.541014566014</v>
      </c>
      <c r="AY60">
        <v>0.31636461349599998</v>
      </c>
      <c r="AZ60">
        <v>0.57839417253000003</v>
      </c>
    </row>
    <row r="61" spans="1:52" x14ac:dyDescent="0.25">
      <c r="A61" t="s">
        <v>125</v>
      </c>
      <c r="B61" t="s">
        <v>53</v>
      </c>
      <c r="C61">
        <v>60</v>
      </c>
      <c r="D61">
        <v>30</v>
      </c>
      <c r="E61" t="s">
        <v>106</v>
      </c>
      <c r="F61" t="s">
        <v>55</v>
      </c>
      <c r="G61" t="s">
        <v>80</v>
      </c>
      <c r="H61" t="s">
        <v>63</v>
      </c>
      <c r="I61">
        <v>77</v>
      </c>
      <c r="J61">
        <v>77</v>
      </c>
      <c r="K61">
        <v>42</v>
      </c>
      <c r="L61">
        <v>42</v>
      </c>
      <c r="M61" t="b">
        <v>1</v>
      </c>
      <c r="N61" t="b">
        <v>0</v>
      </c>
      <c r="O61">
        <v>917.55068979999999</v>
      </c>
      <c r="P61">
        <v>624</v>
      </c>
      <c r="Q61">
        <v>333</v>
      </c>
      <c r="R61">
        <v>291</v>
      </c>
      <c r="S61" t="b">
        <v>1</v>
      </c>
      <c r="T61">
        <v>0.53205128205100005</v>
      </c>
      <c r="U61">
        <v>0.52797127023900003</v>
      </c>
      <c r="V61">
        <v>0.52828652828699996</v>
      </c>
      <c r="W61">
        <v>0.52797127023900003</v>
      </c>
      <c r="X61">
        <v>0.52768445937499997</v>
      </c>
      <c r="Y61">
        <v>0.55840455840500003</v>
      </c>
      <c r="Z61">
        <v>0.58858858858899998</v>
      </c>
      <c r="AA61">
        <v>0.57309941520499996</v>
      </c>
      <c r="AB61">
        <v>333</v>
      </c>
      <c r="AC61">
        <v>0.49816849816800002</v>
      </c>
      <c r="AD61">
        <v>0.46735395189000001</v>
      </c>
      <c r="AE61">
        <v>0.48226950354600001</v>
      </c>
      <c r="AF61">
        <v>291</v>
      </c>
      <c r="AG61">
        <v>5.6256915195700002E-2</v>
      </c>
      <c r="AH61">
        <v>196</v>
      </c>
      <c r="AI61">
        <v>137</v>
      </c>
      <c r="AJ61">
        <v>155</v>
      </c>
      <c r="AK61">
        <v>136</v>
      </c>
      <c r="AL61">
        <v>0.53373992549299998</v>
      </c>
      <c r="AM61">
        <v>0.50509407583199994</v>
      </c>
      <c r="AN61">
        <v>1000</v>
      </c>
      <c r="AO61">
        <v>0.45608919016999999</v>
      </c>
      <c r="AP61">
        <v>0.60885500711899998</v>
      </c>
      <c r="AQ61">
        <v>0.44800622583499999</v>
      </c>
      <c r="AR61">
        <v>0.607437922026</v>
      </c>
      <c r="AS61">
        <v>0.44729697812000002</v>
      </c>
      <c r="AT61">
        <v>0.60411347097699997</v>
      </c>
      <c r="AU61">
        <v>-0.10422432755200001</v>
      </c>
      <c r="AV61">
        <v>0.21532877336799999</v>
      </c>
      <c r="AW61">
        <v>0.43351009132000001</v>
      </c>
      <c r="AX61">
        <v>0.63432395773700001</v>
      </c>
      <c r="AY61">
        <v>0.34172158335699998</v>
      </c>
      <c r="AZ61">
        <v>0.67979680564900002</v>
      </c>
    </row>
    <row r="62" spans="1:52" x14ac:dyDescent="0.25">
      <c r="A62" t="s">
        <v>126</v>
      </c>
      <c r="B62" t="s">
        <v>53</v>
      </c>
      <c r="C62">
        <v>60</v>
      </c>
      <c r="D62">
        <v>30</v>
      </c>
      <c r="E62" t="s">
        <v>106</v>
      </c>
      <c r="F62" t="s">
        <v>85</v>
      </c>
      <c r="G62" t="s">
        <v>56</v>
      </c>
      <c r="H62" t="s">
        <v>57</v>
      </c>
      <c r="I62">
        <v>29</v>
      </c>
      <c r="J62">
        <v>58</v>
      </c>
      <c r="K62">
        <v>42</v>
      </c>
      <c r="L62">
        <v>42</v>
      </c>
      <c r="M62" t="b">
        <v>1</v>
      </c>
      <c r="N62" t="b">
        <v>0</v>
      </c>
      <c r="O62">
        <v>25.122847100000001</v>
      </c>
      <c r="P62">
        <v>278</v>
      </c>
      <c r="Q62">
        <v>151</v>
      </c>
      <c r="R62">
        <v>127</v>
      </c>
      <c r="S62" t="b">
        <v>1</v>
      </c>
      <c r="T62">
        <v>0.38489208633100003</v>
      </c>
      <c r="U62">
        <v>0.38058611878800003</v>
      </c>
      <c r="V62">
        <v>0.38072916666700002</v>
      </c>
      <c r="W62">
        <v>0.38058611878800003</v>
      </c>
      <c r="X62">
        <v>0.38065272620700003</v>
      </c>
      <c r="Y62">
        <v>0.433333333333</v>
      </c>
      <c r="Z62">
        <v>0.43046357615899999</v>
      </c>
      <c r="AA62">
        <v>0.43189368770800002</v>
      </c>
      <c r="AB62">
        <v>151</v>
      </c>
      <c r="AC62">
        <v>0.328125</v>
      </c>
      <c r="AD62">
        <v>0.330708661417</v>
      </c>
      <c r="AE62">
        <v>0.32941176470599998</v>
      </c>
      <c r="AF62">
        <v>127</v>
      </c>
      <c r="AG62">
        <v>-0.23868467167999999</v>
      </c>
      <c r="AH62">
        <v>65</v>
      </c>
      <c r="AI62">
        <v>86</v>
      </c>
      <c r="AJ62">
        <v>85</v>
      </c>
      <c r="AK62">
        <v>42</v>
      </c>
      <c r="AL62">
        <v>0.34411013192899997</v>
      </c>
      <c r="AM62">
        <v>0.39399860858500002</v>
      </c>
      <c r="AN62">
        <v>1000</v>
      </c>
      <c r="AO62">
        <v>0.307665505226</v>
      </c>
      <c r="AP62">
        <v>0.47038118410399998</v>
      </c>
      <c r="AQ62">
        <v>0.30577202064499998</v>
      </c>
      <c r="AR62">
        <v>0.46415634206599998</v>
      </c>
      <c r="AS62">
        <v>0.303875082864</v>
      </c>
      <c r="AT62">
        <v>0.45959188930200001</v>
      </c>
      <c r="AU62">
        <v>-0.38736100240100002</v>
      </c>
      <c r="AV62">
        <v>-7.0858241444700001E-2</v>
      </c>
      <c r="AW62">
        <v>0.25322921985000002</v>
      </c>
      <c r="AX62">
        <v>0.44094103623999997</v>
      </c>
      <c r="AY62">
        <v>0.28256178049199998</v>
      </c>
      <c r="AZ62">
        <v>0.52234695332900005</v>
      </c>
    </row>
    <row r="63" spans="1:52" x14ac:dyDescent="0.25">
      <c r="A63" t="s">
        <v>127</v>
      </c>
      <c r="B63" t="s">
        <v>53</v>
      </c>
      <c r="C63">
        <v>60</v>
      </c>
      <c r="D63">
        <v>30</v>
      </c>
      <c r="E63" t="s">
        <v>106</v>
      </c>
      <c r="F63" t="s">
        <v>85</v>
      </c>
      <c r="G63" t="s">
        <v>56</v>
      </c>
      <c r="H63" t="s">
        <v>59</v>
      </c>
      <c r="I63">
        <v>29</v>
      </c>
      <c r="J63">
        <v>58</v>
      </c>
      <c r="K63">
        <v>42</v>
      </c>
      <c r="L63">
        <v>42</v>
      </c>
      <c r="M63" t="b">
        <v>1</v>
      </c>
      <c r="N63" t="b">
        <v>0</v>
      </c>
      <c r="O63">
        <v>409.2724111</v>
      </c>
      <c r="P63">
        <v>278</v>
      </c>
      <c r="Q63">
        <v>151</v>
      </c>
      <c r="R63">
        <v>127</v>
      </c>
      <c r="S63" t="b">
        <v>1</v>
      </c>
      <c r="T63">
        <v>0.46402877697799999</v>
      </c>
      <c r="U63">
        <v>0.45405955050300001</v>
      </c>
      <c r="V63">
        <v>0.45201525054500002</v>
      </c>
      <c r="W63">
        <v>0.45405955050300001</v>
      </c>
      <c r="X63">
        <v>0.45089149599</v>
      </c>
      <c r="Y63">
        <v>0.50588235294100004</v>
      </c>
      <c r="Z63">
        <v>0.56953642384100001</v>
      </c>
      <c r="AA63">
        <v>0.53582554517100001</v>
      </c>
      <c r="AB63">
        <v>151</v>
      </c>
      <c r="AC63">
        <v>0.39814814814799998</v>
      </c>
      <c r="AD63">
        <v>0.33858267716500001</v>
      </c>
      <c r="AE63">
        <v>0.365957446809</v>
      </c>
      <c r="AF63">
        <v>127</v>
      </c>
      <c r="AG63">
        <v>-9.3902949026499996E-2</v>
      </c>
      <c r="AH63">
        <v>86</v>
      </c>
      <c r="AI63">
        <v>65</v>
      </c>
      <c r="AJ63">
        <v>84</v>
      </c>
      <c r="AK63">
        <v>43</v>
      </c>
      <c r="AL63">
        <v>0.45640611148799998</v>
      </c>
      <c r="AM63">
        <v>0.429122853463</v>
      </c>
      <c r="AN63">
        <v>1000</v>
      </c>
      <c r="AO63">
        <v>0.39636195286199999</v>
      </c>
      <c r="AP63">
        <v>0.54285714285700004</v>
      </c>
      <c r="AQ63">
        <v>0.38789634332</v>
      </c>
      <c r="AR63">
        <v>0.52718312643300003</v>
      </c>
      <c r="AS63">
        <v>0.38341232226799998</v>
      </c>
      <c r="AT63">
        <v>0.52158207586000005</v>
      </c>
      <c r="AU63">
        <v>-0.22458136862200001</v>
      </c>
      <c r="AV63">
        <v>5.4892169340399997E-2</v>
      </c>
      <c r="AW63">
        <v>0.36778019757500002</v>
      </c>
      <c r="AX63">
        <v>0.54753015390899995</v>
      </c>
      <c r="AY63">
        <v>0.31342284707599999</v>
      </c>
      <c r="AZ63">
        <v>0.56433885845800003</v>
      </c>
    </row>
    <row r="64" spans="1:52" x14ac:dyDescent="0.25">
      <c r="A64" t="s">
        <v>128</v>
      </c>
      <c r="B64" t="s">
        <v>53</v>
      </c>
      <c r="C64">
        <v>60</v>
      </c>
      <c r="D64">
        <v>30</v>
      </c>
      <c r="E64" t="s">
        <v>106</v>
      </c>
      <c r="F64" t="s">
        <v>85</v>
      </c>
      <c r="G64" t="s">
        <v>56</v>
      </c>
      <c r="H64" t="s">
        <v>61</v>
      </c>
      <c r="I64">
        <v>29</v>
      </c>
      <c r="J64">
        <v>58</v>
      </c>
      <c r="K64">
        <v>42</v>
      </c>
      <c r="L64">
        <v>42</v>
      </c>
      <c r="M64" t="b">
        <v>1</v>
      </c>
      <c r="N64" t="b">
        <v>0</v>
      </c>
      <c r="O64">
        <v>22.930915200000001</v>
      </c>
      <c r="P64">
        <v>278</v>
      </c>
      <c r="Q64">
        <v>151</v>
      </c>
      <c r="R64">
        <v>127</v>
      </c>
      <c r="S64" t="b">
        <v>1</v>
      </c>
      <c r="T64">
        <v>0.471223021583</v>
      </c>
      <c r="U64">
        <v>0.462559315847</v>
      </c>
      <c r="V64">
        <v>0.46138123924300001</v>
      </c>
      <c r="W64">
        <v>0.462559315847</v>
      </c>
      <c r="X64">
        <v>0.460607420509</v>
      </c>
      <c r="Y64">
        <v>0.512048192771</v>
      </c>
      <c r="Z64">
        <v>0.56291390728500001</v>
      </c>
      <c r="AA64">
        <v>0.53627760252400003</v>
      </c>
      <c r="AB64">
        <v>151</v>
      </c>
      <c r="AC64">
        <v>0.41071428571399998</v>
      </c>
      <c r="AD64">
        <v>0.36220472440899998</v>
      </c>
      <c r="AE64">
        <v>0.38493723849400002</v>
      </c>
      <c r="AF64">
        <v>127</v>
      </c>
      <c r="AG64">
        <v>-7.6050320811700003E-2</v>
      </c>
      <c r="AH64">
        <v>85</v>
      </c>
      <c r="AI64">
        <v>66</v>
      </c>
      <c r="AJ64">
        <v>81</v>
      </c>
      <c r="AK64">
        <v>46</v>
      </c>
      <c r="AL64">
        <v>0.43346195963900003</v>
      </c>
      <c r="AM64">
        <v>0.42550931198800002</v>
      </c>
      <c r="AN64">
        <v>1000</v>
      </c>
      <c r="AO64">
        <v>0.406455298395</v>
      </c>
      <c r="AP64">
        <v>0.54348619485899996</v>
      </c>
      <c r="AQ64">
        <v>0.39814949153200002</v>
      </c>
      <c r="AR64">
        <v>0.53073651478799999</v>
      </c>
      <c r="AS64">
        <v>0.39482243602599998</v>
      </c>
      <c r="AT64">
        <v>0.52329279848499999</v>
      </c>
      <c r="AU64">
        <v>-0.205026390414</v>
      </c>
      <c r="AV64">
        <v>6.1731659000499997E-2</v>
      </c>
      <c r="AW64">
        <v>0.36509298995200001</v>
      </c>
      <c r="AX64">
        <v>0.50545634835999997</v>
      </c>
      <c r="AY64">
        <v>0.30853402522399997</v>
      </c>
      <c r="AZ64">
        <v>0.56111706711200005</v>
      </c>
    </row>
    <row r="65" spans="1:52" x14ac:dyDescent="0.25">
      <c r="A65" t="s">
        <v>129</v>
      </c>
      <c r="B65" t="s">
        <v>53</v>
      </c>
      <c r="C65">
        <v>60</v>
      </c>
      <c r="D65">
        <v>30</v>
      </c>
      <c r="E65" t="s">
        <v>106</v>
      </c>
      <c r="F65" t="s">
        <v>85</v>
      </c>
      <c r="G65" t="s">
        <v>56</v>
      </c>
      <c r="H65" t="s">
        <v>63</v>
      </c>
      <c r="I65">
        <v>29</v>
      </c>
      <c r="J65">
        <v>58</v>
      </c>
      <c r="K65">
        <v>42</v>
      </c>
      <c r="L65">
        <v>42</v>
      </c>
      <c r="M65" t="b">
        <v>1</v>
      </c>
      <c r="N65" t="b">
        <v>0</v>
      </c>
      <c r="O65">
        <v>494.2701065</v>
      </c>
      <c r="P65">
        <v>278</v>
      </c>
      <c r="Q65">
        <v>151</v>
      </c>
      <c r="R65">
        <v>127</v>
      </c>
      <c r="S65" t="b">
        <v>1</v>
      </c>
      <c r="T65">
        <v>0.53597122302199995</v>
      </c>
      <c r="U65">
        <v>0.53092245919600001</v>
      </c>
      <c r="V65">
        <v>0.53115804960099999</v>
      </c>
      <c r="W65">
        <v>0.53092245919600001</v>
      </c>
      <c r="X65">
        <v>0.53086613555200002</v>
      </c>
      <c r="Y65">
        <v>0.57051282051300001</v>
      </c>
      <c r="Z65">
        <v>0.58940397350999996</v>
      </c>
      <c r="AA65">
        <v>0.57980456026100002</v>
      </c>
      <c r="AB65">
        <v>151</v>
      </c>
      <c r="AC65">
        <v>0.49180327868899998</v>
      </c>
      <c r="AD65">
        <v>0.472440944882</v>
      </c>
      <c r="AE65">
        <v>0.48192771084300001</v>
      </c>
      <c r="AF65">
        <v>127</v>
      </c>
      <c r="AG65">
        <v>6.2080061771900001E-2</v>
      </c>
      <c r="AH65">
        <v>89</v>
      </c>
      <c r="AI65">
        <v>62</v>
      </c>
      <c r="AJ65">
        <v>67</v>
      </c>
      <c r="AK65">
        <v>60</v>
      </c>
      <c r="AL65">
        <v>0.506909318454</v>
      </c>
      <c r="AM65">
        <v>0.44593381886700001</v>
      </c>
      <c r="AN65">
        <v>1000</v>
      </c>
      <c r="AO65">
        <v>0.460992907801</v>
      </c>
      <c r="AP65">
        <v>0.60707097850299996</v>
      </c>
      <c r="AQ65">
        <v>0.461366129869</v>
      </c>
      <c r="AR65">
        <v>0.59868163751299996</v>
      </c>
      <c r="AS65">
        <v>0.45766368673300001</v>
      </c>
      <c r="AT65">
        <v>0.597638753523</v>
      </c>
      <c r="AU65">
        <v>-7.75946757535E-2</v>
      </c>
      <c r="AV65">
        <v>0.19696639591099999</v>
      </c>
      <c r="AW65">
        <v>0.41684134667900002</v>
      </c>
      <c r="AX65">
        <v>0.59637165541299997</v>
      </c>
      <c r="AY65">
        <v>0.32337756724700001</v>
      </c>
      <c r="AZ65">
        <v>0.60561607716200005</v>
      </c>
    </row>
    <row r="66" spans="1:52" x14ac:dyDescent="0.25">
      <c r="A66" t="s">
        <v>130</v>
      </c>
      <c r="B66" t="s">
        <v>53</v>
      </c>
      <c r="C66">
        <v>60</v>
      </c>
      <c r="D66">
        <v>30</v>
      </c>
      <c r="E66" t="s">
        <v>106</v>
      </c>
      <c r="F66" t="s">
        <v>85</v>
      </c>
      <c r="G66" t="s">
        <v>65</v>
      </c>
      <c r="H66" t="s">
        <v>57</v>
      </c>
      <c r="I66">
        <v>48</v>
      </c>
      <c r="J66">
        <v>96</v>
      </c>
      <c r="K66">
        <v>42</v>
      </c>
      <c r="L66">
        <v>42</v>
      </c>
      <c r="M66" t="b">
        <v>1</v>
      </c>
      <c r="N66" t="b">
        <v>0</v>
      </c>
      <c r="O66">
        <v>26.0772935</v>
      </c>
      <c r="P66">
        <v>278</v>
      </c>
      <c r="Q66">
        <v>151</v>
      </c>
      <c r="R66">
        <v>127</v>
      </c>
      <c r="S66" t="b">
        <v>1</v>
      </c>
      <c r="T66">
        <v>0.51798561151099998</v>
      </c>
      <c r="U66">
        <v>0.514366167805</v>
      </c>
      <c r="V66">
        <v>0.514366167805</v>
      </c>
      <c r="W66">
        <v>0.514366167805</v>
      </c>
      <c r="X66">
        <v>0.514366167805</v>
      </c>
      <c r="Y66">
        <v>0.55629139072800005</v>
      </c>
      <c r="Z66">
        <v>0.55629139072800005</v>
      </c>
      <c r="AA66">
        <v>0.55629139072800005</v>
      </c>
      <c r="AB66">
        <v>151</v>
      </c>
      <c r="AC66">
        <v>0.472440944882</v>
      </c>
      <c r="AD66">
        <v>0.472440944882</v>
      </c>
      <c r="AE66">
        <v>0.472440944882</v>
      </c>
      <c r="AF66">
        <v>127</v>
      </c>
      <c r="AG66">
        <v>2.8732335610399999E-2</v>
      </c>
      <c r="AH66">
        <v>84</v>
      </c>
      <c r="AI66">
        <v>67</v>
      </c>
      <c r="AJ66">
        <v>67</v>
      </c>
      <c r="AK66">
        <v>60</v>
      </c>
      <c r="AL66">
        <v>0.52083224696300001</v>
      </c>
      <c r="AM66">
        <v>0.48159839426399997</v>
      </c>
      <c r="AN66">
        <v>1000</v>
      </c>
      <c r="AO66">
        <v>0.44480829515300002</v>
      </c>
      <c r="AP66">
        <v>0.58929041353400002</v>
      </c>
      <c r="AQ66">
        <v>0.44296216235000002</v>
      </c>
      <c r="AR66">
        <v>0.58443453543199997</v>
      </c>
      <c r="AS66">
        <v>0.44043029528099997</v>
      </c>
      <c r="AT66">
        <v>0.581354952531</v>
      </c>
      <c r="AU66">
        <v>-0.113558373492</v>
      </c>
      <c r="AV66">
        <v>0.17008466752699999</v>
      </c>
      <c r="AW66">
        <v>0.43452354834200002</v>
      </c>
      <c r="AX66">
        <v>0.60396802982599995</v>
      </c>
      <c r="AY66">
        <v>0.35381536771400002</v>
      </c>
      <c r="AZ66">
        <v>0.63703239176899995</v>
      </c>
    </row>
    <row r="67" spans="1:52" x14ac:dyDescent="0.25">
      <c r="A67" t="s">
        <v>131</v>
      </c>
      <c r="B67" t="s">
        <v>53</v>
      </c>
      <c r="C67">
        <v>60</v>
      </c>
      <c r="D67">
        <v>30</v>
      </c>
      <c r="E67" t="s">
        <v>106</v>
      </c>
      <c r="F67" t="s">
        <v>85</v>
      </c>
      <c r="G67" t="s">
        <v>65</v>
      </c>
      <c r="H67" t="s">
        <v>59</v>
      </c>
      <c r="I67">
        <v>48</v>
      </c>
      <c r="J67">
        <v>96</v>
      </c>
      <c r="K67">
        <v>42</v>
      </c>
      <c r="L67">
        <v>42</v>
      </c>
      <c r="M67" t="b">
        <v>1</v>
      </c>
      <c r="N67" t="b">
        <v>0</v>
      </c>
      <c r="O67">
        <v>420.367953</v>
      </c>
      <c r="P67">
        <v>278</v>
      </c>
      <c r="Q67">
        <v>151</v>
      </c>
      <c r="R67">
        <v>127</v>
      </c>
      <c r="S67" t="b">
        <v>1</v>
      </c>
      <c r="T67">
        <v>0.5</v>
      </c>
      <c r="U67">
        <v>0.48779788288100001</v>
      </c>
      <c r="V67">
        <v>0.486853932584</v>
      </c>
      <c r="W67">
        <v>0.48779788288100001</v>
      </c>
      <c r="X67">
        <v>0.48258639851099999</v>
      </c>
      <c r="Y67">
        <v>0.53370786516900004</v>
      </c>
      <c r="Z67">
        <v>0.62913907284799997</v>
      </c>
      <c r="AA67">
        <v>0.57750759878400004</v>
      </c>
      <c r="AB67">
        <v>151</v>
      </c>
      <c r="AC67">
        <v>0.44</v>
      </c>
      <c r="AD67">
        <v>0.34645669291300002</v>
      </c>
      <c r="AE67">
        <v>0.387665198238</v>
      </c>
      <c r="AF67">
        <v>127</v>
      </c>
      <c r="AG67">
        <v>-2.5330602382700001E-2</v>
      </c>
      <c r="AH67">
        <v>95</v>
      </c>
      <c r="AI67">
        <v>56</v>
      </c>
      <c r="AJ67">
        <v>83</v>
      </c>
      <c r="AK67">
        <v>44</v>
      </c>
      <c r="AL67">
        <v>0.50810867184599995</v>
      </c>
      <c r="AM67">
        <v>0.484058214697</v>
      </c>
      <c r="AN67">
        <v>1000</v>
      </c>
      <c r="AO67">
        <v>0.43971241524400001</v>
      </c>
      <c r="AP67">
        <v>0.56989247311799995</v>
      </c>
      <c r="AQ67">
        <v>0.43436677204599999</v>
      </c>
      <c r="AR67">
        <v>0.54293967651999997</v>
      </c>
      <c r="AS67">
        <v>0.42577566002400002</v>
      </c>
      <c r="AT67">
        <v>0.53773753277799996</v>
      </c>
      <c r="AU67">
        <v>-0.13365652602799999</v>
      </c>
      <c r="AV67">
        <v>8.7830274823500004E-2</v>
      </c>
      <c r="AW67">
        <v>0.43210108105200001</v>
      </c>
      <c r="AX67">
        <v>0.59303712570300005</v>
      </c>
      <c r="AY67">
        <v>0.35173188907899999</v>
      </c>
      <c r="AZ67">
        <v>0.63638617825400001</v>
      </c>
    </row>
    <row r="68" spans="1:52" x14ac:dyDescent="0.25">
      <c r="A68" t="s">
        <v>132</v>
      </c>
      <c r="B68" t="s">
        <v>53</v>
      </c>
      <c r="C68">
        <v>60</v>
      </c>
      <c r="D68">
        <v>30</v>
      </c>
      <c r="E68" t="s">
        <v>106</v>
      </c>
      <c r="F68" t="s">
        <v>85</v>
      </c>
      <c r="G68" t="s">
        <v>65</v>
      </c>
      <c r="H68" t="s">
        <v>61</v>
      </c>
      <c r="I68">
        <v>48</v>
      </c>
      <c r="J68">
        <v>96</v>
      </c>
      <c r="K68">
        <v>42</v>
      </c>
      <c r="L68">
        <v>42</v>
      </c>
      <c r="M68" t="b">
        <v>1</v>
      </c>
      <c r="N68" t="b">
        <v>0</v>
      </c>
      <c r="O68">
        <v>23.806103499999999</v>
      </c>
      <c r="P68">
        <v>278</v>
      </c>
      <c r="Q68">
        <v>151</v>
      </c>
      <c r="R68">
        <v>127</v>
      </c>
      <c r="S68" t="b">
        <v>1</v>
      </c>
      <c r="T68">
        <v>0.528776978417</v>
      </c>
      <c r="U68">
        <v>0.52367419304399998</v>
      </c>
      <c r="V68">
        <v>0.52385456074000003</v>
      </c>
      <c r="W68">
        <v>0.52367419304399998</v>
      </c>
      <c r="X68">
        <v>0.52359274230499997</v>
      </c>
      <c r="Y68">
        <v>0.56410256410299997</v>
      </c>
      <c r="Z68">
        <v>0.58278145695399997</v>
      </c>
      <c r="AA68">
        <v>0.57328990227999999</v>
      </c>
      <c r="AB68">
        <v>151</v>
      </c>
      <c r="AC68">
        <v>0.48360655737699998</v>
      </c>
      <c r="AD68">
        <v>0.464566929134</v>
      </c>
      <c r="AE68">
        <v>0.47389558232899998</v>
      </c>
      <c r="AF68">
        <v>127</v>
      </c>
      <c r="AG68">
        <v>4.7528411542100003E-2</v>
      </c>
      <c r="AH68">
        <v>88</v>
      </c>
      <c r="AI68">
        <v>63</v>
      </c>
      <c r="AJ68">
        <v>68</v>
      </c>
      <c r="AK68">
        <v>59</v>
      </c>
      <c r="AL68">
        <v>0.52458674453800003</v>
      </c>
      <c r="AM68">
        <v>0.47597378978499999</v>
      </c>
      <c r="AN68">
        <v>1000</v>
      </c>
      <c r="AO68">
        <v>0.46294710806700001</v>
      </c>
      <c r="AP68">
        <v>0.59420289855099995</v>
      </c>
      <c r="AQ68">
        <v>0.46012885516099999</v>
      </c>
      <c r="AR68">
        <v>0.587701483458</v>
      </c>
      <c r="AS68">
        <v>0.45716151887700002</v>
      </c>
      <c r="AT68">
        <v>0.58622662427000005</v>
      </c>
      <c r="AU68">
        <v>-8.0219863631800004E-2</v>
      </c>
      <c r="AV68">
        <v>0.17706512691000001</v>
      </c>
      <c r="AW68">
        <v>0.44776037434900001</v>
      </c>
      <c r="AX68">
        <v>0.60305098832799997</v>
      </c>
      <c r="AY68">
        <v>0.35917319303799999</v>
      </c>
      <c r="AZ68">
        <v>0.61829354845999995</v>
      </c>
    </row>
    <row r="69" spans="1:52" x14ac:dyDescent="0.25">
      <c r="A69" t="s">
        <v>133</v>
      </c>
      <c r="B69" t="s">
        <v>53</v>
      </c>
      <c r="C69">
        <v>60</v>
      </c>
      <c r="D69">
        <v>30</v>
      </c>
      <c r="E69" t="s">
        <v>106</v>
      </c>
      <c r="F69" t="s">
        <v>85</v>
      </c>
      <c r="G69" t="s">
        <v>65</v>
      </c>
      <c r="H69" t="s">
        <v>63</v>
      </c>
      <c r="I69">
        <v>48</v>
      </c>
      <c r="J69">
        <v>96</v>
      </c>
      <c r="K69">
        <v>42</v>
      </c>
      <c r="L69">
        <v>42</v>
      </c>
      <c r="M69" t="b">
        <v>1</v>
      </c>
      <c r="N69" t="b">
        <v>0</v>
      </c>
      <c r="O69">
        <v>692.93090600000005</v>
      </c>
      <c r="P69">
        <v>278</v>
      </c>
      <c r="Q69">
        <v>151</v>
      </c>
      <c r="R69">
        <v>127</v>
      </c>
      <c r="S69" t="b">
        <v>1</v>
      </c>
      <c r="T69">
        <v>0.49280575539600002</v>
      </c>
      <c r="U69">
        <v>0.484929863899</v>
      </c>
      <c r="V69">
        <v>0.484542148053</v>
      </c>
      <c r="W69">
        <v>0.484929863899</v>
      </c>
      <c r="X69">
        <v>0.483659355859</v>
      </c>
      <c r="Y69">
        <v>0.53048780487799996</v>
      </c>
      <c r="Z69">
        <v>0.576158940397</v>
      </c>
      <c r="AA69">
        <v>0.55238095238100005</v>
      </c>
      <c r="AB69">
        <v>151</v>
      </c>
      <c r="AC69">
        <v>0.43859649122799998</v>
      </c>
      <c r="AD69">
        <v>0.39370078740199999</v>
      </c>
      <c r="AE69">
        <v>0.41493775933600002</v>
      </c>
      <c r="AF69">
        <v>127</v>
      </c>
      <c r="AG69">
        <v>-3.05255258865E-2</v>
      </c>
      <c r="AH69">
        <v>87</v>
      </c>
      <c r="AI69">
        <v>64</v>
      </c>
      <c r="AJ69">
        <v>77</v>
      </c>
      <c r="AK69">
        <v>50</v>
      </c>
      <c r="AL69">
        <v>0.500234656098</v>
      </c>
      <c r="AM69">
        <v>0.459758285318</v>
      </c>
      <c r="AN69">
        <v>1000</v>
      </c>
      <c r="AO69">
        <v>0.431566858843</v>
      </c>
      <c r="AP69">
        <v>0.56117339704900004</v>
      </c>
      <c r="AQ69">
        <v>0.42563435081399997</v>
      </c>
      <c r="AR69">
        <v>0.54617072661499999</v>
      </c>
      <c r="AS69">
        <v>0.42279524037900001</v>
      </c>
      <c r="AT69">
        <v>0.542549340075</v>
      </c>
      <c r="AU69">
        <v>-0.14981767312200001</v>
      </c>
      <c r="AV69">
        <v>9.4189332559399999E-2</v>
      </c>
      <c r="AW69">
        <v>0.42177456772499999</v>
      </c>
      <c r="AX69">
        <v>0.57810755082800003</v>
      </c>
      <c r="AY69">
        <v>0.33241174055299999</v>
      </c>
      <c r="AZ69">
        <v>0.61629028736699998</v>
      </c>
    </row>
    <row r="70" spans="1:52" x14ac:dyDescent="0.25">
      <c r="A70" t="s">
        <v>134</v>
      </c>
      <c r="B70" t="s">
        <v>53</v>
      </c>
      <c r="C70">
        <v>60</v>
      </c>
      <c r="D70">
        <v>30</v>
      </c>
      <c r="E70" t="s">
        <v>106</v>
      </c>
      <c r="F70" t="s">
        <v>85</v>
      </c>
      <c r="G70" t="s">
        <v>70</v>
      </c>
      <c r="H70" t="s">
        <v>57</v>
      </c>
      <c r="I70">
        <v>48</v>
      </c>
      <c r="J70">
        <v>96</v>
      </c>
      <c r="K70">
        <v>42</v>
      </c>
      <c r="L70">
        <v>42</v>
      </c>
      <c r="M70" t="b">
        <v>1</v>
      </c>
      <c r="N70" t="b">
        <v>0</v>
      </c>
      <c r="O70">
        <v>26.318053800000001</v>
      </c>
      <c r="P70">
        <v>278</v>
      </c>
      <c r="Q70">
        <v>151</v>
      </c>
      <c r="R70">
        <v>127</v>
      </c>
      <c r="S70" t="b">
        <v>1</v>
      </c>
      <c r="T70">
        <v>0.40647482014399999</v>
      </c>
      <c r="U70">
        <v>0.40045366845699998</v>
      </c>
      <c r="V70">
        <v>0.39969525010500001</v>
      </c>
      <c r="W70">
        <v>0.40045366845699998</v>
      </c>
      <c r="X70">
        <v>0.39994505710099998</v>
      </c>
      <c r="Y70">
        <v>0.45512820512800001</v>
      </c>
      <c r="Z70">
        <v>0.47019867549700001</v>
      </c>
      <c r="AA70">
        <v>0.46254071661200002</v>
      </c>
      <c r="AB70">
        <v>151</v>
      </c>
      <c r="AC70">
        <v>0.34426229508200001</v>
      </c>
      <c r="AD70">
        <v>0.330708661417</v>
      </c>
      <c r="AE70">
        <v>0.33734939758999999</v>
      </c>
      <c r="AF70">
        <v>127</v>
      </c>
      <c r="AG70">
        <v>-0.199849642365</v>
      </c>
      <c r="AH70">
        <v>71</v>
      </c>
      <c r="AI70">
        <v>80</v>
      </c>
      <c r="AJ70">
        <v>85</v>
      </c>
      <c r="AK70">
        <v>42</v>
      </c>
      <c r="AL70">
        <v>0.44230067268099998</v>
      </c>
      <c r="AM70">
        <v>0.42535156636999999</v>
      </c>
      <c r="AN70">
        <v>1000</v>
      </c>
      <c r="AO70">
        <v>0.32978628079</v>
      </c>
      <c r="AP70">
        <v>0.489214332759</v>
      </c>
      <c r="AQ70">
        <v>0.33071413828700003</v>
      </c>
      <c r="AR70">
        <v>0.48341653279500002</v>
      </c>
      <c r="AS70">
        <v>0.328362361464</v>
      </c>
      <c r="AT70">
        <v>0.47964053871099999</v>
      </c>
      <c r="AU70">
        <v>-0.33732924139100001</v>
      </c>
      <c r="AV70">
        <v>-3.2964593431399999E-2</v>
      </c>
      <c r="AW70">
        <v>0.35969575632400003</v>
      </c>
      <c r="AX70">
        <v>0.538817734903</v>
      </c>
      <c r="AY70">
        <v>0.32003046080999997</v>
      </c>
      <c r="AZ70">
        <v>0.55491290562999995</v>
      </c>
    </row>
    <row r="71" spans="1:52" x14ac:dyDescent="0.25">
      <c r="A71" t="s">
        <v>135</v>
      </c>
      <c r="B71" t="s">
        <v>53</v>
      </c>
      <c r="C71">
        <v>60</v>
      </c>
      <c r="D71">
        <v>30</v>
      </c>
      <c r="E71" t="s">
        <v>106</v>
      </c>
      <c r="F71" t="s">
        <v>85</v>
      </c>
      <c r="G71" t="s">
        <v>70</v>
      </c>
      <c r="H71" t="s">
        <v>59</v>
      </c>
      <c r="I71">
        <v>48</v>
      </c>
      <c r="J71">
        <v>96</v>
      </c>
      <c r="K71">
        <v>42</v>
      </c>
      <c r="L71">
        <v>42</v>
      </c>
      <c r="M71" t="b">
        <v>1</v>
      </c>
      <c r="N71" t="b">
        <v>0</v>
      </c>
      <c r="O71">
        <v>417.5873656</v>
      </c>
      <c r="P71">
        <v>278</v>
      </c>
      <c r="Q71">
        <v>151</v>
      </c>
      <c r="R71">
        <v>127</v>
      </c>
      <c r="S71" t="b">
        <v>1</v>
      </c>
      <c r="T71">
        <v>0.48920863309399998</v>
      </c>
      <c r="U71">
        <v>0.48287010481300002</v>
      </c>
      <c r="V71">
        <v>0.482638338354</v>
      </c>
      <c r="W71">
        <v>0.48287010481300002</v>
      </c>
      <c r="X71">
        <v>0.48234985575700001</v>
      </c>
      <c r="Y71">
        <v>0.52830188679199996</v>
      </c>
      <c r="Z71">
        <v>0.55629139072800005</v>
      </c>
      <c r="AA71">
        <v>0.54193548387099999</v>
      </c>
      <c r="AB71">
        <v>151</v>
      </c>
      <c r="AC71">
        <v>0.43697478991599997</v>
      </c>
      <c r="AD71">
        <v>0.409448818898</v>
      </c>
      <c r="AE71">
        <v>0.422764227642</v>
      </c>
      <c r="AF71">
        <v>127</v>
      </c>
      <c r="AG71">
        <v>-3.4490778145100001E-2</v>
      </c>
      <c r="AH71">
        <v>84</v>
      </c>
      <c r="AI71">
        <v>67</v>
      </c>
      <c r="AJ71">
        <v>75</v>
      </c>
      <c r="AK71">
        <v>52</v>
      </c>
      <c r="AL71">
        <v>0.48289617771299997</v>
      </c>
      <c r="AM71">
        <v>0.44149062082399998</v>
      </c>
      <c r="AN71">
        <v>1000</v>
      </c>
      <c r="AO71">
        <v>0.41155234657</v>
      </c>
      <c r="AP71">
        <v>0.55800322061200003</v>
      </c>
      <c r="AQ71">
        <v>0.40631827283400002</v>
      </c>
      <c r="AR71">
        <v>0.54595214339800002</v>
      </c>
      <c r="AS71">
        <v>0.40507741403399999</v>
      </c>
      <c r="AT71">
        <v>0.544081479112</v>
      </c>
      <c r="AU71">
        <v>-0.18600243527099999</v>
      </c>
      <c r="AV71">
        <v>9.20454071215E-2</v>
      </c>
      <c r="AW71">
        <v>0.39299027564299999</v>
      </c>
      <c r="AX71">
        <v>0.56971536609499995</v>
      </c>
      <c r="AY71">
        <v>0.33585493154200002</v>
      </c>
      <c r="AZ71">
        <v>0.57511271439099998</v>
      </c>
    </row>
    <row r="72" spans="1:52" x14ac:dyDescent="0.25">
      <c r="A72" t="s">
        <v>136</v>
      </c>
      <c r="B72" t="s">
        <v>53</v>
      </c>
      <c r="C72">
        <v>60</v>
      </c>
      <c r="D72">
        <v>30</v>
      </c>
      <c r="E72" t="s">
        <v>106</v>
      </c>
      <c r="F72" t="s">
        <v>85</v>
      </c>
      <c r="G72" t="s">
        <v>70</v>
      </c>
      <c r="H72" t="s">
        <v>61</v>
      </c>
      <c r="I72">
        <v>48</v>
      </c>
      <c r="J72">
        <v>96</v>
      </c>
      <c r="K72">
        <v>42</v>
      </c>
      <c r="L72">
        <v>42</v>
      </c>
      <c r="M72" t="b">
        <v>1</v>
      </c>
      <c r="N72" t="b">
        <v>0</v>
      </c>
      <c r="O72">
        <v>23.968145100000001</v>
      </c>
      <c r="P72">
        <v>278</v>
      </c>
      <c r="Q72">
        <v>151</v>
      </c>
      <c r="R72">
        <v>127</v>
      </c>
      <c r="S72" t="b">
        <v>1</v>
      </c>
      <c r="T72">
        <v>0.45683453237400001</v>
      </c>
      <c r="U72">
        <v>0.45432027950100001</v>
      </c>
      <c r="V72">
        <v>0.45454545454500001</v>
      </c>
      <c r="W72">
        <v>0.45432027950100001</v>
      </c>
      <c r="X72">
        <v>0.454285454285</v>
      </c>
      <c r="Y72">
        <v>0.5</v>
      </c>
      <c r="Z72">
        <v>0.48344370860899999</v>
      </c>
      <c r="AA72">
        <v>0.49158249158200001</v>
      </c>
      <c r="AB72">
        <v>151</v>
      </c>
      <c r="AC72">
        <v>0.40909090909099999</v>
      </c>
      <c r="AD72">
        <v>0.42519685039400001</v>
      </c>
      <c r="AE72">
        <v>0.41698841698799999</v>
      </c>
      <c r="AF72">
        <v>127</v>
      </c>
      <c r="AG72">
        <v>-9.1133987770800007E-2</v>
      </c>
      <c r="AH72">
        <v>73</v>
      </c>
      <c r="AI72">
        <v>78</v>
      </c>
      <c r="AJ72">
        <v>73</v>
      </c>
      <c r="AK72">
        <v>54</v>
      </c>
      <c r="AL72">
        <v>0.45505032069700002</v>
      </c>
      <c r="AM72">
        <v>0.451954417936</v>
      </c>
      <c r="AN72">
        <v>1000</v>
      </c>
      <c r="AO72">
        <v>0.39779404151800002</v>
      </c>
      <c r="AP72">
        <v>0.51685711257199995</v>
      </c>
      <c r="AQ72">
        <v>0.39657408870600003</v>
      </c>
      <c r="AR72">
        <v>0.51363274410600002</v>
      </c>
      <c r="AS72">
        <v>0.394153905257</v>
      </c>
      <c r="AT72">
        <v>0.51131800061300003</v>
      </c>
      <c r="AU72">
        <v>-0.20400540798799999</v>
      </c>
      <c r="AV72">
        <v>2.7223127234E-2</v>
      </c>
      <c r="AW72">
        <v>0.38762752245900001</v>
      </c>
      <c r="AX72">
        <v>0.52297799118800004</v>
      </c>
      <c r="AY72">
        <v>0.34267982579299999</v>
      </c>
      <c r="AZ72">
        <v>0.57362034055300004</v>
      </c>
    </row>
    <row r="73" spans="1:52" x14ac:dyDescent="0.25">
      <c r="A73" t="s">
        <v>137</v>
      </c>
      <c r="B73" t="s">
        <v>53</v>
      </c>
      <c r="C73">
        <v>60</v>
      </c>
      <c r="D73">
        <v>30</v>
      </c>
      <c r="E73" t="s">
        <v>106</v>
      </c>
      <c r="F73" t="s">
        <v>85</v>
      </c>
      <c r="G73" t="s">
        <v>70</v>
      </c>
      <c r="H73" t="s">
        <v>63</v>
      </c>
      <c r="I73">
        <v>48</v>
      </c>
      <c r="J73">
        <v>96</v>
      </c>
      <c r="K73">
        <v>42</v>
      </c>
      <c r="L73">
        <v>42</v>
      </c>
      <c r="M73" t="b">
        <v>1</v>
      </c>
      <c r="N73" t="b">
        <v>0</v>
      </c>
      <c r="O73">
        <v>651.33996379999996</v>
      </c>
      <c r="P73">
        <v>278</v>
      </c>
      <c r="Q73">
        <v>151</v>
      </c>
      <c r="R73">
        <v>127</v>
      </c>
      <c r="S73" t="b">
        <v>1</v>
      </c>
      <c r="T73">
        <v>0.49640287769800001</v>
      </c>
      <c r="U73">
        <v>0.49262136934900003</v>
      </c>
      <c r="V73">
        <v>0.49262136934900003</v>
      </c>
      <c r="W73">
        <v>0.49262136934900003</v>
      </c>
      <c r="X73">
        <v>0.49262136934900003</v>
      </c>
      <c r="Y73">
        <v>0.53642384105999996</v>
      </c>
      <c r="Z73">
        <v>0.53642384105999996</v>
      </c>
      <c r="AA73">
        <v>0.53642384105999996</v>
      </c>
      <c r="AB73">
        <v>151</v>
      </c>
      <c r="AC73">
        <v>0.44881889763799998</v>
      </c>
      <c r="AD73">
        <v>0.44881889763799998</v>
      </c>
      <c r="AE73">
        <v>0.44881889763799998</v>
      </c>
      <c r="AF73">
        <v>127</v>
      </c>
      <c r="AG73">
        <v>-1.47572613026E-2</v>
      </c>
      <c r="AH73">
        <v>81</v>
      </c>
      <c r="AI73">
        <v>70</v>
      </c>
      <c r="AJ73">
        <v>70</v>
      </c>
      <c r="AK73">
        <v>57</v>
      </c>
      <c r="AL73">
        <v>0.48276581321399997</v>
      </c>
      <c r="AM73">
        <v>0.44198750825100003</v>
      </c>
      <c r="AN73">
        <v>1000</v>
      </c>
      <c r="AO73">
        <v>0.41175939690000002</v>
      </c>
      <c r="AP73">
        <v>0.57589141061000004</v>
      </c>
      <c r="AQ73">
        <v>0.41433862649800002</v>
      </c>
      <c r="AR73">
        <v>0.56943990007800005</v>
      </c>
      <c r="AS73">
        <v>0.41104406158399998</v>
      </c>
      <c r="AT73">
        <v>0.56814938678000004</v>
      </c>
      <c r="AU73">
        <v>-0.170542817949</v>
      </c>
      <c r="AV73">
        <v>0.140270166025</v>
      </c>
      <c r="AW73">
        <v>0.38631735623000002</v>
      </c>
      <c r="AX73">
        <v>0.57357858668899997</v>
      </c>
      <c r="AY73">
        <v>0.32748581206600003</v>
      </c>
      <c r="AZ73">
        <v>0.58877761622699998</v>
      </c>
    </row>
    <row r="74" spans="1:52" x14ac:dyDescent="0.25">
      <c r="A74" t="s">
        <v>138</v>
      </c>
      <c r="B74" t="s">
        <v>53</v>
      </c>
      <c r="C74">
        <v>60</v>
      </c>
      <c r="D74">
        <v>30</v>
      </c>
      <c r="E74" t="s">
        <v>106</v>
      </c>
      <c r="F74" t="s">
        <v>85</v>
      </c>
      <c r="G74" t="s">
        <v>75</v>
      </c>
      <c r="H74" t="s">
        <v>57</v>
      </c>
      <c r="I74">
        <v>77</v>
      </c>
      <c r="J74">
        <v>154</v>
      </c>
      <c r="K74">
        <v>42</v>
      </c>
      <c r="L74">
        <v>42</v>
      </c>
      <c r="M74" t="b">
        <v>1</v>
      </c>
      <c r="N74" t="b">
        <v>0</v>
      </c>
      <c r="O74">
        <v>28.652861900000001</v>
      </c>
      <c r="P74">
        <v>278</v>
      </c>
      <c r="Q74">
        <v>151</v>
      </c>
      <c r="R74">
        <v>127</v>
      </c>
      <c r="S74" t="b">
        <v>1</v>
      </c>
      <c r="T74">
        <v>0.41726618705000001</v>
      </c>
      <c r="U74">
        <v>0.40913594409999998</v>
      </c>
      <c r="V74">
        <v>0.40704187783399998</v>
      </c>
      <c r="W74">
        <v>0.40913594409999998</v>
      </c>
      <c r="X74">
        <v>0.407327472759</v>
      </c>
      <c r="Y74">
        <v>0.46625766871199997</v>
      </c>
      <c r="Z74">
        <v>0.50331125827800005</v>
      </c>
      <c r="AA74">
        <v>0.48407643312100002</v>
      </c>
      <c r="AB74">
        <v>151</v>
      </c>
      <c r="AC74">
        <v>0.34782608695700001</v>
      </c>
      <c r="AD74">
        <v>0.31496062992099999</v>
      </c>
      <c r="AE74">
        <v>0.33057851239699998</v>
      </c>
      <c r="AF74">
        <v>127</v>
      </c>
      <c r="AG74">
        <v>-0.183810250083</v>
      </c>
      <c r="AH74">
        <v>76</v>
      </c>
      <c r="AI74">
        <v>75</v>
      </c>
      <c r="AJ74">
        <v>87</v>
      </c>
      <c r="AK74">
        <v>40</v>
      </c>
      <c r="AL74">
        <v>0.38165510768100003</v>
      </c>
      <c r="AM74">
        <v>0.39385188856999997</v>
      </c>
      <c r="AN74">
        <v>1000</v>
      </c>
      <c r="AO74">
        <v>0.34469065656600001</v>
      </c>
      <c r="AP74">
        <v>0.49656811493199998</v>
      </c>
      <c r="AQ74">
        <v>0.33947665371699998</v>
      </c>
      <c r="AR74">
        <v>0.48973749927100002</v>
      </c>
      <c r="AS74">
        <v>0.335957545606</v>
      </c>
      <c r="AT74">
        <v>0.48424796711599999</v>
      </c>
      <c r="AU74">
        <v>-0.32088335364300002</v>
      </c>
      <c r="AV74">
        <v>-2.0453349166400001E-2</v>
      </c>
      <c r="AW74">
        <v>0.29655324511999998</v>
      </c>
      <c r="AX74">
        <v>0.47528738041399998</v>
      </c>
      <c r="AY74">
        <v>0.29262485413400002</v>
      </c>
      <c r="AZ74">
        <v>0.53733398415300004</v>
      </c>
    </row>
    <row r="75" spans="1:52" x14ac:dyDescent="0.25">
      <c r="A75" t="s">
        <v>139</v>
      </c>
      <c r="B75" t="s">
        <v>53</v>
      </c>
      <c r="C75">
        <v>60</v>
      </c>
      <c r="D75">
        <v>30</v>
      </c>
      <c r="E75" t="s">
        <v>106</v>
      </c>
      <c r="F75" t="s">
        <v>85</v>
      </c>
      <c r="G75" t="s">
        <v>75</v>
      </c>
      <c r="H75" t="s">
        <v>59</v>
      </c>
      <c r="I75">
        <v>77</v>
      </c>
      <c r="J75">
        <v>154</v>
      </c>
      <c r="K75">
        <v>42</v>
      </c>
      <c r="L75">
        <v>42</v>
      </c>
      <c r="M75" t="b">
        <v>1</v>
      </c>
      <c r="N75" t="b">
        <v>0</v>
      </c>
      <c r="O75">
        <v>439.29765020000002</v>
      </c>
      <c r="P75">
        <v>278</v>
      </c>
      <c r="Q75">
        <v>151</v>
      </c>
      <c r="R75">
        <v>127</v>
      </c>
      <c r="S75" t="b">
        <v>1</v>
      </c>
      <c r="T75">
        <v>0.5</v>
      </c>
      <c r="U75">
        <v>0.48717213328499998</v>
      </c>
      <c r="V75">
        <v>0.48605442176899999</v>
      </c>
      <c r="W75">
        <v>0.48717213328499998</v>
      </c>
      <c r="X75">
        <v>0.48114132259100001</v>
      </c>
      <c r="Y75">
        <v>0.53333333333300004</v>
      </c>
      <c r="Z75">
        <v>0.63576158940399996</v>
      </c>
      <c r="AA75">
        <v>0.58006042296100002</v>
      </c>
      <c r="AB75">
        <v>151</v>
      </c>
      <c r="AC75">
        <v>0.43877551020400002</v>
      </c>
      <c r="AD75">
        <v>0.33858267716500001</v>
      </c>
      <c r="AE75">
        <v>0.38222222222199997</v>
      </c>
      <c r="AF75">
        <v>127</v>
      </c>
      <c r="AG75">
        <v>-2.6750104210599999E-2</v>
      </c>
      <c r="AH75">
        <v>96</v>
      </c>
      <c r="AI75">
        <v>55</v>
      </c>
      <c r="AJ75">
        <v>84</v>
      </c>
      <c r="AK75">
        <v>43</v>
      </c>
      <c r="AL75">
        <v>0.50205975908599998</v>
      </c>
      <c r="AM75">
        <v>0.45665561925800002</v>
      </c>
      <c r="AN75">
        <v>1000</v>
      </c>
      <c r="AO75">
        <v>0.41696113074199997</v>
      </c>
      <c r="AP75">
        <v>0.57858082706799996</v>
      </c>
      <c r="AQ75">
        <v>0.415695178236</v>
      </c>
      <c r="AR75">
        <v>0.55698461439699998</v>
      </c>
      <c r="AS75">
        <v>0.40812967891000002</v>
      </c>
      <c r="AT75">
        <v>0.54951252877300005</v>
      </c>
      <c r="AU75">
        <v>-0.16863215900100001</v>
      </c>
      <c r="AV75">
        <v>0.120451509118</v>
      </c>
      <c r="AW75">
        <v>0.41346798722299999</v>
      </c>
      <c r="AX75">
        <v>0.59355331368099995</v>
      </c>
      <c r="AY75">
        <v>0.33994598562700001</v>
      </c>
      <c r="AZ75">
        <v>0.60371158435299999</v>
      </c>
    </row>
    <row r="76" spans="1:52" x14ac:dyDescent="0.25">
      <c r="A76" t="s">
        <v>140</v>
      </c>
      <c r="B76" t="s">
        <v>53</v>
      </c>
      <c r="C76">
        <v>60</v>
      </c>
      <c r="D76">
        <v>30</v>
      </c>
      <c r="E76" t="s">
        <v>106</v>
      </c>
      <c r="F76" t="s">
        <v>85</v>
      </c>
      <c r="G76" t="s">
        <v>75</v>
      </c>
      <c r="H76" t="s">
        <v>61</v>
      </c>
      <c r="I76">
        <v>77</v>
      </c>
      <c r="J76">
        <v>154</v>
      </c>
      <c r="K76">
        <v>42</v>
      </c>
      <c r="L76">
        <v>42</v>
      </c>
      <c r="M76" t="b">
        <v>1</v>
      </c>
      <c r="N76" t="b">
        <v>0</v>
      </c>
      <c r="O76">
        <v>25.215582399999999</v>
      </c>
      <c r="P76">
        <v>278</v>
      </c>
      <c r="Q76">
        <v>151</v>
      </c>
      <c r="R76">
        <v>127</v>
      </c>
      <c r="S76" t="b">
        <v>1</v>
      </c>
      <c r="T76">
        <v>0.51798561151099998</v>
      </c>
      <c r="U76">
        <v>0.50936017103800002</v>
      </c>
      <c r="V76">
        <v>0.50968333603100002</v>
      </c>
      <c r="W76">
        <v>0.50936017103800002</v>
      </c>
      <c r="X76">
        <v>0.50779557105899997</v>
      </c>
      <c r="Y76">
        <v>0.55089820359300001</v>
      </c>
      <c r="Z76">
        <v>0.60927152317900002</v>
      </c>
      <c r="AA76">
        <v>0.57861635220100005</v>
      </c>
      <c r="AB76">
        <v>151</v>
      </c>
      <c r="AC76">
        <v>0.468468468468</v>
      </c>
      <c r="AD76">
        <v>0.409448818898</v>
      </c>
      <c r="AE76">
        <v>0.43697478991599997</v>
      </c>
      <c r="AF76">
        <v>127</v>
      </c>
      <c r="AG76">
        <v>1.9040764844699999E-2</v>
      </c>
      <c r="AH76">
        <v>92</v>
      </c>
      <c r="AI76">
        <v>59</v>
      </c>
      <c r="AJ76">
        <v>75</v>
      </c>
      <c r="AK76">
        <v>52</v>
      </c>
      <c r="AL76">
        <v>0.490144443865</v>
      </c>
      <c r="AM76">
        <v>0.45895578389000002</v>
      </c>
      <c r="AN76">
        <v>1000</v>
      </c>
      <c r="AO76">
        <v>0.444444444444</v>
      </c>
      <c r="AP76">
        <v>0.59550967427900003</v>
      </c>
      <c r="AQ76">
        <v>0.43815855088599998</v>
      </c>
      <c r="AR76">
        <v>0.58445763421700003</v>
      </c>
      <c r="AS76">
        <v>0.43305445155400002</v>
      </c>
      <c r="AT76">
        <v>0.58148700687999999</v>
      </c>
      <c r="AU76">
        <v>-0.126120180114</v>
      </c>
      <c r="AV76">
        <v>0.16864043793700001</v>
      </c>
      <c r="AW76">
        <v>0.407002579079</v>
      </c>
      <c r="AX76">
        <v>0.57423363011899997</v>
      </c>
      <c r="AY76">
        <v>0.34467002902100002</v>
      </c>
      <c r="AZ76">
        <v>0.61119900150899997</v>
      </c>
    </row>
    <row r="77" spans="1:52" x14ac:dyDescent="0.25">
      <c r="A77" t="s">
        <v>141</v>
      </c>
      <c r="B77" t="s">
        <v>53</v>
      </c>
      <c r="C77">
        <v>60</v>
      </c>
      <c r="D77">
        <v>30</v>
      </c>
      <c r="E77" t="s">
        <v>106</v>
      </c>
      <c r="F77" t="s">
        <v>85</v>
      </c>
      <c r="G77" t="s">
        <v>75</v>
      </c>
      <c r="H77" t="s">
        <v>63</v>
      </c>
      <c r="I77">
        <v>77</v>
      </c>
      <c r="J77">
        <v>154</v>
      </c>
      <c r="K77">
        <v>42</v>
      </c>
      <c r="L77">
        <v>42</v>
      </c>
      <c r="M77" t="b">
        <v>1</v>
      </c>
      <c r="N77" t="b">
        <v>0</v>
      </c>
      <c r="O77">
        <v>1092.3769208000001</v>
      </c>
      <c r="P77">
        <v>278</v>
      </c>
      <c r="Q77">
        <v>151</v>
      </c>
      <c r="R77">
        <v>127</v>
      </c>
      <c r="S77" t="b">
        <v>1</v>
      </c>
      <c r="T77">
        <v>0.48561151079100001</v>
      </c>
      <c r="U77">
        <v>0.47705584815099999</v>
      </c>
      <c r="V77">
        <v>0.47633390705700002</v>
      </c>
      <c r="W77">
        <v>0.47705584815099999</v>
      </c>
      <c r="X77">
        <v>0.47528476960999999</v>
      </c>
      <c r="Y77">
        <v>0.524096385542</v>
      </c>
      <c r="Z77">
        <v>0.576158940397</v>
      </c>
      <c r="AA77">
        <v>0.54889589905400005</v>
      </c>
      <c r="AB77">
        <v>151</v>
      </c>
      <c r="AC77">
        <v>0.428571428571</v>
      </c>
      <c r="AD77">
        <v>0.37795275590600003</v>
      </c>
      <c r="AE77">
        <v>0.40167364016700002</v>
      </c>
      <c r="AF77">
        <v>127</v>
      </c>
      <c r="AG77">
        <v>-4.66046534222E-2</v>
      </c>
      <c r="AH77">
        <v>87</v>
      </c>
      <c r="AI77">
        <v>64</v>
      </c>
      <c r="AJ77">
        <v>79</v>
      </c>
      <c r="AK77">
        <v>48</v>
      </c>
      <c r="AL77">
        <v>0.50211190488599999</v>
      </c>
      <c r="AM77">
        <v>0.45227616148599997</v>
      </c>
      <c r="AN77">
        <v>1000</v>
      </c>
      <c r="AO77">
        <v>0.40348816672600002</v>
      </c>
      <c r="AP77">
        <v>0.56429296257200001</v>
      </c>
      <c r="AQ77">
        <v>0.40256590907500001</v>
      </c>
      <c r="AR77">
        <v>0.55141269312899999</v>
      </c>
      <c r="AS77">
        <v>0.394859908456</v>
      </c>
      <c r="AT77">
        <v>0.548812432495</v>
      </c>
      <c r="AU77">
        <v>-0.19816434341</v>
      </c>
      <c r="AV77">
        <v>0.10586400164</v>
      </c>
      <c r="AW77">
        <v>0.41230979648299998</v>
      </c>
      <c r="AX77">
        <v>0.58990098793500001</v>
      </c>
      <c r="AY77">
        <v>0.33231737284700003</v>
      </c>
      <c r="AZ77">
        <v>0.60223647759499999</v>
      </c>
    </row>
    <row r="78" spans="1:52" x14ac:dyDescent="0.25">
      <c r="A78" t="s">
        <v>142</v>
      </c>
      <c r="B78" t="s">
        <v>53</v>
      </c>
      <c r="C78">
        <v>60</v>
      </c>
      <c r="D78">
        <v>30</v>
      </c>
      <c r="E78" t="s">
        <v>106</v>
      </c>
      <c r="F78" t="s">
        <v>85</v>
      </c>
      <c r="G78" t="s">
        <v>80</v>
      </c>
      <c r="H78" t="s">
        <v>57</v>
      </c>
      <c r="I78">
        <v>77</v>
      </c>
      <c r="J78">
        <v>154</v>
      </c>
      <c r="K78">
        <v>42</v>
      </c>
      <c r="L78">
        <v>42</v>
      </c>
      <c r="M78" t="b">
        <v>1</v>
      </c>
      <c r="N78" t="b">
        <v>0</v>
      </c>
      <c r="O78">
        <v>28.334068899999998</v>
      </c>
      <c r="P78">
        <v>278</v>
      </c>
      <c r="Q78">
        <v>151</v>
      </c>
      <c r="R78">
        <v>127</v>
      </c>
      <c r="S78" t="b">
        <v>1</v>
      </c>
      <c r="T78">
        <v>0.28776978417299998</v>
      </c>
      <c r="U78">
        <v>0.29055639568199998</v>
      </c>
      <c r="V78">
        <v>0.28998692810499999</v>
      </c>
      <c r="W78">
        <v>0.29055639568199998</v>
      </c>
      <c r="X78">
        <v>0.287732919255</v>
      </c>
      <c r="Y78">
        <v>0.312</v>
      </c>
      <c r="Z78">
        <v>0.25827814569500002</v>
      </c>
      <c r="AA78">
        <v>0.28260869565199997</v>
      </c>
      <c r="AB78">
        <v>151</v>
      </c>
      <c r="AC78">
        <v>0.26797385620899999</v>
      </c>
      <c r="AD78">
        <v>0.322834645669</v>
      </c>
      <c r="AE78">
        <v>0.29285714285699999</v>
      </c>
      <c r="AF78">
        <v>127</v>
      </c>
      <c r="AG78">
        <v>-0.419456289649</v>
      </c>
      <c r="AH78">
        <v>39</v>
      </c>
      <c r="AI78">
        <v>112</v>
      </c>
      <c r="AJ78">
        <v>86</v>
      </c>
      <c r="AK78">
        <v>41</v>
      </c>
      <c r="AL78">
        <v>0.27246180320199997</v>
      </c>
      <c r="AM78">
        <v>0.34862382072999998</v>
      </c>
      <c r="AN78">
        <v>1000</v>
      </c>
      <c r="AO78">
        <v>0.214538961039</v>
      </c>
      <c r="AP78">
        <v>0.36296296296300001</v>
      </c>
      <c r="AQ78">
        <v>0.21787917261500001</v>
      </c>
      <c r="AR78">
        <v>0.37162157066599999</v>
      </c>
      <c r="AS78">
        <v>0.214281704721</v>
      </c>
      <c r="AT78">
        <v>0.35907691077499998</v>
      </c>
      <c r="AU78">
        <v>-0.56427457928400004</v>
      </c>
      <c r="AV78">
        <v>-0.25943719319300002</v>
      </c>
      <c r="AW78">
        <v>0.191967515097</v>
      </c>
      <c r="AX78">
        <v>0.366180585419</v>
      </c>
      <c r="AY78">
        <v>0.26626295308999998</v>
      </c>
      <c r="AZ78">
        <v>0.47342439567099998</v>
      </c>
    </row>
    <row r="79" spans="1:52" x14ac:dyDescent="0.25">
      <c r="A79" t="s">
        <v>143</v>
      </c>
      <c r="B79" t="s">
        <v>53</v>
      </c>
      <c r="C79">
        <v>60</v>
      </c>
      <c r="D79">
        <v>30</v>
      </c>
      <c r="E79" t="s">
        <v>106</v>
      </c>
      <c r="F79" t="s">
        <v>85</v>
      </c>
      <c r="G79" t="s">
        <v>80</v>
      </c>
      <c r="H79" t="s">
        <v>59</v>
      </c>
      <c r="I79">
        <v>77</v>
      </c>
      <c r="J79">
        <v>154</v>
      </c>
      <c r="K79">
        <v>42</v>
      </c>
      <c r="L79">
        <v>42</v>
      </c>
      <c r="M79" t="b">
        <v>1</v>
      </c>
      <c r="N79" t="b">
        <v>0</v>
      </c>
      <c r="O79">
        <v>438.8065196</v>
      </c>
      <c r="P79">
        <v>278</v>
      </c>
      <c r="Q79">
        <v>151</v>
      </c>
      <c r="R79">
        <v>127</v>
      </c>
      <c r="S79" t="b">
        <v>1</v>
      </c>
      <c r="T79">
        <v>0.48920863309399998</v>
      </c>
      <c r="U79">
        <v>0.48099285602500003</v>
      </c>
      <c r="V79">
        <v>0.480450522928</v>
      </c>
      <c r="W79">
        <v>0.48099285602500003</v>
      </c>
      <c r="X79">
        <v>0.479483122363</v>
      </c>
      <c r="Y79">
        <v>0.52727272727300001</v>
      </c>
      <c r="Z79">
        <v>0.576158940397</v>
      </c>
      <c r="AA79">
        <v>0.55063291139199999</v>
      </c>
      <c r="AB79">
        <v>151</v>
      </c>
      <c r="AC79">
        <v>0.43362831858400003</v>
      </c>
      <c r="AD79">
        <v>0.38582677165399998</v>
      </c>
      <c r="AE79">
        <v>0.40833333333299998</v>
      </c>
      <c r="AF79">
        <v>127</v>
      </c>
      <c r="AG79">
        <v>-3.8552806659299999E-2</v>
      </c>
      <c r="AH79">
        <v>87</v>
      </c>
      <c r="AI79">
        <v>64</v>
      </c>
      <c r="AJ79">
        <v>78</v>
      </c>
      <c r="AK79">
        <v>49</v>
      </c>
      <c r="AL79">
        <v>0.47421390207000003</v>
      </c>
      <c r="AM79">
        <v>0.43990066647800002</v>
      </c>
      <c r="AN79">
        <v>1000</v>
      </c>
      <c r="AO79">
        <v>0.40409503740500002</v>
      </c>
      <c r="AP79">
        <v>0.57142857142900005</v>
      </c>
      <c r="AQ79">
        <v>0.40305489935400002</v>
      </c>
      <c r="AR79">
        <v>0.55476910157600001</v>
      </c>
      <c r="AS79">
        <v>0.39807459530700001</v>
      </c>
      <c r="AT79">
        <v>0.54933023673600001</v>
      </c>
      <c r="AU79">
        <v>-0.19593517562500001</v>
      </c>
      <c r="AV79">
        <v>0.114356125648</v>
      </c>
      <c r="AW79">
        <v>0.37054924837300002</v>
      </c>
      <c r="AX79">
        <v>0.57140848942</v>
      </c>
      <c r="AY79">
        <v>0.32940389986700003</v>
      </c>
      <c r="AZ79">
        <v>0.57490824986900002</v>
      </c>
    </row>
    <row r="80" spans="1:52" x14ac:dyDescent="0.25">
      <c r="A80" t="s">
        <v>144</v>
      </c>
      <c r="B80" t="s">
        <v>53</v>
      </c>
      <c r="C80">
        <v>60</v>
      </c>
      <c r="D80">
        <v>30</v>
      </c>
      <c r="E80" t="s">
        <v>106</v>
      </c>
      <c r="F80" t="s">
        <v>85</v>
      </c>
      <c r="G80" t="s">
        <v>80</v>
      </c>
      <c r="H80" t="s">
        <v>61</v>
      </c>
      <c r="I80">
        <v>77</v>
      </c>
      <c r="J80">
        <v>154</v>
      </c>
      <c r="K80">
        <v>42</v>
      </c>
      <c r="L80">
        <v>42</v>
      </c>
      <c r="M80" t="b">
        <v>1</v>
      </c>
      <c r="N80" t="b">
        <v>0</v>
      </c>
      <c r="O80">
        <v>25.187451100000001</v>
      </c>
      <c r="P80">
        <v>278</v>
      </c>
      <c r="Q80">
        <v>151</v>
      </c>
      <c r="R80">
        <v>127</v>
      </c>
      <c r="S80" t="b">
        <v>1</v>
      </c>
      <c r="T80">
        <v>0.460431654676</v>
      </c>
      <c r="U80">
        <v>0.45575428899199999</v>
      </c>
      <c r="V80">
        <v>0.455633986928</v>
      </c>
      <c r="W80">
        <v>0.45575428899199999</v>
      </c>
      <c r="X80">
        <v>0.45567042606500002</v>
      </c>
      <c r="Y80">
        <v>0.50326797385599997</v>
      </c>
      <c r="Z80">
        <v>0.50993377483400004</v>
      </c>
      <c r="AA80">
        <v>0.50657894736800002</v>
      </c>
      <c r="AB80">
        <v>151</v>
      </c>
      <c r="AC80">
        <v>0.40799999999999997</v>
      </c>
      <c r="AD80">
        <v>0.40157480314999999</v>
      </c>
      <c r="AE80">
        <v>0.40476190476200002</v>
      </c>
      <c r="AF80">
        <v>127</v>
      </c>
      <c r="AG80">
        <v>-8.8611642416900005E-2</v>
      </c>
      <c r="AH80">
        <v>77</v>
      </c>
      <c r="AI80">
        <v>74</v>
      </c>
      <c r="AJ80">
        <v>76</v>
      </c>
      <c r="AK80">
        <v>51</v>
      </c>
      <c r="AL80">
        <v>0.43909370600199998</v>
      </c>
      <c r="AM80">
        <v>0.42490159291700003</v>
      </c>
      <c r="AN80">
        <v>1000</v>
      </c>
      <c r="AO80">
        <v>0.39779276133800001</v>
      </c>
      <c r="AP80">
        <v>0.53207715633399999</v>
      </c>
      <c r="AQ80">
        <v>0.39360521766099998</v>
      </c>
      <c r="AR80">
        <v>0.52455048493</v>
      </c>
      <c r="AS80">
        <v>0.39311296396500001</v>
      </c>
      <c r="AT80">
        <v>0.52205014051200005</v>
      </c>
      <c r="AU80">
        <v>-0.20922181312099999</v>
      </c>
      <c r="AV80">
        <v>4.9421979125499997E-2</v>
      </c>
      <c r="AW80">
        <v>0.36699608315799997</v>
      </c>
      <c r="AX80">
        <v>0.52005265461100003</v>
      </c>
      <c r="AY80">
        <v>0.31290020084499998</v>
      </c>
      <c r="AZ80">
        <v>0.559110542712</v>
      </c>
    </row>
    <row r="81" spans="1:52" x14ac:dyDescent="0.25">
      <c r="A81" t="s">
        <v>145</v>
      </c>
      <c r="B81" t="s">
        <v>53</v>
      </c>
      <c r="C81">
        <v>60</v>
      </c>
      <c r="D81">
        <v>30</v>
      </c>
      <c r="E81" t="s">
        <v>106</v>
      </c>
      <c r="F81" t="s">
        <v>85</v>
      </c>
      <c r="G81" t="s">
        <v>80</v>
      </c>
      <c r="H81" t="s">
        <v>63</v>
      </c>
      <c r="I81">
        <v>77</v>
      </c>
      <c r="J81">
        <v>154</v>
      </c>
      <c r="K81">
        <v>42</v>
      </c>
      <c r="L81">
        <v>42</v>
      </c>
      <c r="M81" t="b">
        <v>1</v>
      </c>
      <c r="N81" t="b">
        <v>0</v>
      </c>
      <c r="O81">
        <v>1056.5600475000001</v>
      </c>
      <c r="P81">
        <v>278</v>
      </c>
      <c r="Q81">
        <v>151</v>
      </c>
      <c r="R81">
        <v>127</v>
      </c>
      <c r="S81" t="b">
        <v>1</v>
      </c>
      <c r="T81">
        <v>0.471223021583</v>
      </c>
      <c r="U81">
        <v>0.46568806382599998</v>
      </c>
      <c r="V81">
        <v>0.46542664985299997</v>
      </c>
      <c r="W81">
        <v>0.46568806382599998</v>
      </c>
      <c r="X81">
        <v>0.46540559632700002</v>
      </c>
      <c r="Y81">
        <v>0.51282051282100005</v>
      </c>
      <c r="Z81">
        <v>0.52980132450299999</v>
      </c>
      <c r="AA81">
        <v>0.52117263843600004</v>
      </c>
      <c r="AB81">
        <v>151</v>
      </c>
      <c r="AC81">
        <v>0.41803278688500001</v>
      </c>
      <c r="AD81">
        <v>0.40157480314999999</v>
      </c>
      <c r="AE81">
        <v>0.40963855421700002</v>
      </c>
      <c r="AF81">
        <v>127</v>
      </c>
      <c r="AG81">
        <v>-6.8884790296699999E-2</v>
      </c>
      <c r="AH81">
        <v>80</v>
      </c>
      <c r="AI81">
        <v>71</v>
      </c>
      <c r="AJ81">
        <v>76</v>
      </c>
      <c r="AK81">
        <v>51</v>
      </c>
      <c r="AL81">
        <v>0.48120143922399999</v>
      </c>
      <c r="AM81">
        <v>0.43365572108299999</v>
      </c>
      <c r="AN81">
        <v>1000</v>
      </c>
      <c r="AO81">
        <v>0.38297872340400002</v>
      </c>
      <c r="AP81">
        <v>0.55518039252100004</v>
      </c>
      <c r="AQ81">
        <v>0.38331973033400002</v>
      </c>
      <c r="AR81">
        <v>0.54880800551599995</v>
      </c>
      <c r="AS81">
        <v>0.379411170957</v>
      </c>
      <c r="AT81">
        <v>0.54275775484699995</v>
      </c>
      <c r="AU81">
        <v>-0.236145747006</v>
      </c>
      <c r="AV81">
        <v>9.7696704879800006E-2</v>
      </c>
      <c r="AW81">
        <v>0.37667470718099999</v>
      </c>
      <c r="AX81">
        <v>0.58733607406900001</v>
      </c>
      <c r="AY81">
        <v>0.31397697806699998</v>
      </c>
      <c r="AZ81">
        <v>0.59857411094699997</v>
      </c>
    </row>
    <row r="82" spans="1:52" x14ac:dyDescent="0.25">
      <c r="A82" t="s">
        <v>180</v>
      </c>
      <c r="B82" t="s">
        <v>53</v>
      </c>
      <c r="C82">
        <v>60</v>
      </c>
      <c r="D82">
        <v>30</v>
      </c>
      <c r="E82" t="s">
        <v>54</v>
      </c>
      <c r="F82" t="s">
        <v>55</v>
      </c>
      <c r="G82" t="s">
        <v>56</v>
      </c>
      <c r="H82" t="s">
        <v>181</v>
      </c>
      <c r="I82">
        <v>29</v>
      </c>
      <c r="J82">
        <v>29</v>
      </c>
      <c r="K82">
        <v>42</v>
      </c>
      <c r="L82">
        <v>42</v>
      </c>
      <c r="M82" t="b">
        <v>1</v>
      </c>
      <c r="N82" t="b">
        <v>0</v>
      </c>
      <c r="O82">
        <v>620.51996680000002</v>
      </c>
      <c r="P82">
        <v>681</v>
      </c>
      <c r="Q82">
        <v>314</v>
      </c>
      <c r="R82">
        <v>367</v>
      </c>
      <c r="S82" t="b">
        <v>1</v>
      </c>
      <c r="T82">
        <v>0.47723935389099997</v>
      </c>
      <c r="U82">
        <v>0.47727312171300001</v>
      </c>
      <c r="V82">
        <v>0.47741034000900001</v>
      </c>
      <c r="W82">
        <v>0.47727312171300001</v>
      </c>
      <c r="X82">
        <v>0.47653389069300001</v>
      </c>
      <c r="Y82">
        <v>0.43859649122799998</v>
      </c>
      <c r="Z82">
        <v>0.47770700636899999</v>
      </c>
      <c r="AA82">
        <v>0.45731707317100001</v>
      </c>
      <c r="AB82">
        <v>314</v>
      </c>
      <c r="AC82">
        <v>0.51622418879099996</v>
      </c>
      <c r="AD82">
        <v>0.47683923705699999</v>
      </c>
      <c r="AE82">
        <v>0.495750708215</v>
      </c>
      <c r="AF82">
        <v>367</v>
      </c>
      <c r="AG82">
        <v>-4.5316330528700002E-2</v>
      </c>
      <c r="AH82">
        <v>150</v>
      </c>
      <c r="AI82">
        <v>164</v>
      </c>
      <c r="AJ82">
        <v>192</v>
      </c>
      <c r="AK82">
        <v>175</v>
      </c>
      <c r="AL82">
        <v>0.48317395303600003</v>
      </c>
      <c r="AM82">
        <v>0.53389471544300005</v>
      </c>
      <c r="AN82">
        <v>0</v>
      </c>
      <c r="AO82" t="s">
        <v>182</v>
      </c>
      <c r="AP82" t="s">
        <v>182</v>
      </c>
      <c r="AQ82" t="s">
        <v>182</v>
      </c>
      <c r="AR82" t="s">
        <v>182</v>
      </c>
      <c r="AS82" t="s">
        <v>182</v>
      </c>
      <c r="AT82" t="s">
        <v>182</v>
      </c>
      <c r="AU82" t="s">
        <v>182</v>
      </c>
      <c r="AV82" t="s">
        <v>182</v>
      </c>
      <c r="AW82" t="s">
        <v>182</v>
      </c>
      <c r="AX82" t="s">
        <v>182</v>
      </c>
      <c r="AY82" t="s">
        <v>182</v>
      </c>
      <c r="AZ82" t="s">
        <v>182</v>
      </c>
    </row>
    <row r="83" spans="1:52" x14ac:dyDescent="0.25">
      <c r="A83" t="s">
        <v>183</v>
      </c>
      <c r="B83" t="s">
        <v>53</v>
      </c>
      <c r="C83">
        <v>60</v>
      </c>
      <c r="D83">
        <v>30</v>
      </c>
      <c r="E83" t="s">
        <v>54</v>
      </c>
      <c r="F83" t="s">
        <v>55</v>
      </c>
      <c r="G83" t="s">
        <v>65</v>
      </c>
      <c r="H83" t="s">
        <v>181</v>
      </c>
      <c r="I83">
        <v>48</v>
      </c>
      <c r="J83">
        <v>48</v>
      </c>
      <c r="K83">
        <v>42</v>
      </c>
      <c r="L83">
        <v>42</v>
      </c>
      <c r="M83" t="b">
        <v>1</v>
      </c>
      <c r="N83" t="b">
        <v>0</v>
      </c>
      <c r="O83">
        <v>563.66697390000002</v>
      </c>
      <c r="P83">
        <v>681</v>
      </c>
      <c r="Q83">
        <v>314</v>
      </c>
      <c r="R83">
        <v>367</v>
      </c>
      <c r="S83" t="b">
        <v>1</v>
      </c>
      <c r="T83">
        <v>0.53303964757699995</v>
      </c>
      <c r="U83">
        <v>0.53134382755700005</v>
      </c>
      <c r="V83">
        <v>0.53122730573700006</v>
      </c>
      <c r="W83">
        <v>0.53134382755700005</v>
      </c>
      <c r="X83">
        <v>0.53117043939099995</v>
      </c>
      <c r="Y83">
        <v>0.49382716049399999</v>
      </c>
      <c r="Z83">
        <v>0.50955414012699995</v>
      </c>
      <c r="AA83">
        <v>0.50156739811899997</v>
      </c>
      <c r="AB83">
        <v>314</v>
      </c>
      <c r="AC83">
        <v>0.56862745098</v>
      </c>
      <c r="AD83">
        <v>0.55313351498600005</v>
      </c>
      <c r="AE83">
        <v>0.56077348066300003</v>
      </c>
      <c r="AF83">
        <v>367</v>
      </c>
      <c r="AG83">
        <v>6.2571024798699998E-2</v>
      </c>
      <c r="AH83">
        <v>160</v>
      </c>
      <c r="AI83">
        <v>154</v>
      </c>
      <c r="AJ83">
        <v>164</v>
      </c>
      <c r="AK83">
        <v>203</v>
      </c>
      <c r="AL83">
        <v>0.54437772262600004</v>
      </c>
      <c r="AM83">
        <v>0.56090018418400001</v>
      </c>
      <c r="AN83">
        <v>0</v>
      </c>
      <c r="AO83" t="s">
        <v>182</v>
      </c>
      <c r="AP83" t="s">
        <v>182</v>
      </c>
      <c r="AQ83" t="s">
        <v>182</v>
      </c>
      <c r="AR83" t="s">
        <v>182</v>
      </c>
      <c r="AS83" t="s">
        <v>182</v>
      </c>
      <c r="AT83" t="s">
        <v>182</v>
      </c>
      <c r="AU83" t="s">
        <v>182</v>
      </c>
      <c r="AV83" t="s">
        <v>182</v>
      </c>
      <c r="AW83" t="s">
        <v>182</v>
      </c>
      <c r="AX83" t="s">
        <v>182</v>
      </c>
      <c r="AY83" t="s">
        <v>182</v>
      </c>
      <c r="AZ83" t="s">
        <v>182</v>
      </c>
    </row>
    <row r="84" spans="1:52" x14ac:dyDescent="0.25">
      <c r="A84" t="s">
        <v>184</v>
      </c>
      <c r="B84" t="s">
        <v>53</v>
      </c>
      <c r="C84">
        <v>60</v>
      </c>
      <c r="D84">
        <v>30</v>
      </c>
      <c r="E84" t="s">
        <v>54</v>
      </c>
      <c r="F84" t="s">
        <v>55</v>
      </c>
      <c r="G84" t="s">
        <v>70</v>
      </c>
      <c r="H84" t="s">
        <v>181</v>
      </c>
      <c r="I84">
        <v>48</v>
      </c>
      <c r="J84">
        <v>48</v>
      </c>
      <c r="K84">
        <v>42</v>
      </c>
      <c r="L84">
        <v>42</v>
      </c>
      <c r="M84" t="b">
        <v>1</v>
      </c>
      <c r="N84" t="b">
        <v>0</v>
      </c>
      <c r="O84">
        <v>529.32566810000003</v>
      </c>
      <c r="P84">
        <v>681</v>
      </c>
      <c r="Q84">
        <v>314</v>
      </c>
      <c r="R84">
        <v>367</v>
      </c>
      <c r="S84" t="b">
        <v>1</v>
      </c>
      <c r="T84">
        <v>0.52129221732700004</v>
      </c>
      <c r="U84">
        <v>0.52021468612800004</v>
      </c>
      <c r="V84">
        <v>0.52011137011099995</v>
      </c>
      <c r="W84">
        <v>0.52021468612800004</v>
      </c>
      <c r="X84">
        <v>0.51987491133099994</v>
      </c>
      <c r="Y84">
        <v>0.48181818181800001</v>
      </c>
      <c r="Z84">
        <v>0.50636942675200003</v>
      </c>
      <c r="AA84">
        <v>0.49378881987599998</v>
      </c>
      <c r="AB84">
        <v>314</v>
      </c>
      <c r="AC84">
        <v>0.55840455840500003</v>
      </c>
      <c r="AD84">
        <v>0.53405994550400004</v>
      </c>
      <c r="AE84">
        <v>0.54596100278600002</v>
      </c>
      <c r="AF84">
        <v>367</v>
      </c>
      <c r="AG84">
        <v>4.03259238903E-2</v>
      </c>
      <c r="AH84">
        <v>159</v>
      </c>
      <c r="AI84">
        <v>155</v>
      </c>
      <c r="AJ84">
        <v>171</v>
      </c>
      <c r="AK84">
        <v>196</v>
      </c>
      <c r="AL84">
        <v>0.50891199083600003</v>
      </c>
      <c r="AM84">
        <v>0.54344936995100002</v>
      </c>
      <c r="AN84">
        <v>0</v>
      </c>
      <c r="AO84" t="s">
        <v>182</v>
      </c>
      <c r="AP84" t="s">
        <v>182</v>
      </c>
      <c r="AQ84" t="s">
        <v>182</v>
      </c>
      <c r="AR84" t="s">
        <v>182</v>
      </c>
      <c r="AS84" t="s">
        <v>182</v>
      </c>
      <c r="AT84" t="s">
        <v>182</v>
      </c>
      <c r="AU84" t="s">
        <v>182</v>
      </c>
      <c r="AV84" t="s">
        <v>182</v>
      </c>
      <c r="AW84" t="s">
        <v>182</v>
      </c>
      <c r="AX84" t="s">
        <v>182</v>
      </c>
      <c r="AY84" t="s">
        <v>182</v>
      </c>
      <c r="AZ84" t="s">
        <v>182</v>
      </c>
    </row>
    <row r="85" spans="1:52" x14ac:dyDescent="0.25">
      <c r="A85" t="s">
        <v>185</v>
      </c>
      <c r="B85" t="s">
        <v>53</v>
      </c>
      <c r="C85">
        <v>60</v>
      </c>
      <c r="D85">
        <v>30</v>
      </c>
      <c r="E85" t="s">
        <v>54</v>
      </c>
      <c r="F85" t="s">
        <v>55</v>
      </c>
      <c r="G85" t="s">
        <v>75</v>
      </c>
      <c r="H85" t="s">
        <v>181</v>
      </c>
      <c r="I85">
        <v>77</v>
      </c>
      <c r="J85">
        <v>77</v>
      </c>
      <c r="K85">
        <v>42</v>
      </c>
      <c r="L85">
        <v>42</v>
      </c>
      <c r="M85" t="b">
        <v>1</v>
      </c>
      <c r="N85" t="b">
        <v>0</v>
      </c>
      <c r="O85">
        <v>583.8625657</v>
      </c>
      <c r="P85">
        <v>681</v>
      </c>
      <c r="Q85">
        <v>314</v>
      </c>
      <c r="R85">
        <v>367</v>
      </c>
      <c r="S85" t="b">
        <v>1</v>
      </c>
      <c r="T85">
        <v>0.51835535976500002</v>
      </c>
      <c r="U85">
        <v>0.51634009614900001</v>
      </c>
      <c r="V85">
        <v>0.51628920915599996</v>
      </c>
      <c r="W85">
        <v>0.51634009614900001</v>
      </c>
      <c r="X85">
        <v>0.51624304797499998</v>
      </c>
      <c r="Y85">
        <v>0.47826086956500002</v>
      </c>
      <c r="Z85">
        <v>0.49044585987299999</v>
      </c>
      <c r="AA85">
        <v>0.48427672956000001</v>
      </c>
      <c r="AB85">
        <v>314</v>
      </c>
      <c r="AC85">
        <v>0.55431754874700001</v>
      </c>
      <c r="AD85">
        <v>0.54223433242499997</v>
      </c>
      <c r="AE85">
        <v>0.54820936639100004</v>
      </c>
      <c r="AF85">
        <v>367</v>
      </c>
      <c r="AG85">
        <v>3.2629265624299998E-2</v>
      </c>
      <c r="AH85">
        <v>154</v>
      </c>
      <c r="AI85">
        <v>160</v>
      </c>
      <c r="AJ85">
        <v>168</v>
      </c>
      <c r="AK85">
        <v>199</v>
      </c>
      <c r="AL85">
        <v>0.50685537756599996</v>
      </c>
      <c r="AM85">
        <v>0.54377009199399995</v>
      </c>
      <c r="AN85">
        <v>0</v>
      </c>
      <c r="AO85" t="s">
        <v>182</v>
      </c>
      <c r="AP85" t="s">
        <v>182</v>
      </c>
      <c r="AQ85" t="s">
        <v>182</v>
      </c>
      <c r="AR85" t="s">
        <v>182</v>
      </c>
      <c r="AS85" t="s">
        <v>182</v>
      </c>
      <c r="AT85" t="s">
        <v>182</v>
      </c>
      <c r="AU85" t="s">
        <v>182</v>
      </c>
      <c r="AV85" t="s">
        <v>182</v>
      </c>
      <c r="AW85" t="s">
        <v>182</v>
      </c>
      <c r="AX85" t="s">
        <v>182</v>
      </c>
      <c r="AY85" t="s">
        <v>182</v>
      </c>
      <c r="AZ85" t="s">
        <v>182</v>
      </c>
    </row>
    <row r="86" spans="1:52" x14ac:dyDescent="0.25">
      <c r="A86" t="s">
        <v>186</v>
      </c>
      <c r="B86" t="s">
        <v>53</v>
      </c>
      <c r="C86">
        <v>60</v>
      </c>
      <c r="D86">
        <v>30</v>
      </c>
      <c r="E86" t="s">
        <v>54</v>
      </c>
      <c r="F86" t="s">
        <v>55</v>
      </c>
      <c r="G86" t="s">
        <v>80</v>
      </c>
      <c r="H86" t="s">
        <v>181</v>
      </c>
      <c r="I86">
        <v>77</v>
      </c>
      <c r="J86">
        <v>77</v>
      </c>
      <c r="K86">
        <v>42</v>
      </c>
      <c r="L86">
        <v>42</v>
      </c>
      <c r="M86" t="b">
        <v>1</v>
      </c>
      <c r="N86" t="b">
        <v>0</v>
      </c>
      <c r="O86">
        <v>563.08585370000003</v>
      </c>
      <c r="P86">
        <v>681</v>
      </c>
      <c r="Q86">
        <v>314</v>
      </c>
      <c r="R86">
        <v>367</v>
      </c>
      <c r="S86" t="b">
        <v>1</v>
      </c>
      <c r="T86">
        <v>0.49192364170300001</v>
      </c>
      <c r="U86">
        <v>0.49043718217900001</v>
      </c>
      <c r="V86">
        <v>0.49048227734400002</v>
      </c>
      <c r="W86">
        <v>0.49043718217900001</v>
      </c>
      <c r="X86">
        <v>0.49025181723799999</v>
      </c>
      <c r="Y86">
        <v>0.45121951219500001</v>
      </c>
      <c r="Z86">
        <v>0.47133757961799999</v>
      </c>
      <c r="AA86">
        <v>0.46105919003099999</v>
      </c>
      <c r="AB86">
        <v>314</v>
      </c>
      <c r="AC86">
        <v>0.52974504249300003</v>
      </c>
      <c r="AD86">
        <v>0.50953678474099995</v>
      </c>
      <c r="AE86">
        <v>0.51944444444399995</v>
      </c>
      <c r="AF86">
        <v>367</v>
      </c>
      <c r="AG86">
        <v>-1.9080487187199999E-2</v>
      </c>
      <c r="AH86">
        <v>148</v>
      </c>
      <c r="AI86">
        <v>166</v>
      </c>
      <c r="AJ86">
        <v>180</v>
      </c>
      <c r="AK86">
        <v>187</v>
      </c>
      <c r="AL86">
        <v>0.46513302903600001</v>
      </c>
      <c r="AM86">
        <v>0.518894095891</v>
      </c>
      <c r="AN86">
        <v>0</v>
      </c>
      <c r="AO86" t="s">
        <v>182</v>
      </c>
      <c r="AP86" t="s">
        <v>182</v>
      </c>
      <c r="AQ86" t="s">
        <v>182</v>
      </c>
      <c r="AR86" t="s">
        <v>182</v>
      </c>
      <c r="AS86" t="s">
        <v>182</v>
      </c>
      <c r="AT86" t="s">
        <v>182</v>
      </c>
      <c r="AU86" t="s">
        <v>182</v>
      </c>
      <c r="AV86" t="s">
        <v>182</v>
      </c>
      <c r="AW86" t="s">
        <v>182</v>
      </c>
      <c r="AX86" t="s">
        <v>182</v>
      </c>
      <c r="AY86" t="s">
        <v>182</v>
      </c>
      <c r="AZ86" t="s">
        <v>182</v>
      </c>
    </row>
    <row r="87" spans="1:52" x14ac:dyDescent="0.25">
      <c r="A87" t="s">
        <v>187</v>
      </c>
      <c r="B87" t="s">
        <v>53</v>
      </c>
      <c r="C87">
        <v>60</v>
      </c>
      <c r="D87">
        <v>30</v>
      </c>
      <c r="E87" t="s">
        <v>54</v>
      </c>
      <c r="F87" t="s">
        <v>85</v>
      </c>
      <c r="G87" t="s">
        <v>56</v>
      </c>
      <c r="H87" t="s">
        <v>181</v>
      </c>
      <c r="I87">
        <v>29</v>
      </c>
      <c r="J87">
        <v>58</v>
      </c>
      <c r="K87">
        <v>42</v>
      </c>
      <c r="L87">
        <v>42</v>
      </c>
      <c r="M87" t="b">
        <v>1</v>
      </c>
      <c r="N87" t="b">
        <v>0</v>
      </c>
      <c r="O87">
        <v>266.60992299999998</v>
      </c>
      <c r="P87">
        <v>304</v>
      </c>
      <c r="Q87">
        <v>140</v>
      </c>
      <c r="R87">
        <v>164</v>
      </c>
      <c r="S87" t="b">
        <v>1</v>
      </c>
      <c r="T87">
        <v>0.52960526315800005</v>
      </c>
      <c r="U87">
        <v>0.53318815331000002</v>
      </c>
      <c r="V87">
        <v>0.53322432962699995</v>
      </c>
      <c r="W87">
        <v>0.53318815331000002</v>
      </c>
      <c r="X87">
        <v>0.52960017313200003</v>
      </c>
      <c r="Y87">
        <v>0.49090909090899998</v>
      </c>
      <c r="Z87">
        <v>0.57857142857099997</v>
      </c>
      <c r="AA87">
        <v>0.53114754098399997</v>
      </c>
      <c r="AB87">
        <v>140</v>
      </c>
      <c r="AC87">
        <v>0.57553956834499997</v>
      </c>
      <c r="AD87">
        <v>0.48780487804900002</v>
      </c>
      <c r="AE87">
        <v>0.52805280528099996</v>
      </c>
      <c r="AF87">
        <v>164</v>
      </c>
      <c r="AG87">
        <v>6.6412473084299997E-2</v>
      </c>
      <c r="AH87">
        <v>81</v>
      </c>
      <c r="AI87">
        <v>59</v>
      </c>
      <c r="AJ87">
        <v>84</v>
      </c>
      <c r="AK87">
        <v>80</v>
      </c>
      <c r="AL87">
        <v>0.53706445992999996</v>
      </c>
      <c r="AM87">
        <v>0.57692219302500003</v>
      </c>
      <c r="AN87">
        <v>0</v>
      </c>
      <c r="AO87" t="s">
        <v>182</v>
      </c>
      <c r="AP87" t="s">
        <v>182</v>
      </c>
      <c r="AQ87" t="s">
        <v>182</v>
      </c>
      <c r="AR87" t="s">
        <v>182</v>
      </c>
      <c r="AS87" t="s">
        <v>182</v>
      </c>
      <c r="AT87" t="s">
        <v>182</v>
      </c>
      <c r="AU87" t="s">
        <v>182</v>
      </c>
      <c r="AV87" t="s">
        <v>182</v>
      </c>
      <c r="AW87" t="s">
        <v>182</v>
      </c>
      <c r="AX87" t="s">
        <v>182</v>
      </c>
      <c r="AY87" t="s">
        <v>182</v>
      </c>
      <c r="AZ87" t="s">
        <v>182</v>
      </c>
    </row>
    <row r="88" spans="1:52" x14ac:dyDescent="0.25">
      <c r="A88" t="s">
        <v>188</v>
      </c>
      <c r="B88" t="s">
        <v>53</v>
      </c>
      <c r="C88">
        <v>60</v>
      </c>
      <c r="D88">
        <v>30</v>
      </c>
      <c r="E88" t="s">
        <v>54</v>
      </c>
      <c r="F88" t="s">
        <v>85</v>
      </c>
      <c r="G88" t="s">
        <v>65</v>
      </c>
      <c r="H88" t="s">
        <v>181</v>
      </c>
      <c r="I88">
        <v>48</v>
      </c>
      <c r="J88">
        <v>96</v>
      </c>
      <c r="K88">
        <v>42</v>
      </c>
      <c r="L88">
        <v>42</v>
      </c>
      <c r="M88" t="b">
        <v>1</v>
      </c>
      <c r="N88" t="b">
        <v>0</v>
      </c>
      <c r="O88">
        <v>291.86344480000002</v>
      </c>
      <c r="P88">
        <v>304</v>
      </c>
      <c r="Q88">
        <v>140</v>
      </c>
      <c r="R88">
        <v>164</v>
      </c>
      <c r="S88" t="b">
        <v>1</v>
      </c>
      <c r="T88">
        <v>0.54276315789499996</v>
      </c>
      <c r="U88">
        <v>0.54381533101000001</v>
      </c>
      <c r="V88">
        <v>0.54355921195099999</v>
      </c>
      <c r="W88">
        <v>0.54381533101000001</v>
      </c>
      <c r="X88">
        <v>0.54236205122699999</v>
      </c>
      <c r="Y88">
        <v>0.50322580645199999</v>
      </c>
      <c r="Z88">
        <v>0.55714285714300005</v>
      </c>
      <c r="AA88">
        <v>0.52881355932200003</v>
      </c>
      <c r="AB88">
        <v>140</v>
      </c>
      <c r="AC88">
        <v>0.58389261744999998</v>
      </c>
      <c r="AD88">
        <v>0.53048780487799996</v>
      </c>
      <c r="AE88">
        <v>0.55591054313099997</v>
      </c>
      <c r="AF88">
        <v>164</v>
      </c>
      <c r="AG88">
        <v>8.7374167582199999E-2</v>
      </c>
      <c r="AH88">
        <v>78</v>
      </c>
      <c r="AI88">
        <v>62</v>
      </c>
      <c r="AJ88">
        <v>77</v>
      </c>
      <c r="AK88">
        <v>87</v>
      </c>
      <c r="AL88">
        <v>0.55426829268300004</v>
      </c>
      <c r="AM88">
        <v>0.58136677198999998</v>
      </c>
      <c r="AN88">
        <v>0</v>
      </c>
      <c r="AO88" t="s">
        <v>182</v>
      </c>
      <c r="AP88" t="s">
        <v>182</v>
      </c>
      <c r="AQ88" t="s">
        <v>182</v>
      </c>
      <c r="AR88" t="s">
        <v>182</v>
      </c>
      <c r="AS88" t="s">
        <v>182</v>
      </c>
      <c r="AT88" t="s">
        <v>182</v>
      </c>
      <c r="AU88" t="s">
        <v>182</v>
      </c>
      <c r="AV88" t="s">
        <v>182</v>
      </c>
      <c r="AW88" t="s">
        <v>182</v>
      </c>
      <c r="AX88" t="s">
        <v>182</v>
      </c>
      <c r="AY88" t="s">
        <v>182</v>
      </c>
      <c r="AZ88" t="s">
        <v>182</v>
      </c>
    </row>
    <row r="89" spans="1:52" x14ac:dyDescent="0.25">
      <c r="A89" t="s">
        <v>189</v>
      </c>
      <c r="B89" t="s">
        <v>53</v>
      </c>
      <c r="C89">
        <v>60</v>
      </c>
      <c r="D89">
        <v>30</v>
      </c>
      <c r="E89" t="s">
        <v>54</v>
      </c>
      <c r="F89" t="s">
        <v>85</v>
      </c>
      <c r="G89" t="s">
        <v>70</v>
      </c>
      <c r="H89" t="s">
        <v>181</v>
      </c>
      <c r="I89">
        <v>48</v>
      </c>
      <c r="J89">
        <v>96</v>
      </c>
      <c r="K89">
        <v>42</v>
      </c>
      <c r="L89">
        <v>42</v>
      </c>
      <c r="M89" t="b">
        <v>1</v>
      </c>
      <c r="N89" t="b">
        <v>0</v>
      </c>
      <c r="O89">
        <v>279.47167039999999</v>
      </c>
      <c r="P89">
        <v>304</v>
      </c>
      <c r="Q89">
        <v>140</v>
      </c>
      <c r="R89">
        <v>164</v>
      </c>
      <c r="S89" t="b">
        <v>1</v>
      </c>
      <c r="T89">
        <v>0.4375</v>
      </c>
      <c r="U89">
        <v>0.439982578397</v>
      </c>
      <c r="V89">
        <v>0.44004264021200001</v>
      </c>
      <c r="W89">
        <v>0.439982578397</v>
      </c>
      <c r="X89">
        <v>0.43749391332600002</v>
      </c>
      <c r="Y89">
        <v>0.40490797546000001</v>
      </c>
      <c r="Z89">
        <v>0.47142857142900002</v>
      </c>
      <c r="AA89">
        <v>0.43564356435599999</v>
      </c>
      <c r="AB89">
        <v>140</v>
      </c>
      <c r="AC89">
        <v>0.47517730496499999</v>
      </c>
      <c r="AD89">
        <v>0.40853658536600002</v>
      </c>
      <c r="AE89">
        <v>0.43934426229500001</v>
      </c>
      <c r="AF89">
        <v>164</v>
      </c>
      <c r="AG89">
        <v>-0.119974766356</v>
      </c>
      <c r="AH89">
        <v>66</v>
      </c>
      <c r="AI89">
        <v>74</v>
      </c>
      <c r="AJ89">
        <v>97</v>
      </c>
      <c r="AK89">
        <v>67</v>
      </c>
      <c r="AL89">
        <v>0.444076655052</v>
      </c>
      <c r="AM89">
        <v>0.50576347628399998</v>
      </c>
      <c r="AN89">
        <v>0</v>
      </c>
      <c r="AO89" t="s">
        <v>182</v>
      </c>
      <c r="AP89" t="s">
        <v>182</v>
      </c>
      <c r="AQ89" t="s">
        <v>182</v>
      </c>
      <c r="AR89" t="s">
        <v>182</v>
      </c>
      <c r="AS89" t="s">
        <v>182</v>
      </c>
      <c r="AT89" t="s">
        <v>182</v>
      </c>
      <c r="AU89" t="s">
        <v>182</v>
      </c>
      <c r="AV89" t="s">
        <v>182</v>
      </c>
      <c r="AW89" t="s">
        <v>182</v>
      </c>
      <c r="AX89" t="s">
        <v>182</v>
      </c>
      <c r="AY89" t="s">
        <v>182</v>
      </c>
      <c r="AZ89" t="s">
        <v>182</v>
      </c>
    </row>
    <row r="90" spans="1:52" x14ac:dyDescent="0.25">
      <c r="A90" t="s">
        <v>190</v>
      </c>
      <c r="B90" t="s">
        <v>53</v>
      </c>
      <c r="C90">
        <v>60</v>
      </c>
      <c r="D90">
        <v>30</v>
      </c>
      <c r="E90" t="s">
        <v>54</v>
      </c>
      <c r="F90" t="s">
        <v>85</v>
      </c>
      <c r="G90" t="s">
        <v>75</v>
      </c>
      <c r="H90" t="s">
        <v>181</v>
      </c>
      <c r="I90">
        <v>77</v>
      </c>
      <c r="J90">
        <v>154</v>
      </c>
      <c r="K90">
        <v>42</v>
      </c>
      <c r="L90">
        <v>42</v>
      </c>
      <c r="M90" t="b">
        <v>1</v>
      </c>
      <c r="N90" t="b">
        <v>0</v>
      </c>
      <c r="O90">
        <v>308.92188800000002</v>
      </c>
      <c r="P90">
        <v>304</v>
      </c>
      <c r="Q90">
        <v>140</v>
      </c>
      <c r="R90">
        <v>164</v>
      </c>
      <c r="S90" t="b">
        <v>1</v>
      </c>
      <c r="T90">
        <v>0.55921052631599999</v>
      </c>
      <c r="U90">
        <v>0.56271777003500001</v>
      </c>
      <c r="V90">
        <v>0.56271777003500001</v>
      </c>
      <c r="W90">
        <v>0.56271777003500001</v>
      </c>
      <c r="X90">
        <v>0.55921052631599999</v>
      </c>
      <c r="Y90">
        <v>0.51829268292700004</v>
      </c>
      <c r="Z90">
        <v>0.60714285714299998</v>
      </c>
      <c r="AA90">
        <v>0.55921052631599999</v>
      </c>
      <c r="AB90">
        <v>140</v>
      </c>
      <c r="AC90">
        <v>0.60714285714299998</v>
      </c>
      <c r="AD90">
        <v>0.51829268292700004</v>
      </c>
      <c r="AE90">
        <v>0.55921052631599999</v>
      </c>
      <c r="AF90">
        <v>164</v>
      </c>
      <c r="AG90">
        <v>0.12543554006999999</v>
      </c>
      <c r="AH90">
        <v>85</v>
      </c>
      <c r="AI90">
        <v>55</v>
      </c>
      <c r="AJ90">
        <v>79</v>
      </c>
      <c r="AK90">
        <v>85</v>
      </c>
      <c r="AL90">
        <v>0.54586236933800003</v>
      </c>
      <c r="AM90">
        <v>0.576874460491</v>
      </c>
      <c r="AN90">
        <v>0</v>
      </c>
      <c r="AO90" t="s">
        <v>182</v>
      </c>
      <c r="AP90" t="s">
        <v>182</v>
      </c>
      <c r="AQ90" t="s">
        <v>182</v>
      </c>
      <c r="AR90" t="s">
        <v>182</v>
      </c>
      <c r="AS90" t="s">
        <v>182</v>
      </c>
      <c r="AT90" t="s">
        <v>182</v>
      </c>
      <c r="AU90" t="s">
        <v>182</v>
      </c>
      <c r="AV90" t="s">
        <v>182</v>
      </c>
      <c r="AW90" t="s">
        <v>182</v>
      </c>
      <c r="AX90" t="s">
        <v>182</v>
      </c>
      <c r="AY90" t="s">
        <v>182</v>
      </c>
      <c r="AZ90" t="s">
        <v>182</v>
      </c>
    </row>
    <row r="91" spans="1:52" x14ac:dyDescent="0.25">
      <c r="A91" t="s">
        <v>191</v>
      </c>
      <c r="B91" t="s">
        <v>53</v>
      </c>
      <c r="C91">
        <v>60</v>
      </c>
      <c r="D91">
        <v>30</v>
      </c>
      <c r="E91" t="s">
        <v>54</v>
      </c>
      <c r="F91" t="s">
        <v>85</v>
      </c>
      <c r="G91" t="s">
        <v>80</v>
      </c>
      <c r="H91" t="s">
        <v>181</v>
      </c>
      <c r="I91">
        <v>77</v>
      </c>
      <c r="J91">
        <v>154</v>
      </c>
      <c r="K91">
        <v>42</v>
      </c>
      <c r="L91">
        <v>42</v>
      </c>
      <c r="M91" t="b">
        <v>1</v>
      </c>
      <c r="N91" t="b">
        <v>0</v>
      </c>
      <c r="O91">
        <v>297.71865159999999</v>
      </c>
      <c r="P91">
        <v>304</v>
      </c>
      <c r="Q91">
        <v>140</v>
      </c>
      <c r="R91">
        <v>164</v>
      </c>
      <c r="S91" t="b">
        <v>1</v>
      </c>
      <c r="T91">
        <v>0.52960526315800005</v>
      </c>
      <c r="U91">
        <v>0.53057491289199998</v>
      </c>
      <c r="V91">
        <v>0.53039618965099999</v>
      </c>
      <c r="W91">
        <v>0.53057491289199998</v>
      </c>
      <c r="X91">
        <v>0.529192613852</v>
      </c>
      <c r="Y91">
        <v>0.49032258064500001</v>
      </c>
      <c r="Z91">
        <v>0.54285714285700004</v>
      </c>
      <c r="AA91">
        <v>0.51525423728800002</v>
      </c>
      <c r="AB91">
        <v>140</v>
      </c>
      <c r="AC91">
        <v>0.57046979865799996</v>
      </c>
      <c r="AD91">
        <v>0.51829268292700004</v>
      </c>
      <c r="AE91">
        <v>0.54313099041500001</v>
      </c>
      <c r="AF91">
        <v>164</v>
      </c>
      <c r="AG91">
        <v>6.0970840599099997E-2</v>
      </c>
      <c r="AH91">
        <v>76</v>
      </c>
      <c r="AI91">
        <v>64</v>
      </c>
      <c r="AJ91">
        <v>79</v>
      </c>
      <c r="AK91">
        <v>85</v>
      </c>
      <c r="AL91">
        <v>0.51986062717799997</v>
      </c>
      <c r="AM91">
        <v>0.55473370127999999</v>
      </c>
      <c r="AN91">
        <v>0</v>
      </c>
      <c r="AO91" t="s">
        <v>182</v>
      </c>
      <c r="AP91" t="s">
        <v>182</v>
      </c>
      <c r="AQ91" t="s">
        <v>182</v>
      </c>
      <c r="AR91" t="s">
        <v>182</v>
      </c>
      <c r="AS91" t="s">
        <v>182</v>
      </c>
      <c r="AT91" t="s">
        <v>182</v>
      </c>
      <c r="AU91" t="s">
        <v>182</v>
      </c>
      <c r="AV91" t="s">
        <v>182</v>
      </c>
      <c r="AW91" t="s">
        <v>182</v>
      </c>
      <c r="AX91" t="s">
        <v>182</v>
      </c>
      <c r="AY91" t="s">
        <v>182</v>
      </c>
      <c r="AZ91" t="s">
        <v>182</v>
      </c>
    </row>
    <row r="92" spans="1:52" x14ac:dyDescent="0.25">
      <c r="A92" t="s">
        <v>192</v>
      </c>
      <c r="B92" t="s">
        <v>53</v>
      </c>
      <c r="C92">
        <v>60</v>
      </c>
      <c r="D92">
        <v>30</v>
      </c>
      <c r="E92" t="s">
        <v>106</v>
      </c>
      <c r="F92" t="s">
        <v>55</v>
      </c>
      <c r="G92" t="s">
        <v>56</v>
      </c>
      <c r="H92" t="s">
        <v>181</v>
      </c>
      <c r="I92">
        <v>29</v>
      </c>
      <c r="J92">
        <v>29</v>
      </c>
      <c r="K92">
        <v>42</v>
      </c>
      <c r="L92">
        <v>42</v>
      </c>
      <c r="M92" t="b">
        <v>1</v>
      </c>
      <c r="N92" t="b">
        <v>0</v>
      </c>
      <c r="O92">
        <v>632.75676129999999</v>
      </c>
      <c r="P92">
        <v>624</v>
      </c>
      <c r="Q92">
        <v>333</v>
      </c>
      <c r="R92">
        <v>291</v>
      </c>
      <c r="S92" t="b">
        <v>1</v>
      </c>
      <c r="T92">
        <v>0.46474358974399999</v>
      </c>
      <c r="U92">
        <v>0.46295780316399998</v>
      </c>
      <c r="V92">
        <v>0.46304018781099998</v>
      </c>
      <c r="W92">
        <v>0.46295780316399998</v>
      </c>
      <c r="X92">
        <v>0.46295609152799999</v>
      </c>
      <c r="Y92">
        <v>0.49847094801199998</v>
      </c>
      <c r="Z92">
        <v>0.48948948948900001</v>
      </c>
      <c r="AA92">
        <v>0.49393939393899999</v>
      </c>
      <c r="AB92">
        <v>333</v>
      </c>
      <c r="AC92">
        <v>0.427609427609</v>
      </c>
      <c r="AD92">
        <v>0.43642611683799998</v>
      </c>
      <c r="AE92">
        <v>0.43197278911600001</v>
      </c>
      <c r="AF92">
        <v>291</v>
      </c>
      <c r="AG92">
        <v>-7.4001963166700005E-2</v>
      </c>
      <c r="AH92">
        <v>163</v>
      </c>
      <c r="AI92">
        <v>170</v>
      </c>
      <c r="AJ92">
        <v>164</v>
      </c>
      <c r="AK92">
        <v>127</v>
      </c>
      <c r="AL92">
        <v>0.45897443835599999</v>
      </c>
      <c r="AM92">
        <v>0.43255643046300002</v>
      </c>
      <c r="AN92">
        <v>0</v>
      </c>
      <c r="AO92" t="s">
        <v>182</v>
      </c>
      <c r="AP92" t="s">
        <v>182</v>
      </c>
      <c r="AQ92" t="s">
        <v>182</v>
      </c>
      <c r="AR92" t="s">
        <v>182</v>
      </c>
      <c r="AS92" t="s">
        <v>182</v>
      </c>
      <c r="AT92" t="s">
        <v>182</v>
      </c>
      <c r="AU92" t="s">
        <v>182</v>
      </c>
      <c r="AV92" t="s">
        <v>182</v>
      </c>
      <c r="AW92" t="s">
        <v>182</v>
      </c>
      <c r="AX92" t="s">
        <v>182</v>
      </c>
      <c r="AY92" t="s">
        <v>182</v>
      </c>
      <c r="AZ92" t="s">
        <v>182</v>
      </c>
    </row>
    <row r="93" spans="1:52" x14ac:dyDescent="0.25">
      <c r="A93" t="s">
        <v>193</v>
      </c>
      <c r="B93" t="s">
        <v>53</v>
      </c>
      <c r="C93">
        <v>60</v>
      </c>
      <c r="D93">
        <v>30</v>
      </c>
      <c r="E93" t="s">
        <v>106</v>
      </c>
      <c r="F93" t="s">
        <v>55</v>
      </c>
      <c r="G93" t="s">
        <v>65</v>
      </c>
      <c r="H93" t="s">
        <v>181</v>
      </c>
      <c r="I93">
        <v>48</v>
      </c>
      <c r="J93">
        <v>48</v>
      </c>
      <c r="K93">
        <v>42</v>
      </c>
      <c r="L93">
        <v>42</v>
      </c>
      <c r="M93" t="b">
        <v>1</v>
      </c>
      <c r="N93" t="b">
        <v>0</v>
      </c>
      <c r="O93">
        <v>566.68424630000004</v>
      </c>
      <c r="P93">
        <v>624</v>
      </c>
      <c r="Q93">
        <v>333</v>
      </c>
      <c r="R93">
        <v>291</v>
      </c>
      <c r="S93" t="b">
        <v>1</v>
      </c>
      <c r="T93">
        <v>0.54326923076900002</v>
      </c>
      <c r="U93">
        <v>0.54259930033100001</v>
      </c>
      <c r="V93">
        <v>0.54243421052600005</v>
      </c>
      <c r="W93">
        <v>0.54259930033100001</v>
      </c>
      <c r="X93">
        <v>0.54228061821999995</v>
      </c>
      <c r="Y93">
        <v>0.57499999999999996</v>
      </c>
      <c r="Z93">
        <v>0.55255255255299995</v>
      </c>
      <c r="AA93">
        <v>0.56355283307799997</v>
      </c>
      <c r="AB93">
        <v>333</v>
      </c>
      <c r="AC93">
        <v>0.50986842105300001</v>
      </c>
      <c r="AD93">
        <v>0.53264604811000005</v>
      </c>
      <c r="AE93">
        <v>0.52100840336099996</v>
      </c>
      <c r="AF93">
        <v>291</v>
      </c>
      <c r="AG93">
        <v>8.5033350599200003E-2</v>
      </c>
      <c r="AH93">
        <v>184</v>
      </c>
      <c r="AI93">
        <v>149</v>
      </c>
      <c r="AJ93">
        <v>136</v>
      </c>
      <c r="AK93">
        <v>155</v>
      </c>
      <c r="AL93">
        <v>0.56411050225500003</v>
      </c>
      <c r="AM93">
        <v>0.53825940850599996</v>
      </c>
      <c r="AN93">
        <v>0</v>
      </c>
      <c r="AO93" t="s">
        <v>182</v>
      </c>
      <c r="AP93" t="s">
        <v>182</v>
      </c>
      <c r="AQ93" t="s">
        <v>182</v>
      </c>
      <c r="AR93" t="s">
        <v>182</v>
      </c>
      <c r="AS93" t="s">
        <v>182</v>
      </c>
      <c r="AT93" t="s">
        <v>182</v>
      </c>
      <c r="AU93" t="s">
        <v>182</v>
      </c>
      <c r="AV93" t="s">
        <v>182</v>
      </c>
      <c r="AW93" t="s">
        <v>182</v>
      </c>
      <c r="AX93" t="s">
        <v>182</v>
      </c>
      <c r="AY93" t="s">
        <v>182</v>
      </c>
      <c r="AZ93" t="s">
        <v>182</v>
      </c>
    </row>
    <row r="94" spans="1:52" x14ac:dyDescent="0.25">
      <c r="A94" t="s">
        <v>194</v>
      </c>
      <c r="B94" t="s">
        <v>53</v>
      </c>
      <c r="C94">
        <v>60</v>
      </c>
      <c r="D94">
        <v>30</v>
      </c>
      <c r="E94" t="s">
        <v>106</v>
      </c>
      <c r="F94" t="s">
        <v>55</v>
      </c>
      <c r="G94" t="s">
        <v>70</v>
      </c>
      <c r="H94" t="s">
        <v>181</v>
      </c>
      <c r="I94">
        <v>48</v>
      </c>
      <c r="J94">
        <v>48</v>
      </c>
      <c r="K94">
        <v>42</v>
      </c>
      <c r="L94">
        <v>42</v>
      </c>
      <c r="M94" t="b">
        <v>1</v>
      </c>
      <c r="N94" t="b">
        <v>0</v>
      </c>
      <c r="O94">
        <v>490.43819869999999</v>
      </c>
      <c r="P94">
        <v>624</v>
      </c>
      <c r="Q94">
        <v>333</v>
      </c>
      <c r="R94">
        <v>291</v>
      </c>
      <c r="S94" t="b">
        <v>1</v>
      </c>
      <c r="T94">
        <v>0.55448717948699999</v>
      </c>
      <c r="U94">
        <v>0.55462679173999996</v>
      </c>
      <c r="V94">
        <v>0.554379873232</v>
      </c>
      <c r="W94">
        <v>0.55462679173999996</v>
      </c>
      <c r="X94">
        <v>0.553932711395</v>
      </c>
      <c r="Y94">
        <v>0.58785942491999998</v>
      </c>
      <c r="Z94">
        <v>0.55255255255299995</v>
      </c>
      <c r="AA94">
        <v>0.56965944272400004</v>
      </c>
      <c r="AB94">
        <v>333</v>
      </c>
      <c r="AC94">
        <v>0.52090032154300003</v>
      </c>
      <c r="AD94">
        <v>0.55670103092800005</v>
      </c>
      <c r="AE94">
        <v>0.53820598006599996</v>
      </c>
      <c r="AF94">
        <v>291</v>
      </c>
      <c r="AG94">
        <v>0.109006385316</v>
      </c>
      <c r="AH94">
        <v>184</v>
      </c>
      <c r="AI94">
        <v>149</v>
      </c>
      <c r="AJ94">
        <v>129</v>
      </c>
      <c r="AK94">
        <v>162</v>
      </c>
      <c r="AL94">
        <v>0.57054993137499999</v>
      </c>
      <c r="AM94">
        <v>0.50277096855100001</v>
      </c>
      <c r="AN94">
        <v>0</v>
      </c>
      <c r="AO94" t="s">
        <v>182</v>
      </c>
      <c r="AP94" t="s">
        <v>182</v>
      </c>
      <c r="AQ94" t="s">
        <v>182</v>
      </c>
      <c r="AR94" t="s">
        <v>182</v>
      </c>
      <c r="AS94" t="s">
        <v>182</v>
      </c>
      <c r="AT94" t="s">
        <v>182</v>
      </c>
      <c r="AU94" t="s">
        <v>182</v>
      </c>
      <c r="AV94" t="s">
        <v>182</v>
      </c>
      <c r="AW94" t="s">
        <v>182</v>
      </c>
      <c r="AX94" t="s">
        <v>182</v>
      </c>
      <c r="AY94" t="s">
        <v>182</v>
      </c>
      <c r="AZ94" t="s">
        <v>182</v>
      </c>
    </row>
    <row r="95" spans="1:52" x14ac:dyDescent="0.25">
      <c r="A95" t="s">
        <v>195</v>
      </c>
      <c r="B95" t="s">
        <v>53</v>
      </c>
      <c r="C95">
        <v>60</v>
      </c>
      <c r="D95">
        <v>30</v>
      </c>
      <c r="E95" t="s">
        <v>106</v>
      </c>
      <c r="F95" t="s">
        <v>55</v>
      </c>
      <c r="G95" t="s">
        <v>75</v>
      </c>
      <c r="H95" t="s">
        <v>181</v>
      </c>
      <c r="I95">
        <v>77</v>
      </c>
      <c r="J95">
        <v>77</v>
      </c>
      <c r="K95">
        <v>42</v>
      </c>
      <c r="L95">
        <v>42</v>
      </c>
      <c r="M95" t="b">
        <v>1</v>
      </c>
      <c r="N95" t="b">
        <v>0</v>
      </c>
      <c r="O95">
        <v>618.10083880000002</v>
      </c>
      <c r="P95">
        <v>624</v>
      </c>
      <c r="Q95">
        <v>333</v>
      </c>
      <c r="R95">
        <v>291</v>
      </c>
      <c r="S95" t="b">
        <v>1</v>
      </c>
      <c r="T95">
        <v>0.509615384615</v>
      </c>
      <c r="U95">
        <v>0.50630011454799995</v>
      </c>
      <c r="V95">
        <v>0.50633410456200001</v>
      </c>
      <c r="W95">
        <v>0.50630011454799995</v>
      </c>
      <c r="X95">
        <v>0.50618612157099996</v>
      </c>
      <c r="Y95">
        <v>0.539358600583</v>
      </c>
      <c r="Z95">
        <v>0.555555555556</v>
      </c>
      <c r="AA95">
        <v>0.54733727810699995</v>
      </c>
      <c r="AB95">
        <v>333</v>
      </c>
      <c r="AC95">
        <v>0.47330960854100002</v>
      </c>
      <c r="AD95">
        <v>0.45704467354</v>
      </c>
      <c r="AE95">
        <v>0.46503496503500003</v>
      </c>
      <c r="AF95">
        <v>291</v>
      </c>
      <c r="AG95">
        <v>1.2634173387599999E-2</v>
      </c>
      <c r="AH95">
        <v>185</v>
      </c>
      <c r="AI95">
        <v>148</v>
      </c>
      <c r="AJ95">
        <v>158</v>
      </c>
      <c r="AK95">
        <v>133</v>
      </c>
      <c r="AL95">
        <v>0.51350319391599997</v>
      </c>
      <c r="AM95">
        <v>0.51658752790200002</v>
      </c>
      <c r="AN95">
        <v>0</v>
      </c>
      <c r="AO95" t="s">
        <v>182</v>
      </c>
      <c r="AP95" t="s">
        <v>182</v>
      </c>
      <c r="AQ95" t="s">
        <v>182</v>
      </c>
      <c r="AR95" t="s">
        <v>182</v>
      </c>
      <c r="AS95" t="s">
        <v>182</v>
      </c>
      <c r="AT95" t="s">
        <v>182</v>
      </c>
      <c r="AU95" t="s">
        <v>182</v>
      </c>
      <c r="AV95" t="s">
        <v>182</v>
      </c>
      <c r="AW95" t="s">
        <v>182</v>
      </c>
      <c r="AX95" t="s">
        <v>182</v>
      </c>
      <c r="AY95" t="s">
        <v>182</v>
      </c>
      <c r="AZ95" t="s">
        <v>182</v>
      </c>
    </row>
    <row r="96" spans="1:52" x14ac:dyDescent="0.25">
      <c r="A96" t="s">
        <v>196</v>
      </c>
      <c r="B96" t="s">
        <v>53</v>
      </c>
      <c r="C96">
        <v>60</v>
      </c>
      <c r="D96">
        <v>30</v>
      </c>
      <c r="E96" t="s">
        <v>106</v>
      </c>
      <c r="F96" t="s">
        <v>55</v>
      </c>
      <c r="G96" t="s">
        <v>80</v>
      </c>
      <c r="H96" t="s">
        <v>181</v>
      </c>
      <c r="I96">
        <v>77</v>
      </c>
      <c r="J96">
        <v>77</v>
      </c>
      <c r="K96">
        <v>42</v>
      </c>
      <c r="L96">
        <v>42</v>
      </c>
      <c r="M96" t="b">
        <v>1</v>
      </c>
      <c r="N96" t="b">
        <v>0</v>
      </c>
      <c r="O96">
        <v>586.80961430000002</v>
      </c>
      <c r="P96">
        <v>624</v>
      </c>
      <c r="Q96">
        <v>333</v>
      </c>
      <c r="R96">
        <v>291</v>
      </c>
      <c r="S96" t="b">
        <v>1</v>
      </c>
      <c r="T96">
        <v>0.51282051282100005</v>
      </c>
      <c r="U96">
        <v>0.51060338689200002</v>
      </c>
      <c r="V96">
        <v>0.51060338689200002</v>
      </c>
      <c r="W96">
        <v>0.51060338689200002</v>
      </c>
      <c r="X96">
        <v>0.51060338689200002</v>
      </c>
      <c r="Y96">
        <v>0.54354354354400003</v>
      </c>
      <c r="Z96">
        <v>0.54354354354400003</v>
      </c>
      <c r="AA96">
        <v>0.54354354354400003</v>
      </c>
      <c r="AB96">
        <v>333</v>
      </c>
      <c r="AC96">
        <v>0.47766323024099999</v>
      </c>
      <c r="AD96">
        <v>0.47766323024099999</v>
      </c>
      <c r="AE96">
        <v>0.47766323024099999</v>
      </c>
      <c r="AF96">
        <v>291</v>
      </c>
      <c r="AG96">
        <v>2.1206773784099998E-2</v>
      </c>
      <c r="AH96">
        <v>181</v>
      </c>
      <c r="AI96">
        <v>152</v>
      </c>
      <c r="AJ96">
        <v>152</v>
      </c>
      <c r="AK96">
        <v>139</v>
      </c>
      <c r="AL96">
        <v>0.51721824917699999</v>
      </c>
      <c r="AM96">
        <v>0.486090868136</v>
      </c>
      <c r="AN96">
        <v>0</v>
      </c>
      <c r="AO96" t="s">
        <v>182</v>
      </c>
      <c r="AP96" t="s">
        <v>182</v>
      </c>
      <c r="AQ96" t="s">
        <v>182</v>
      </c>
      <c r="AR96" t="s">
        <v>182</v>
      </c>
      <c r="AS96" t="s">
        <v>182</v>
      </c>
      <c r="AT96" t="s">
        <v>182</v>
      </c>
      <c r="AU96" t="s">
        <v>182</v>
      </c>
      <c r="AV96" t="s">
        <v>182</v>
      </c>
      <c r="AW96" t="s">
        <v>182</v>
      </c>
      <c r="AX96" t="s">
        <v>182</v>
      </c>
      <c r="AY96" t="s">
        <v>182</v>
      </c>
      <c r="AZ96" t="s">
        <v>182</v>
      </c>
    </row>
    <row r="97" spans="1:52" x14ac:dyDescent="0.25">
      <c r="A97" t="s">
        <v>197</v>
      </c>
      <c r="B97" t="s">
        <v>53</v>
      </c>
      <c r="C97">
        <v>60</v>
      </c>
      <c r="D97">
        <v>30</v>
      </c>
      <c r="E97" t="s">
        <v>106</v>
      </c>
      <c r="F97" t="s">
        <v>85</v>
      </c>
      <c r="G97" t="s">
        <v>56</v>
      </c>
      <c r="H97" t="s">
        <v>181</v>
      </c>
      <c r="I97">
        <v>29</v>
      </c>
      <c r="J97">
        <v>58</v>
      </c>
      <c r="K97">
        <v>42</v>
      </c>
      <c r="L97">
        <v>42</v>
      </c>
      <c r="M97" t="b">
        <v>1</v>
      </c>
      <c r="N97" t="b">
        <v>0</v>
      </c>
      <c r="O97">
        <v>310.84168449999999</v>
      </c>
      <c r="P97">
        <v>278</v>
      </c>
      <c r="Q97">
        <v>151</v>
      </c>
      <c r="R97">
        <v>127</v>
      </c>
      <c r="S97" t="b">
        <v>1</v>
      </c>
      <c r="T97">
        <v>0.50719424460399998</v>
      </c>
      <c r="U97">
        <v>0.50380664337500003</v>
      </c>
      <c r="V97">
        <v>0.50380208333300003</v>
      </c>
      <c r="W97">
        <v>0.50380664337500003</v>
      </c>
      <c r="X97">
        <v>0.50379779818899995</v>
      </c>
      <c r="Y97">
        <v>0.54666666666700003</v>
      </c>
      <c r="Z97">
        <v>0.54304635761599995</v>
      </c>
      <c r="AA97">
        <v>0.54485049833900001</v>
      </c>
      <c r="AB97">
        <v>151</v>
      </c>
      <c r="AC97">
        <v>0.4609375</v>
      </c>
      <c r="AD97">
        <v>0.464566929134</v>
      </c>
      <c r="AE97">
        <v>0.46274509803899999</v>
      </c>
      <c r="AF97">
        <v>127</v>
      </c>
      <c r="AG97">
        <v>7.60872534175E-3</v>
      </c>
      <c r="AH97">
        <v>82</v>
      </c>
      <c r="AI97">
        <v>69</v>
      </c>
      <c r="AJ97">
        <v>68</v>
      </c>
      <c r="AK97">
        <v>59</v>
      </c>
      <c r="AL97">
        <v>0.48208791781799998</v>
      </c>
      <c r="AM97">
        <v>0.46097508400100001</v>
      </c>
      <c r="AN97">
        <v>0</v>
      </c>
      <c r="AO97" t="s">
        <v>182</v>
      </c>
      <c r="AP97" t="s">
        <v>182</v>
      </c>
      <c r="AQ97" t="s">
        <v>182</v>
      </c>
      <c r="AR97" t="s">
        <v>182</v>
      </c>
      <c r="AS97" t="s">
        <v>182</v>
      </c>
      <c r="AT97" t="s">
        <v>182</v>
      </c>
      <c r="AU97" t="s">
        <v>182</v>
      </c>
      <c r="AV97" t="s">
        <v>182</v>
      </c>
      <c r="AW97" t="s">
        <v>182</v>
      </c>
      <c r="AX97" t="s">
        <v>182</v>
      </c>
      <c r="AY97" t="s">
        <v>182</v>
      </c>
      <c r="AZ97" t="s">
        <v>182</v>
      </c>
    </row>
    <row r="98" spans="1:52" x14ac:dyDescent="0.25">
      <c r="A98" t="s">
        <v>198</v>
      </c>
      <c r="B98" t="s">
        <v>53</v>
      </c>
      <c r="C98">
        <v>60</v>
      </c>
      <c r="D98">
        <v>30</v>
      </c>
      <c r="E98" t="s">
        <v>106</v>
      </c>
      <c r="F98" t="s">
        <v>85</v>
      </c>
      <c r="G98" t="s">
        <v>65</v>
      </c>
      <c r="H98" t="s">
        <v>181</v>
      </c>
      <c r="I98">
        <v>48</v>
      </c>
      <c r="J98">
        <v>96</v>
      </c>
      <c r="K98">
        <v>42</v>
      </c>
      <c r="L98">
        <v>42</v>
      </c>
      <c r="M98" t="b">
        <v>1</v>
      </c>
      <c r="N98" t="b">
        <v>0</v>
      </c>
      <c r="O98">
        <v>317.3405808</v>
      </c>
      <c r="P98">
        <v>278</v>
      </c>
      <c r="Q98">
        <v>151</v>
      </c>
      <c r="R98">
        <v>127</v>
      </c>
      <c r="S98" t="b">
        <v>1</v>
      </c>
      <c r="T98">
        <v>0.55755395683499998</v>
      </c>
      <c r="U98">
        <v>0.55079000886499996</v>
      </c>
      <c r="V98">
        <v>0.55183056619799997</v>
      </c>
      <c r="W98">
        <v>0.55079000886499996</v>
      </c>
      <c r="X98">
        <v>0.55042795724399995</v>
      </c>
      <c r="Y98">
        <v>0.58641975308600003</v>
      </c>
      <c r="Z98">
        <v>0.62913907284799997</v>
      </c>
      <c r="AA98">
        <v>0.60702875399400003</v>
      </c>
      <c r="AB98">
        <v>151</v>
      </c>
      <c r="AC98">
        <v>0.51724137931000003</v>
      </c>
      <c r="AD98">
        <v>0.472440944882</v>
      </c>
      <c r="AE98">
        <v>0.49382716049399999</v>
      </c>
      <c r="AF98">
        <v>127</v>
      </c>
      <c r="AG98">
        <v>0.10261529937900001</v>
      </c>
      <c r="AH98">
        <v>95</v>
      </c>
      <c r="AI98">
        <v>56</v>
      </c>
      <c r="AJ98">
        <v>67</v>
      </c>
      <c r="AK98">
        <v>60</v>
      </c>
      <c r="AL98">
        <v>0.55660426552599995</v>
      </c>
      <c r="AM98">
        <v>0.52587785607399995</v>
      </c>
      <c r="AN98">
        <v>0</v>
      </c>
      <c r="AO98" t="s">
        <v>182</v>
      </c>
      <c r="AP98" t="s">
        <v>182</v>
      </c>
      <c r="AQ98" t="s">
        <v>182</v>
      </c>
      <c r="AR98" t="s">
        <v>182</v>
      </c>
      <c r="AS98" t="s">
        <v>182</v>
      </c>
      <c r="AT98" t="s">
        <v>182</v>
      </c>
      <c r="AU98" t="s">
        <v>182</v>
      </c>
      <c r="AV98" t="s">
        <v>182</v>
      </c>
      <c r="AW98" t="s">
        <v>182</v>
      </c>
      <c r="AX98" t="s">
        <v>182</v>
      </c>
      <c r="AY98" t="s">
        <v>182</v>
      </c>
      <c r="AZ98" t="s">
        <v>182</v>
      </c>
    </row>
    <row r="99" spans="1:52" x14ac:dyDescent="0.25">
      <c r="A99" t="s">
        <v>199</v>
      </c>
      <c r="B99" t="s">
        <v>53</v>
      </c>
      <c r="C99">
        <v>60</v>
      </c>
      <c r="D99">
        <v>30</v>
      </c>
      <c r="E99" t="s">
        <v>106</v>
      </c>
      <c r="F99" t="s">
        <v>85</v>
      </c>
      <c r="G99" t="s">
        <v>70</v>
      </c>
      <c r="H99" t="s">
        <v>181</v>
      </c>
      <c r="I99">
        <v>48</v>
      </c>
      <c r="J99">
        <v>96</v>
      </c>
      <c r="K99">
        <v>42</v>
      </c>
      <c r="L99">
        <v>42</v>
      </c>
      <c r="M99" t="b">
        <v>1</v>
      </c>
      <c r="N99" t="b">
        <v>0</v>
      </c>
      <c r="O99">
        <v>308.15932070000002</v>
      </c>
      <c r="P99">
        <v>278</v>
      </c>
      <c r="Q99">
        <v>151</v>
      </c>
      <c r="R99">
        <v>127</v>
      </c>
      <c r="S99" t="b">
        <v>1</v>
      </c>
      <c r="T99">
        <v>0.55755395683499998</v>
      </c>
      <c r="U99">
        <v>0.55204150805700003</v>
      </c>
      <c r="V99">
        <v>0.55263713080200005</v>
      </c>
      <c r="W99">
        <v>0.55204150805700003</v>
      </c>
      <c r="X99">
        <v>0.55198301953499995</v>
      </c>
      <c r="Y99">
        <v>0.58860759493699999</v>
      </c>
      <c r="Z99">
        <v>0.61589403973500001</v>
      </c>
      <c r="AA99">
        <v>0.60194174757300001</v>
      </c>
      <c r="AB99">
        <v>151</v>
      </c>
      <c r="AC99">
        <v>0.51666666666700001</v>
      </c>
      <c r="AD99">
        <v>0.48818897637800002</v>
      </c>
      <c r="AE99">
        <v>0.50202429149799999</v>
      </c>
      <c r="AF99">
        <v>127</v>
      </c>
      <c r="AG99">
        <v>0.104676944294</v>
      </c>
      <c r="AH99">
        <v>93</v>
      </c>
      <c r="AI99">
        <v>58</v>
      </c>
      <c r="AJ99">
        <v>65</v>
      </c>
      <c r="AK99">
        <v>62</v>
      </c>
      <c r="AL99">
        <v>0.55649997392700001</v>
      </c>
      <c r="AM99">
        <v>0.49104264460199998</v>
      </c>
      <c r="AN99">
        <v>0</v>
      </c>
      <c r="AO99" t="s">
        <v>182</v>
      </c>
      <c r="AP99" t="s">
        <v>182</v>
      </c>
      <c r="AQ99" t="s">
        <v>182</v>
      </c>
      <c r="AR99" t="s">
        <v>182</v>
      </c>
      <c r="AS99" t="s">
        <v>182</v>
      </c>
      <c r="AT99" t="s">
        <v>182</v>
      </c>
      <c r="AU99" t="s">
        <v>182</v>
      </c>
      <c r="AV99" t="s">
        <v>182</v>
      </c>
      <c r="AW99" t="s">
        <v>182</v>
      </c>
      <c r="AX99" t="s">
        <v>182</v>
      </c>
      <c r="AY99" t="s">
        <v>182</v>
      </c>
      <c r="AZ99" t="s">
        <v>182</v>
      </c>
    </row>
    <row r="100" spans="1:52" x14ac:dyDescent="0.25">
      <c r="A100" t="s">
        <v>200</v>
      </c>
      <c r="B100" t="s">
        <v>53</v>
      </c>
      <c r="C100">
        <v>60</v>
      </c>
      <c r="D100">
        <v>30</v>
      </c>
      <c r="E100" t="s">
        <v>106</v>
      </c>
      <c r="F100" t="s">
        <v>85</v>
      </c>
      <c r="G100" t="s">
        <v>75</v>
      </c>
      <c r="H100" t="s">
        <v>181</v>
      </c>
      <c r="I100">
        <v>77</v>
      </c>
      <c r="J100">
        <v>154</v>
      </c>
      <c r="K100">
        <v>42</v>
      </c>
      <c r="L100">
        <v>42</v>
      </c>
      <c r="M100" t="b">
        <v>1</v>
      </c>
      <c r="N100" t="b">
        <v>0</v>
      </c>
      <c r="O100">
        <v>337.46068159999999</v>
      </c>
      <c r="P100">
        <v>278</v>
      </c>
      <c r="Q100">
        <v>151</v>
      </c>
      <c r="R100">
        <v>127</v>
      </c>
      <c r="S100" t="b">
        <v>1</v>
      </c>
      <c r="T100">
        <v>0.539568345324</v>
      </c>
      <c r="U100">
        <v>0.53611096626200005</v>
      </c>
      <c r="V100">
        <v>0.53611096626200005</v>
      </c>
      <c r="W100">
        <v>0.53611096626200005</v>
      </c>
      <c r="X100">
        <v>0.53611096626200005</v>
      </c>
      <c r="Y100">
        <v>0.576158940397</v>
      </c>
      <c r="Z100">
        <v>0.576158940397</v>
      </c>
      <c r="AA100">
        <v>0.576158940397</v>
      </c>
      <c r="AB100">
        <v>151</v>
      </c>
      <c r="AC100">
        <v>0.49606299212600002</v>
      </c>
      <c r="AD100">
        <v>0.49606299212600002</v>
      </c>
      <c r="AE100">
        <v>0.49606299212600002</v>
      </c>
      <c r="AF100">
        <v>127</v>
      </c>
      <c r="AG100">
        <v>7.2221932523300003E-2</v>
      </c>
      <c r="AH100">
        <v>87</v>
      </c>
      <c r="AI100">
        <v>64</v>
      </c>
      <c r="AJ100">
        <v>64</v>
      </c>
      <c r="AK100">
        <v>63</v>
      </c>
      <c r="AL100">
        <v>0.50612713145999999</v>
      </c>
      <c r="AM100">
        <v>0.449842903776</v>
      </c>
      <c r="AN100">
        <v>0</v>
      </c>
      <c r="AO100" t="s">
        <v>182</v>
      </c>
      <c r="AP100" t="s">
        <v>182</v>
      </c>
      <c r="AQ100" t="s">
        <v>182</v>
      </c>
      <c r="AR100" t="s">
        <v>182</v>
      </c>
      <c r="AS100" t="s">
        <v>182</v>
      </c>
      <c r="AT100" t="s">
        <v>182</v>
      </c>
      <c r="AU100" t="s">
        <v>182</v>
      </c>
      <c r="AV100" t="s">
        <v>182</v>
      </c>
      <c r="AW100" t="s">
        <v>182</v>
      </c>
      <c r="AX100" t="s">
        <v>182</v>
      </c>
      <c r="AY100" t="s">
        <v>182</v>
      </c>
      <c r="AZ100" t="s">
        <v>182</v>
      </c>
    </row>
    <row r="101" spans="1:52" x14ac:dyDescent="0.25">
      <c r="A101" t="s">
        <v>201</v>
      </c>
      <c r="B101" t="s">
        <v>53</v>
      </c>
      <c r="C101">
        <v>60</v>
      </c>
      <c r="D101">
        <v>30</v>
      </c>
      <c r="E101" t="s">
        <v>106</v>
      </c>
      <c r="F101" t="s">
        <v>85</v>
      </c>
      <c r="G101" t="s">
        <v>80</v>
      </c>
      <c r="H101" t="s">
        <v>181</v>
      </c>
      <c r="I101">
        <v>77</v>
      </c>
      <c r="J101">
        <v>154</v>
      </c>
      <c r="K101">
        <v>42</v>
      </c>
      <c r="L101">
        <v>42</v>
      </c>
      <c r="M101" t="b">
        <v>1</v>
      </c>
      <c r="N101" t="b">
        <v>0</v>
      </c>
      <c r="O101">
        <v>335.06938300000002</v>
      </c>
      <c r="P101">
        <v>278</v>
      </c>
      <c r="Q101">
        <v>151</v>
      </c>
      <c r="R101">
        <v>127</v>
      </c>
      <c r="S101" t="b">
        <v>1</v>
      </c>
      <c r="T101">
        <v>0.48201438848900002</v>
      </c>
      <c r="U101">
        <v>0.48688533138700002</v>
      </c>
      <c r="V101">
        <v>0.48680828743799998</v>
      </c>
      <c r="W101">
        <v>0.48688533138700002</v>
      </c>
      <c r="X101">
        <v>0.48190712843599998</v>
      </c>
      <c r="Y101">
        <v>0.52845528455299995</v>
      </c>
      <c r="Z101">
        <v>0.43046357615899999</v>
      </c>
      <c r="AA101">
        <v>0.47445255474499998</v>
      </c>
      <c r="AB101">
        <v>151</v>
      </c>
      <c r="AC101">
        <v>0.445161290323</v>
      </c>
      <c r="AD101">
        <v>0.54330708661399996</v>
      </c>
      <c r="AE101">
        <v>0.48936170212800001</v>
      </c>
      <c r="AF101">
        <v>127</v>
      </c>
      <c r="AG101">
        <v>-2.6306268355500002E-2</v>
      </c>
      <c r="AH101">
        <v>65</v>
      </c>
      <c r="AI101">
        <v>86</v>
      </c>
      <c r="AJ101">
        <v>58</v>
      </c>
      <c r="AK101">
        <v>69</v>
      </c>
      <c r="AL101">
        <v>0.49611513792599998</v>
      </c>
      <c r="AM101">
        <v>0.45127757708600003</v>
      </c>
      <c r="AN101">
        <v>0</v>
      </c>
      <c r="AO101" t="s">
        <v>182</v>
      </c>
      <c r="AP101" t="s">
        <v>182</v>
      </c>
      <c r="AQ101" t="s">
        <v>182</v>
      </c>
      <c r="AR101" t="s">
        <v>182</v>
      </c>
      <c r="AS101" t="s">
        <v>182</v>
      </c>
      <c r="AT101" t="s">
        <v>182</v>
      </c>
      <c r="AU101" t="s">
        <v>182</v>
      </c>
      <c r="AV101" t="s">
        <v>182</v>
      </c>
      <c r="AW101" t="s">
        <v>182</v>
      </c>
      <c r="AX101" t="s">
        <v>182</v>
      </c>
      <c r="AY101" t="s">
        <v>182</v>
      </c>
      <c r="AZ101" t="s">
        <v>182</v>
      </c>
    </row>
    <row r="102" spans="1:52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14</v>
      </c>
      <c r="P102" t="s">
        <v>15</v>
      </c>
      <c r="Q102" t="s">
        <v>16</v>
      </c>
      <c r="R102" t="s">
        <v>17</v>
      </c>
      <c r="S102" t="s">
        <v>18</v>
      </c>
      <c r="T102" t="s">
        <v>19</v>
      </c>
      <c r="U102" t="s">
        <v>20</v>
      </c>
      <c r="V102" t="s">
        <v>21</v>
      </c>
      <c r="W102" t="s">
        <v>22</v>
      </c>
      <c r="X102" t="s">
        <v>23</v>
      </c>
      <c r="Y102" t="s">
        <v>24</v>
      </c>
      <c r="Z102" t="s">
        <v>25</v>
      </c>
      <c r="AA102" t="s">
        <v>26</v>
      </c>
      <c r="AB102" t="s">
        <v>27</v>
      </c>
      <c r="AC102" t="s">
        <v>28</v>
      </c>
      <c r="AD102" t="s">
        <v>29</v>
      </c>
      <c r="AE102" t="s">
        <v>30</v>
      </c>
      <c r="AF102" t="s">
        <v>31</v>
      </c>
      <c r="AG102" t="s">
        <v>32</v>
      </c>
      <c r="AH102" t="s">
        <v>33</v>
      </c>
      <c r="AI102" t="s">
        <v>34</v>
      </c>
      <c r="AJ102" t="s">
        <v>35</v>
      </c>
      <c r="AK102" t="s">
        <v>36</v>
      </c>
      <c r="AL102" t="s">
        <v>37</v>
      </c>
      <c r="AM102" t="s">
        <v>38</v>
      </c>
      <c r="AN102" t="s">
        <v>39</v>
      </c>
      <c r="AO102" t="s">
        <v>40</v>
      </c>
      <c r="AP102" t="s">
        <v>41</v>
      </c>
      <c r="AQ102" t="s">
        <v>42</v>
      </c>
      <c r="AR102" t="s">
        <v>43</v>
      </c>
      <c r="AS102" t="s">
        <v>44</v>
      </c>
      <c r="AT102" t="s">
        <v>45</v>
      </c>
      <c r="AU102" t="s">
        <v>46</v>
      </c>
      <c r="AV102" t="s">
        <v>47</v>
      </c>
      <c r="AW102" t="s">
        <v>48</v>
      </c>
      <c r="AX102" t="s">
        <v>49</v>
      </c>
      <c r="AY102" t="s">
        <v>50</v>
      </c>
      <c r="AZ102" t="s">
        <v>51</v>
      </c>
    </row>
    <row r="103" spans="1:52" x14ac:dyDescent="0.25">
      <c r="A103" t="s">
        <v>202</v>
      </c>
      <c r="B103" t="s">
        <v>53</v>
      </c>
      <c r="C103">
        <v>60</v>
      </c>
      <c r="D103">
        <v>30</v>
      </c>
      <c r="E103" t="s">
        <v>54</v>
      </c>
      <c r="F103" t="s">
        <v>55</v>
      </c>
      <c r="G103" t="s">
        <v>65</v>
      </c>
      <c r="H103" t="s">
        <v>203</v>
      </c>
      <c r="I103">
        <v>48</v>
      </c>
      <c r="J103">
        <v>48</v>
      </c>
      <c r="K103">
        <v>42</v>
      </c>
      <c r="L103">
        <v>42</v>
      </c>
      <c r="M103" t="b">
        <v>1</v>
      </c>
      <c r="N103" t="b">
        <v>1</v>
      </c>
      <c r="O103">
        <v>631.22986879999996</v>
      </c>
      <c r="P103">
        <v>681</v>
      </c>
      <c r="Q103">
        <v>314</v>
      </c>
      <c r="R103">
        <v>367</v>
      </c>
      <c r="S103" t="b">
        <v>1</v>
      </c>
      <c r="T103">
        <v>0.55212922173300005</v>
      </c>
      <c r="U103">
        <v>0.54905499921900003</v>
      </c>
      <c r="V103">
        <v>0.54912661858</v>
      </c>
      <c r="W103">
        <v>0.54905499921900003</v>
      </c>
      <c r="X103">
        <v>0.54908005427399997</v>
      </c>
      <c r="Y103">
        <v>0.51446945337600003</v>
      </c>
      <c r="Z103">
        <v>0.50955414012699995</v>
      </c>
      <c r="AA103">
        <v>0.51200000000000001</v>
      </c>
      <c r="AB103">
        <v>314</v>
      </c>
      <c r="AC103">
        <v>0.58378378378399998</v>
      </c>
      <c r="AD103">
        <v>0.58855585831099999</v>
      </c>
      <c r="AE103">
        <v>0.58616010854800005</v>
      </c>
      <c r="AF103">
        <v>367</v>
      </c>
      <c r="AG103">
        <v>9.8181591677300006E-2</v>
      </c>
      <c r="AH103">
        <v>160</v>
      </c>
      <c r="AI103">
        <v>154</v>
      </c>
      <c r="AJ103">
        <v>151</v>
      </c>
      <c r="AK103">
        <v>216</v>
      </c>
      <c r="AL103">
        <v>0.55369756503900003</v>
      </c>
      <c r="AM103">
        <v>0.56151018793100005</v>
      </c>
      <c r="AN103">
        <v>0</v>
      </c>
      <c r="AO103" t="s">
        <v>182</v>
      </c>
      <c r="AP103" t="s">
        <v>182</v>
      </c>
      <c r="AQ103" t="s">
        <v>182</v>
      </c>
      <c r="AR103" t="s">
        <v>182</v>
      </c>
      <c r="AS103" t="s">
        <v>182</v>
      </c>
      <c r="AT103" t="s">
        <v>182</v>
      </c>
      <c r="AU103" t="s">
        <v>182</v>
      </c>
      <c r="AV103" t="s">
        <v>182</v>
      </c>
      <c r="AW103" t="s">
        <v>182</v>
      </c>
      <c r="AX103" t="s">
        <v>182</v>
      </c>
      <c r="AY103" t="s">
        <v>182</v>
      </c>
      <c r="AZ103" t="s">
        <v>182</v>
      </c>
    </row>
    <row r="104" spans="1:52" x14ac:dyDescent="0.25">
      <c r="A104" t="s">
        <v>209</v>
      </c>
      <c r="B104" t="s">
        <v>53</v>
      </c>
      <c r="C104">
        <v>60</v>
      </c>
      <c r="D104">
        <v>30</v>
      </c>
      <c r="E104" t="s">
        <v>54</v>
      </c>
      <c r="F104" t="s">
        <v>85</v>
      </c>
      <c r="G104" t="s">
        <v>65</v>
      </c>
      <c r="H104" t="s">
        <v>205</v>
      </c>
      <c r="I104">
        <v>48</v>
      </c>
      <c r="J104">
        <v>96</v>
      </c>
      <c r="K104">
        <v>42</v>
      </c>
      <c r="L104">
        <v>42</v>
      </c>
      <c r="M104" t="b">
        <v>1</v>
      </c>
      <c r="N104" t="b">
        <v>1</v>
      </c>
      <c r="O104">
        <v>330.69620939999999</v>
      </c>
      <c r="P104">
        <v>304</v>
      </c>
      <c r="Q104">
        <v>140</v>
      </c>
      <c r="R104">
        <v>164</v>
      </c>
      <c r="S104" t="b">
        <v>1</v>
      </c>
      <c r="T104">
        <v>0.53947368421099995</v>
      </c>
      <c r="U104">
        <v>0.53606271777000003</v>
      </c>
      <c r="V104">
        <v>0.536144578313</v>
      </c>
      <c r="W104">
        <v>0.53606271777000003</v>
      </c>
      <c r="X104">
        <v>0.53608022672800004</v>
      </c>
      <c r="Y104">
        <v>0.5</v>
      </c>
      <c r="Z104">
        <v>0.492857142857</v>
      </c>
      <c r="AA104">
        <v>0.49640287769800001</v>
      </c>
      <c r="AB104">
        <v>140</v>
      </c>
      <c r="AC104">
        <v>0.57228915662699997</v>
      </c>
      <c r="AD104">
        <v>0.57926829268299995</v>
      </c>
      <c r="AE104">
        <v>0.57575757575800002</v>
      </c>
      <c r="AF104">
        <v>164</v>
      </c>
      <c r="AG104">
        <v>7.2207249681099997E-2</v>
      </c>
      <c r="AH104">
        <v>69</v>
      </c>
      <c r="AI104">
        <v>71</v>
      </c>
      <c r="AJ104">
        <v>69</v>
      </c>
      <c r="AK104">
        <v>95</v>
      </c>
      <c r="AL104">
        <v>0.51271777003499996</v>
      </c>
      <c r="AM104">
        <v>0.54678821202299999</v>
      </c>
      <c r="AN104">
        <v>0</v>
      </c>
      <c r="AO104" t="s">
        <v>182</v>
      </c>
      <c r="AP104" t="s">
        <v>182</v>
      </c>
      <c r="AQ104" t="s">
        <v>182</v>
      </c>
      <c r="AR104" t="s">
        <v>182</v>
      </c>
      <c r="AS104" t="s">
        <v>182</v>
      </c>
      <c r="AT104" t="s">
        <v>182</v>
      </c>
      <c r="AU104" t="s">
        <v>182</v>
      </c>
      <c r="AV104" t="s">
        <v>182</v>
      </c>
      <c r="AW104" t="s">
        <v>182</v>
      </c>
      <c r="AX104" t="s">
        <v>182</v>
      </c>
      <c r="AY104" t="s">
        <v>182</v>
      </c>
      <c r="AZ104" t="s">
        <v>182</v>
      </c>
    </row>
    <row r="105" spans="1:52" x14ac:dyDescent="0.25">
      <c r="A105" t="s">
        <v>204</v>
      </c>
      <c r="B105" t="s">
        <v>53</v>
      </c>
      <c r="C105">
        <v>60</v>
      </c>
      <c r="D105">
        <v>30</v>
      </c>
      <c r="E105" t="s">
        <v>54</v>
      </c>
      <c r="F105" t="s">
        <v>55</v>
      </c>
      <c r="G105" t="s">
        <v>65</v>
      </c>
      <c r="H105" t="s">
        <v>205</v>
      </c>
      <c r="I105">
        <v>48</v>
      </c>
      <c r="J105">
        <v>48</v>
      </c>
      <c r="K105">
        <v>42</v>
      </c>
      <c r="L105">
        <v>42</v>
      </c>
      <c r="M105" t="b">
        <v>1</v>
      </c>
      <c r="N105" t="b">
        <v>1</v>
      </c>
      <c r="O105">
        <v>726.10257339999998</v>
      </c>
      <c r="P105">
        <v>681</v>
      </c>
      <c r="Q105">
        <v>314</v>
      </c>
      <c r="R105">
        <v>367</v>
      </c>
      <c r="S105" t="b">
        <v>1</v>
      </c>
      <c r="T105">
        <v>0.53597650513999995</v>
      </c>
      <c r="U105">
        <v>0.53360870546200001</v>
      </c>
      <c r="V105">
        <v>0.53355163989800003</v>
      </c>
      <c r="W105">
        <v>0.53360870546200001</v>
      </c>
      <c r="X105">
        <v>0.53356164383600002</v>
      </c>
      <c r="Y105">
        <v>0.49685534591199998</v>
      </c>
      <c r="Z105">
        <v>0.50318471337600001</v>
      </c>
      <c r="AA105">
        <v>0.5</v>
      </c>
      <c r="AB105">
        <v>314</v>
      </c>
      <c r="AC105">
        <v>0.57024793388399997</v>
      </c>
      <c r="AD105">
        <v>0.56403269754800001</v>
      </c>
      <c r="AE105">
        <v>0.56712328767099995</v>
      </c>
      <c r="AF105">
        <v>367</v>
      </c>
      <c r="AG105">
        <v>6.7160321115800004E-2</v>
      </c>
      <c r="AH105">
        <v>158</v>
      </c>
      <c r="AI105">
        <v>156</v>
      </c>
      <c r="AJ105">
        <v>160</v>
      </c>
      <c r="AK105">
        <v>207</v>
      </c>
      <c r="AL105">
        <v>0.53813846127099996</v>
      </c>
      <c r="AM105">
        <v>0.57270694344899997</v>
      </c>
      <c r="AN105">
        <v>0</v>
      </c>
      <c r="AO105" t="s">
        <v>182</v>
      </c>
      <c r="AP105" t="s">
        <v>182</v>
      </c>
      <c r="AQ105" t="s">
        <v>182</v>
      </c>
      <c r="AR105" t="s">
        <v>182</v>
      </c>
      <c r="AS105" t="s">
        <v>182</v>
      </c>
      <c r="AT105" t="s">
        <v>182</v>
      </c>
      <c r="AU105" t="s">
        <v>182</v>
      </c>
      <c r="AV105" t="s">
        <v>182</v>
      </c>
      <c r="AW105" t="s">
        <v>182</v>
      </c>
      <c r="AX105" t="s">
        <v>182</v>
      </c>
      <c r="AY105" t="s">
        <v>182</v>
      </c>
      <c r="AZ105" t="s">
        <v>182</v>
      </c>
    </row>
    <row r="106" spans="1:52" x14ac:dyDescent="0.25">
      <c r="A106" t="s">
        <v>210</v>
      </c>
      <c r="B106" t="s">
        <v>53</v>
      </c>
      <c r="C106">
        <v>60</v>
      </c>
      <c r="D106">
        <v>30</v>
      </c>
      <c r="E106" t="s">
        <v>54</v>
      </c>
      <c r="F106" t="s">
        <v>85</v>
      </c>
      <c r="G106" t="s">
        <v>70</v>
      </c>
      <c r="H106" t="s">
        <v>203</v>
      </c>
      <c r="I106">
        <v>48</v>
      </c>
      <c r="J106">
        <v>96</v>
      </c>
      <c r="K106">
        <v>42</v>
      </c>
      <c r="L106">
        <v>42</v>
      </c>
      <c r="M106" t="b">
        <v>1</v>
      </c>
      <c r="N106" t="b">
        <v>1</v>
      </c>
      <c r="O106">
        <v>261.392357</v>
      </c>
      <c r="P106">
        <v>304</v>
      </c>
      <c r="Q106">
        <v>140</v>
      </c>
      <c r="R106">
        <v>164</v>
      </c>
      <c r="S106" t="b">
        <v>1</v>
      </c>
      <c r="T106">
        <v>0.53289473684199995</v>
      </c>
      <c r="U106">
        <v>0.534146341463</v>
      </c>
      <c r="V106">
        <v>0.533957033957</v>
      </c>
      <c r="W106">
        <v>0.534146341463</v>
      </c>
      <c r="X106">
        <v>0.53257103257100002</v>
      </c>
      <c r="Y106">
        <v>0.49358974359000002</v>
      </c>
      <c r="Z106">
        <v>0.55000000000000004</v>
      </c>
      <c r="AA106">
        <v>0.52027027026999995</v>
      </c>
      <c r="AB106">
        <v>140</v>
      </c>
      <c r="AC106">
        <v>0.57432432432400005</v>
      </c>
      <c r="AD106">
        <v>0.51829268292700004</v>
      </c>
      <c r="AE106">
        <v>0.54487179487199999</v>
      </c>
      <c r="AF106">
        <v>164</v>
      </c>
      <c r="AG106">
        <v>6.8103112310099995E-2</v>
      </c>
      <c r="AH106">
        <v>77</v>
      </c>
      <c r="AI106">
        <v>63</v>
      </c>
      <c r="AJ106">
        <v>79</v>
      </c>
      <c r="AK106">
        <v>85</v>
      </c>
      <c r="AL106">
        <v>0.52682926829300003</v>
      </c>
      <c r="AM106">
        <v>0.560202837043</v>
      </c>
      <c r="AN106">
        <v>0</v>
      </c>
      <c r="AO106" t="s">
        <v>182</v>
      </c>
      <c r="AP106" t="s">
        <v>182</v>
      </c>
      <c r="AQ106" t="s">
        <v>182</v>
      </c>
      <c r="AR106" t="s">
        <v>182</v>
      </c>
      <c r="AS106" t="s">
        <v>182</v>
      </c>
      <c r="AT106" t="s">
        <v>182</v>
      </c>
      <c r="AU106" t="s">
        <v>182</v>
      </c>
      <c r="AV106" t="s">
        <v>182</v>
      </c>
      <c r="AW106" t="s">
        <v>182</v>
      </c>
      <c r="AX106" t="s">
        <v>182</v>
      </c>
      <c r="AY106" t="s">
        <v>182</v>
      </c>
      <c r="AZ106" t="s">
        <v>182</v>
      </c>
    </row>
    <row r="107" spans="1:52" x14ac:dyDescent="0.25">
      <c r="A107" t="s">
        <v>214</v>
      </c>
      <c r="B107" t="s">
        <v>53</v>
      </c>
      <c r="C107">
        <v>60</v>
      </c>
      <c r="D107">
        <v>30</v>
      </c>
      <c r="E107" t="s">
        <v>106</v>
      </c>
      <c r="F107" t="s">
        <v>55</v>
      </c>
      <c r="G107" t="s">
        <v>70</v>
      </c>
      <c r="H107" t="s">
        <v>203</v>
      </c>
      <c r="I107">
        <v>48</v>
      </c>
      <c r="J107">
        <v>48</v>
      </c>
      <c r="K107">
        <v>42</v>
      </c>
      <c r="L107">
        <v>42</v>
      </c>
      <c r="M107" t="b">
        <v>1</v>
      </c>
      <c r="N107" t="b">
        <v>1</v>
      </c>
      <c r="O107">
        <v>490.47148149999998</v>
      </c>
      <c r="P107">
        <v>624</v>
      </c>
      <c r="Q107">
        <v>333</v>
      </c>
      <c r="R107">
        <v>291</v>
      </c>
      <c r="S107" t="b">
        <v>1</v>
      </c>
      <c r="T107">
        <v>0.52724358974399999</v>
      </c>
      <c r="U107">
        <v>0.525850592861</v>
      </c>
      <c r="V107">
        <v>0.52578539959600001</v>
      </c>
      <c r="W107">
        <v>0.525850592861</v>
      </c>
      <c r="X107">
        <v>0.52575157606199996</v>
      </c>
      <c r="Y107">
        <v>0.55828220858900002</v>
      </c>
      <c r="Z107">
        <v>0.54654654654699997</v>
      </c>
      <c r="AA107">
        <v>0.55235204855800002</v>
      </c>
      <c r="AB107">
        <v>333</v>
      </c>
      <c r="AC107">
        <v>0.49328859060399999</v>
      </c>
      <c r="AD107">
        <v>0.50515463917500003</v>
      </c>
      <c r="AE107">
        <v>0.49915110356499998</v>
      </c>
      <c r="AF107">
        <v>291</v>
      </c>
      <c r="AG107">
        <v>5.1635951302299997E-2</v>
      </c>
      <c r="AH107">
        <v>182</v>
      </c>
      <c r="AI107">
        <v>151</v>
      </c>
      <c r="AJ107">
        <v>144</v>
      </c>
      <c r="AK107">
        <v>147</v>
      </c>
      <c r="AL107">
        <v>0.52253284211999995</v>
      </c>
      <c r="AM107">
        <v>0.49778788077000002</v>
      </c>
      <c r="AN107">
        <v>0</v>
      </c>
      <c r="AO107" t="s">
        <v>182</v>
      </c>
      <c r="AP107" t="s">
        <v>182</v>
      </c>
      <c r="AQ107" t="s">
        <v>182</v>
      </c>
      <c r="AR107" t="s">
        <v>182</v>
      </c>
      <c r="AS107" t="s">
        <v>182</v>
      </c>
      <c r="AT107" t="s">
        <v>182</v>
      </c>
      <c r="AU107" t="s">
        <v>182</v>
      </c>
      <c r="AV107" t="s">
        <v>182</v>
      </c>
      <c r="AW107" t="s">
        <v>182</v>
      </c>
      <c r="AX107" t="s">
        <v>182</v>
      </c>
      <c r="AY107" t="s">
        <v>182</v>
      </c>
      <c r="AZ107" t="s">
        <v>182</v>
      </c>
    </row>
    <row r="108" spans="1:52" x14ac:dyDescent="0.25">
      <c r="A108" t="s">
        <v>213</v>
      </c>
      <c r="B108" t="s">
        <v>53</v>
      </c>
      <c r="C108">
        <v>60</v>
      </c>
      <c r="D108">
        <v>30</v>
      </c>
      <c r="E108" t="s">
        <v>106</v>
      </c>
      <c r="F108" t="s">
        <v>55</v>
      </c>
      <c r="G108" t="s">
        <v>65</v>
      </c>
      <c r="H108" t="s">
        <v>205</v>
      </c>
      <c r="I108">
        <v>48</v>
      </c>
      <c r="J108">
        <v>48</v>
      </c>
      <c r="K108">
        <v>42</v>
      </c>
      <c r="L108">
        <v>42</v>
      </c>
      <c r="M108" t="b">
        <v>1</v>
      </c>
      <c r="N108" t="b">
        <v>1</v>
      </c>
      <c r="O108">
        <v>625.09641829999998</v>
      </c>
      <c r="P108">
        <v>624</v>
      </c>
      <c r="Q108">
        <v>333</v>
      </c>
      <c r="R108">
        <v>291</v>
      </c>
      <c r="S108" t="b">
        <v>1</v>
      </c>
      <c r="T108">
        <v>0.52243589743600005</v>
      </c>
      <c r="U108">
        <v>0.52264635769800005</v>
      </c>
      <c r="V108">
        <v>0.52254399391799999</v>
      </c>
      <c r="W108">
        <v>0.52264635769800005</v>
      </c>
      <c r="X108">
        <v>0.52194479865099996</v>
      </c>
      <c r="Y108">
        <v>0.55627009646299996</v>
      </c>
      <c r="Z108">
        <v>0.51951951951999997</v>
      </c>
      <c r="AA108">
        <v>0.53726708074499996</v>
      </c>
      <c r="AB108">
        <v>333</v>
      </c>
      <c r="AC108">
        <v>0.488817891374</v>
      </c>
      <c r="AD108">
        <v>0.52577319587600002</v>
      </c>
      <c r="AE108">
        <v>0.50662251655599999</v>
      </c>
      <c r="AF108">
        <v>291</v>
      </c>
      <c r="AG108">
        <v>4.5190235680499999E-2</v>
      </c>
      <c r="AH108">
        <v>173</v>
      </c>
      <c r="AI108">
        <v>160</v>
      </c>
      <c r="AJ108">
        <v>138</v>
      </c>
      <c r="AK108">
        <v>153</v>
      </c>
      <c r="AL108">
        <v>0.50116095476900002</v>
      </c>
      <c r="AM108">
        <v>0.48029025479199999</v>
      </c>
      <c r="AN108">
        <v>0</v>
      </c>
      <c r="AO108" t="s">
        <v>182</v>
      </c>
      <c r="AP108" t="s">
        <v>182</v>
      </c>
      <c r="AQ108" t="s">
        <v>182</v>
      </c>
      <c r="AR108" t="s">
        <v>182</v>
      </c>
      <c r="AS108" t="s">
        <v>182</v>
      </c>
      <c r="AT108" t="s">
        <v>182</v>
      </c>
      <c r="AU108" t="s">
        <v>182</v>
      </c>
      <c r="AV108" t="s">
        <v>182</v>
      </c>
      <c r="AW108" t="s">
        <v>182</v>
      </c>
      <c r="AX108" t="s">
        <v>182</v>
      </c>
      <c r="AY108" t="s">
        <v>182</v>
      </c>
      <c r="AZ108" t="s">
        <v>182</v>
      </c>
    </row>
    <row r="109" spans="1:52" x14ac:dyDescent="0.25">
      <c r="A109" t="s">
        <v>215</v>
      </c>
      <c r="B109" t="s">
        <v>53</v>
      </c>
      <c r="C109">
        <v>60</v>
      </c>
      <c r="D109">
        <v>30</v>
      </c>
      <c r="E109" t="s">
        <v>106</v>
      </c>
      <c r="F109" t="s">
        <v>55</v>
      </c>
      <c r="G109" t="s">
        <v>70</v>
      </c>
      <c r="H109" t="s">
        <v>205</v>
      </c>
      <c r="I109">
        <v>48</v>
      </c>
      <c r="J109">
        <v>48</v>
      </c>
      <c r="K109">
        <v>42</v>
      </c>
      <c r="L109">
        <v>42</v>
      </c>
      <c r="M109" t="b">
        <v>1</v>
      </c>
      <c r="N109" t="b">
        <v>1</v>
      </c>
      <c r="O109">
        <v>611.4729883</v>
      </c>
      <c r="P109">
        <v>624</v>
      </c>
      <c r="Q109">
        <v>333</v>
      </c>
      <c r="R109">
        <v>291</v>
      </c>
      <c r="S109" t="b">
        <v>1</v>
      </c>
      <c r="T109">
        <v>0.51602564102600001</v>
      </c>
      <c r="U109">
        <v>0.51468994767999998</v>
      </c>
      <c r="V109">
        <v>0.51464882943099999</v>
      </c>
      <c r="W109">
        <v>0.51468994767999998</v>
      </c>
      <c r="X109">
        <v>0.51458451393500004</v>
      </c>
      <c r="Y109">
        <v>0.54769230769199995</v>
      </c>
      <c r="Z109">
        <v>0.53453453453499999</v>
      </c>
      <c r="AA109">
        <v>0.54103343464999998</v>
      </c>
      <c r="AB109">
        <v>333</v>
      </c>
      <c r="AC109">
        <v>0.48160535117100001</v>
      </c>
      <c r="AD109">
        <v>0.49484536082500002</v>
      </c>
      <c r="AE109">
        <v>0.48813559322</v>
      </c>
      <c r="AF109">
        <v>291</v>
      </c>
      <c r="AG109">
        <v>2.9338748297500002E-2</v>
      </c>
      <c r="AH109">
        <v>178</v>
      </c>
      <c r="AI109">
        <v>155</v>
      </c>
      <c r="AJ109">
        <v>147</v>
      </c>
      <c r="AK109">
        <v>144</v>
      </c>
      <c r="AL109">
        <v>0.547743619909</v>
      </c>
      <c r="AM109">
        <v>0.48308360783799997</v>
      </c>
      <c r="AN109">
        <v>0</v>
      </c>
      <c r="AO109" t="s">
        <v>182</v>
      </c>
      <c r="AP109" t="s">
        <v>182</v>
      </c>
      <c r="AQ109" t="s">
        <v>182</v>
      </c>
      <c r="AR109" t="s">
        <v>182</v>
      </c>
      <c r="AS109" t="s">
        <v>182</v>
      </c>
      <c r="AT109" t="s">
        <v>182</v>
      </c>
      <c r="AU109" t="s">
        <v>182</v>
      </c>
      <c r="AV109" t="s">
        <v>182</v>
      </c>
      <c r="AW109" t="s">
        <v>182</v>
      </c>
      <c r="AX109" t="s">
        <v>182</v>
      </c>
      <c r="AY109" t="s">
        <v>182</v>
      </c>
      <c r="AZ109" t="s">
        <v>182</v>
      </c>
    </row>
    <row r="110" spans="1:52" x14ac:dyDescent="0.25">
      <c r="A110" t="s">
        <v>208</v>
      </c>
      <c r="B110" t="s">
        <v>53</v>
      </c>
      <c r="C110">
        <v>60</v>
      </c>
      <c r="D110">
        <v>30</v>
      </c>
      <c r="E110" t="s">
        <v>54</v>
      </c>
      <c r="F110" t="s">
        <v>85</v>
      </c>
      <c r="G110" t="s">
        <v>65</v>
      </c>
      <c r="H110" t="s">
        <v>203</v>
      </c>
      <c r="I110">
        <v>48</v>
      </c>
      <c r="J110">
        <v>96</v>
      </c>
      <c r="K110">
        <v>42</v>
      </c>
      <c r="L110">
        <v>42</v>
      </c>
      <c r="M110" t="b">
        <v>1</v>
      </c>
      <c r="N110" t="b">
        <v>1</v>
      </c>
      <c r="O110">
        <v>283.67282890000001</v>
      </c>
      <c r="P110">
        <v>304</v>
      </c>
      <c r="Q110">
        <v>140</v>
      </c>
      <c r="R110">
        <v>164</v>
      </c>
      <c r="S110" t="b">
        <v>1</v>
      </c>
      <c r="T110">
        <v>0.51315789473700002</v>
      </c>
      <c r="U110">
        <v>0.51689895470400005</v>
      </c>
      <c r="V110">
        <v>0.51693731447500002</v>
      </c>
      <c r="W110">
        <v>0.51689895470400005</v>
      </c>
      <c r="X110">
        <v>0.51313682205800004</v>
      </c>
      <c r="Y110">
        <v>0.475903614458</v>
      </c>
      <c r="Z110">
        <v>0.56428571428600005</v>
      </c>
      <c r="AA110">
        <v>0.51633986928099995</v>
      </c>
      <c r="AB110">
        <v>140</v>
      </c>
      <c r="AC110">
        <v>0.55797101449300002</v>
      </c>
      <c r="AD110">
        <v>0.46951219512199999</v>
      </c>
      <c r="AE110">
        <v>0.50993377483400004</v>
      </c>
      <c r="AF110">
        <v>164</v>
      </c>
      <c r="AG110">
        <v>3.3836247435099998E-2</v>
      </c>
      <c r="AH110">
        <v>79</v>
      </c>
      <c r="AI110">
        <v>61</v>
      </c>
      <c r="AJ110">
        <v>87</v>
      </c>
      <c r="AK110">
        <v>77</v>
      </c>
      <c r="AL110">
        <v>0.49834494773499999</v>
      </c>
      <c r="AM110">
        <v>0.55622024032799999</v>
      </c>
      <c r="AN110">
        <v>0</v>
      </c>
      <c r="AO110" t="s">
        <v>182</v>
      </c>
      <c r="AP110" t="s">
        <v>182</v>
      </c>
      <c r="AQ110" t="s">
        <v>182</v>
      </c>
      <c r="AR110" t="s">
        <v>182</v>
      </c>
      <c r="AS110" t="s">
        <v>182</v>
      </c>
      <c r="AT110" t="s">
        <v>182</v>
      </c>
      <c r="AU110" t="s">
        <v>182</v>
      </c>
      <c r="AV110" t="s">
        <v>182</v>
      </c>
      <c r="AW110" t="s">
        <v>182</v>
      </c>
      <c r="AX110" t="s">
        <v>182</v>
      </c>
      <c r="AY110" t="s">
        <v>182</v>
      </c>
      <c r="AZ110" t="s">
        <v>182</v>
      </c>
    </row>
    <row r="111" spans="1:52" x14ac:dyDescent="0.25">
      <c r="A111" t="s">
        <v>219</v>
      </c>
      <c r="B111" t="s">
        <v>53</v>
      </c>
      <c r="C111">
        <v>60</v>
      </c>
      <c r="D111">
        <v>30</v>
      </c>
      <c r="E111" t="s">
        <v>106</v>
      </c>
      <c r="F111" t="s">
        <v>85</v>
      </c>
      <c r="G111" t="s">
        <v>70</v>
      </c>
      <c r="H111" t="s">
        <v>205</v>
      </c>
      <c r="I111">
        <v>48</v>
      </c>
      <c r="J111">
        <v>96</v>
      </c>
      <c r="K111">
        <v>42</v>
      </c>
      <c r="L111">
        <v>42</v>
      </c>
      <c r="M111" t="b">
        <v>1</v>
      </c>
      <c r="N111" t="b">
        <v>1</v>
      </c>
      <c r="O111">
        <v>272.6037814</v>
      </c>
      <c r="P111">
        <v>278</v>
      </c>
      <c r="Q111">
        <v>151</v>
      </c>
      <c r="R111">
        <v>127</v>
      </c>
      <c r="S111" t="b">
        <v>1</v>
      </c>
      <c r="T111">
        <v>0.48920863309399998</v>
      </c>
      <c r="U111">
        <v>0.48036710643000002</v>
      </c>
      <c r="V111">
        <v>0.479689270108</v>
      </c>
      <c r="W111">
        <v>0.48036710643000002</v>
      </c>
      <c r="X111">
        <v>0.478410232017</v>
      </c>
      <c r="Y111">
        <v>0.52694610778399997</v>
      </c>
      <c r="Z111">
        <v>0.58278145695399997</v>
      </c>
      <c r="AA111">
        <v>0.553459119497</v>
      </c>
      <c r="AB111">
        <v>151</v>
      </c>
      <c r="AC111">
        <v>0.43243243243200002</v>
      </c>
      <c r="AD111">
        <v>0.37795275590600003</v>
      </c>
      <c r="AE111">
        <v>0.40336134453799999</v>
      </c>
      <c r="AF111">
        <v>127</v>
      </c>
      <c r="AG111">
        <v>-3.9937871665799998E-2</v>
      </c>
      <c r="AH111">
        <v>88</v>
      </c>
      <c r="AI111">
        <v>63</v>
      </c>
      <c r="AJ111">
        <v>79</v>
      </c>
      <c r="AK111">
        <v>48</v>
      </c>
      <c r="AL111">
        <v>0.45121760442199998</v>
      </c>
      <c r="AM111">
        <v>0.41659887502699999</v>
      </c>
      <c r="AN111">
        <v>0</v>
      </c>
      <c r="AO111" t="s">
        <v>182</v>
      </c>
      <c r="AP111" t="s">
        <v>182</v>
      </c>
      <c r="AQ111" t="s">
        <v>182</v>
      </c>
      <c r="AR111" t="s">
        <v>182</v>
      </c>
      <c r="AS111" t="s">
        <v>182</v>
      </c>
      <c r="AT111" t="s">
        <v>182</v>
      </c>
      <c r="AU111" t="s">
        <v>182</v>
      </c>
      <c r="AV111" t="s">
        <v>182</v>
      </c>
      <c r="AW111" t="s">
        <v>182</v>
      </c>
      <c r="AX111" t="s">
        <v>182</v>
      </c>
      <c r="AY111" t="s">
        <v>182</v>
      </c>
      <c r="AZ111" t="s">
        <v>182</v>
      </c>
    </row>
    <row r="112" spans="1:52" x14ac:dyDescent="0.25">
      <c r="A112" t="s">
        <v>217</v>
      </c>
      <c r="B112" t="s">
        <v>53</v>
      </c>
      <c r="C112">
        <v>60</v>
      </c>
      <c r="D112">
        <v>30</v>
      </c>
      <c r="E112" t="s">
        <v>106</v>
      </c>
      <c r="F112" t="s">
        <v>85</v>
      </c>
      <c r="G112" t="s">
        <v>65</v>
      </c>
      <c r="H112" t="s">
        <v>205</v>
      </c>
      <c r="I112">
        <v>48</v>
      </c>
      <c r="J112">
        <v>96</v>
      </c>
      <c r="K112">
        <v>42</v>
      </c>
      <c r="L112">
        <v>42</v>
      </c>
      <c r="M112" t="b">
        <v>1</v>
      </c>
      <c r="N112" t="b">
        <v>1</v>
      </c>
      <c r="O112">
        <v>275.54087379999999</v>
      </c>
      <c r="P112">
        <v>278</v>
      </c>
      <c r="Q112">
        <v>151</v>
      </c>
      <c r="R112">
        <v>127</v>
      </c>
      <c r="S112" t="b">
        <v>1</v>
      </c>
      <c r="T112">
        <v>0.48561151079100001</v>
      </c>
      <c r="U112">
        <v>0.48331334410999999</v>
      </c>
      <c r="V112">
        <v>0.48339559983399999</v>
      </c>
      <c r="W112">
        <v>0.48331334410999999</v>
      </c>
      <c r="X112">
        <v>0.48319748319700001</v>
      </c>
      <c r="Y112">
        <v>0.52739726027400002</v>
      </c>
      <c r="Z112">
        <v>0.50993377483400004</v>
      </c>
      <c r="AA112">
        <v>0.51851851851899999</v>
      </c>
      <c r="AB112">
        <v>151</v>
      </c>
      <c r="AC112">
        <v>0.43939393939400001</v>
      </c>
      <c r="AD112">
        <v>0.45669291338599999</v>
      </c>
      <c r="AE112">
        <v>0.44787644787600001</v>
      </c>
      <c r="AF112">
        <v>127</v>
      </c>
      <c r="AG112">
        <v>-3.3290954436799997E-2</v>
      </c>
      <c r="AH112">
        <v>77</v>
      </c>
      <c r="AI112">
        <v>74</v>
      </c>
      <c r="AJ112">
        <v>69</v>
      </c>
      <c r="AK112">
        <v>58</v>
      </c>
      <c r="AL112">
        <v>0.460186681963</v>
      </c>
      <c r="AM112">
        <v>0.447469492769</v>
      </c>
      <c r="AN112">
        <v>0</v>
      </c>
      <c r="AO112" t="s">
        <v>182</v>
      </c>
      <c r="AP112" t="s">
        <v>182</v>
      </c>
      <c r="AQ112" t="s">
        <v>182</v>
      </c>
      <c r="AR112" t="s">
        <v>182</v>
      </c>
      <c r="AS112" t="s">
        <v>182</v>
      </c>
      <c r="AT112" t="s">
        <v>182</v>
      </c>
      <c r="AU112" t="s">
        <v>182</v>
      </c>
      <c r="AV112" t="s">
        <v>182</v>
      </c>
      <c r="AW112" t="s">
        <v>182</v>
      </c>
      <c r="AX112" t="s">
        <v>182</v>
      </c>
      <c r="AY112" t="s">
        <v>182</v>
      </c>
      <c r="AZ112" t="s">
        <v>182</v>
      </c>
    </row>
    <row r="113" spans="1:52" x14ac:dyDescent="0.25">
      <c r="A113" t="s">
        <v>212</v>
      </c>
      <c r="B113" t="s">
        <v>53</v>
      </c>
      <c r="C113">
        <v>60</v>
      </c>
      <c r="D113">
        <v>30</v>
      </c>
      <c r="E113" t="s">
        <v>106</v>
      </c>
      <c r="F113" t="s">
        <v>55</v>
      </c>
      <c r="G113" t="s">
        <v>65</v>
      </c>
      <c r="H113" t="s">
        <v>203</v>
      </c>
      <c r="I113">
        <v>48</v>
      </c>
      <c r="J113">
        <v>48</v>
      </c>
      <c r="K113">
        <v>42</v>
      </c>
      <c r="L113">
        <v>42</v>
      </c>
      <c r="M113" t="b">
        <v>1</v>
      </c>
      <c r="N113" t="b">
        <v>1</v>
      </c>
      <c r="O113">
        <v>489.52863930000001</v>
      </c>
      <c r="P113">
        <v>624</v>
      </c>
      <c r="Q113">
        <v>333</v>
      </c>
      <c r="R113">
        <v>291</v>
      </c>
      <c r="S113" t="b">
        <v>1</v>
      </c>
      <c r="T113">
        <v>0.48237179487199999</v>
      </c>
      <c r="U113">
        <v>0.48099130057900003</v>
      </c>
      <c r="V113">
        <v>0.48104938271600001</v>
      </c>
      <c r="W113">
        <v>0.48099130057900003</v>
      </c>
      <c r="X113">
        <v>0.480920041104</v>
      </c>
      <c r="Y113">
        <v>0.51543209876499996</v>
      </c>
      <c r="Z113">
        <v>0.50150150150200001</v>
      </c>
      <c r="AA113">
        <v>0.50837138508400004</v>
      </c>
      <c r="AB113">
        <v>333</v>
      </c>
      <c r="AC113">
        <v>0.446666666667</v>
      </c>
      <c r="AD113">
        <v>0.46048109965599998</v>
      </c>
      <c r="AE113">
        <v>0.45346869712400001</v>
      </c>
      <c r="AF113">
        <v>291</v>
      </c>
      <c r="AG113">
        <v>-3.7959272268799998E-2</v>
      </c>
      <c r="AH113">
        <v>167</v>
      </c>
      <c r="AI113">
        <v>166</v>
      </c>
      <c r="AJ113">
        <v>157</v>
      </c>
      <c r="AK113">
        <v>134</v>
      </c>
      <c r="AL113">
        <v>0.478591994056</v>
      </c>
      <c r="AM113">
        <v>0.44249438648599998</v>
      </c>
      <c r="AN113">
        <v>0</v>
      </c>
      <c r="AO113" t="s">
        <v>182</v>
      </c>
      <c r="AP113" t="s">
        <v>182</v>
      </c>
      <c r="AQ113" t="s">
        <v>182</v>
      </c>
      <c r="AR113" t="s">
        <v>182</v>
      </c>
      <c r="AS113" t="s">
        <v>182</v>
      </c>
      <c r="AT113" t="s">
        <v>182</v>
      </c>
      <c r="AU113" t="s">
        <v>182</v>
      </c>
      <c r="AV113" t="s">
        <v>182</v>
      </c>
      <c r="AW113" t="s">
        <v>182</v>
      </c>
      <c r="AX113" t="s">
        <v>182</v>
      </c>
      <c r="AY113" t="s">
        <v>182</v>
      </c>
      <c r="AZ113" t="s">
        <v>182</v>
      </c>
    </row>
    <row r="114" spans="1:52" x14ac:dyDescent="0.25">
      <c r="A114" t="s">
        <v>207</v>
      </c>
      <c r="B114" t="s">
        <v>53</v>
      </c>
      <c r="C114">
        <v>60</v>
      </c>
      <c r="D114">
        <v>30</v>
      </c>
      <c r="E114" t="s">
        <v>54</v>
      </c>
      <c r="F114" t="s">
        <v>55</v>
      </c>
      <c r="G114" t="s">
        <v>70</v>
      </c>
      <c r="H114" t="s">
        <v>205</v>
      </c>
      <c r="I114">
        <v>48</v>
      </c>
      <c r="J114">
        <v>48</v>
      </c>
      <c r="K114">
        <v>42</v>
      </c>
      <c r="L114">
        <v>42</v>
      </c>
      <c r="M114" t="b">
        <v>1</v>
      </c>
      <c r="N114" t="b">
        <v>1</v>
      </c>
      <c r="O114">
        <v>717.46456790000002</v>
      </c>
      <c r="P114">
        <v>681</v>
      </c>
      <c r="Q114">
        <v>314</v>
      </c>
      <c r="R114">
        <v>367</v>
      </c>
      <c r="S114" t="b">
        <v>1</v>
      </c>
      <c r="T114">
        <v>0.48164464023499998</v>
      </c>
      <c r="U114">
        <v>0.47607126121600002</v>
      </c>
      <c r="V114">
        <v>0.47574416804500003</v>
      </c>
      <c r="W114">
        <v>0.47607126121600002</v>
      </c>
      <c r="X114">
        <v>0.47545086572799999</v>
      </c>
      <c r="Y114">
        <v>0.43344709897599998</v>
      </c>
      <c r="Z114">
        <v>0.40445859872599998</v>
      </c>
      <c r="AA114">
        <v>0.41845140032900002</v>
      </c>
      <c r="AB114">
        <v>314</v>
      </c>
      <c r="AC114">
        <v>0.51804123711299999</v>
      </c>
      <c r="AD114">
        <v>0.54768392370600005</v>
      </c>
      <c r="AE114">
        <v>0.53245033112600004</v>
      </c>
      <c r="AF114">
        <v>367</v>
      </c>
      <c r="AG114">
        <v>-4.8183460517000003E-2</v>
      </c>
      <c r="AH114">
        <v>127</v>
      </c>
      <c r="AI114">
        <v>187</v>
      </c>
      <c r="AJ114">
        <v>166</v>
      </c>
      <c r="AK114">
        <v>201</v>
      </c>
      <c r="AL114">
        <v>0.47876568492999999</v>
      </c>
      <c r="AM114">
        <v>0.52744302610600002</v>
      </c>
      <c r="AN114">
        <v>0</v>
      </c>
      <c r="AO114" t="s">
        <v>182</v>
      </c>
      <c r="AP114" t="s">
        <v>182</v>
      </c>
      <c r="AQ114" t="s">
        <v>182</v>
      </c>
      <c r="AR114" t="s">
        <v>182</v>
      </c>
      <c r="AS114" t="s">
        <v>182</v>
      </c>
      <c r="AT114" t="s">
        <v>182</v>
      </c>
      <c r="AU114" t="s">
        <v>182</v>
      </c>
      <c r="AV114" t="s">
        <v>182</v>
      </c>
      <c r="AW114" t="s">
        <v>182</v>
      </c>
      <c r="AX114" t="s">
        <v>182</v>
      </c>
      <c r="AY114" t="s">
        <v>182</v>
      </c>
      <c r="AZ114" t="s">
        <v>182</v>
      </c>
    </row>
    <row r="115" spans="1:52" x14ac:dyDescent="0.25">
      <c r="A115" t="s">
        <v>216</v>
      </c>
      <c r="B115" t="s">
        <v>53</v>
      </c>
      <c r="C115">
        <v>60</v>
      </c>
      <c r="D115">
        <v>30</v>
      </c>
      <c r="E115" t="s">
        <v>106</v>
      </c>
      <c r="F115" t="s">
        <v>85</v>
      </c>
      <c r="G115" t="s">
        <v>65</v>
      </c>
      <c r="H115" t="s">
        <v>203</v>
      </c>
      <c r="I115">
        <v>48</v>
      </c>
      <c r="J115">
        <v>96</v>
      </c>
      <c r="K115">
        <v>42</v>
      </c>
      <c r="L115">
        <v>42</v>
      </c>
      <c r="M115" t="b">
        <v>1</v>
      </c>
      <c r="N115" t="b">
        <v>1</v>
      </c>
      <c r="O115">
        <v>220.84964310000001</v>
      </c>
      <c r="P115">
        <v>278</v>
      </c>
      <c r="Q115">
        <v>151</v>
      </c>
      <c r="R115">
        <v>127</v>
      </c>
      <c r="S115" t="b">
        <v>1</v>
      </c>
      <c r="T115">
        <v>0.47482014388499999</v>
      </c>
      <c r="U115">
        <v>0.471502320488</v>
      </c>
      <c r="V115">
        <v>0.47156755631899999</v>
      </c>
      <c r="W115">
        <v>0.471502320488</v>
      </c>
      <c r="X115">
        <v>0.471510416667</v>
      </c>
      <c r="Y115">
        <v>0.51677852348999997</v>
      </c>
      <c r="Z115">
        <v>0.50993377483400004</v>
      </c>
      <c r="AA115">
        <v>0.51333333333300002</v>
      </c>
      <c r="AB115">
        <v>151</v>
      </c>
      <c r="AC115">
        <v>0.42635658914699998</v>
      </c>
      <c r="AD115">
        <v>0.43307086614200002</v>
      </c>
      <c r="AE115">
        <v>0.4296875</v>
      </c>
      <c r="AF115">
        <v>127</v>
      </c>
      <c r="AG115">
        <v>-5.6930085816699998E-2</v>
      </c>
      <c r="AH115">
        <v>77</v>
      </c>
      <c r="AI115">
        <v>74</v>
      </c>
      <c r="AJ115">
        <v>72</v>
      </c>
      <c r="AK115">
        <v>55</v>
      </c>
      <c r="AL115">
        <v>0.454711372999</v>
      </c>
      <c r="AM115">
        <v>0.42870815076899998</v>
      </c>
      <c r="AN115">
        <v>0</v>
      </c>
      <c r="AO115" t="s">
        <v>182</v>
      </c>
      <c r="AP115" t="s">
        <v>182</v>
      </c>
      <c r="AQ115" t="s">
        <v>182</v>
      </c>
      <c r="AR115" t="s">
        <v>182</v>
      </c>
      <c r="AS115" t="s">
        <v>182</v>
      </c>
      <c r="AT115" t="s">
        <v>182</v>
      </c>
      <c r="AU115" t="s">
        <v>182</v>
      </c>
      <c r="AV115" t="s">
        <v>182</v>
      </c>
      <c r="AW115" t="s">
        <v>182</v>
      </c>
      <c r="AX115" t="s">
        <v>182</v>
      </c>
      <c r="AY115" t="s">
        <v>182</v>
      </c>
      <c r="AZ115" t="s">
        <v>182</v>
      </c>
    </row>
    <row r="116" spans="1:52" x14ac:dyDescent="0.25">
      <c r="A116" t="s">
        <v>206</v>
      </c>
      <c r="B116" t="s">
        <v>53</v>
      </c>
      <c r="C116">
        <v>60</v>
      </c>
      <c r="D116">
        <v>30</v>
      </c>
      <c r="E116" t="s">
        <v>54</v>
      </c>
      <c r="F116" t="s">
        <v>55</v>
      </c>
      <c r="G116" t="s">
        <v>70</v>
      </c>
      <c r="H116" t="s">
        <v>203</v>
      </c>
      <c r="I116">
        <v>48</v>
      </c>
      <c r="J116">
        <v>48</v>
      </c>
      <c r="K116">
        <v>42</v>
      </c>
      <c r="L116">
        <v>42</v>
      </c>
      <c r="M116" t="b">
        <v>1</v>
      </c>
      <c r="N116" t="b">
        <v>1</v>
      </c>
      <c r="O116">
        <v>581.61049709999998</v>
      </c>
      <c r="P116">
        <v>681</v>
      </c>
      <c r="Q116">
        <v>314</v>
      </c>
      <c r="R116">
        <v>367</v>
      </c>
      <c r="S116" t="b">
        <v>1</v>
      </c>
      <c r="T116">
        <v>0.47430249632900001</v>
      </c>
      <c r="U116">
        <v>0.47592807927899999</v>
      </c>
      <c r="V116">
        <v>0.47602420051900002</v>
      </c>
      <c r="W116">
        <v>0.47592807927899999</v>
      </c>
      <c r="X116">
        <v>0.47416530066399998</v>
      </c>
      <c r="Y116">
        <v>0.43820224719099998</v>
      </c>
      <c r="Z116">
        <v>0.49681528662399999</v>
      </c>
      <c r="AA116">
        <v>0.46567164179100001</v>
      </c>
      <c r="AB116">
        <v>314</v>
      </c>
      <c r="AC116">
        <v>0.51384615384599996</v>
      </c>
      <c r="AD116">
        <v>0.45504087193499998</v>
      </c>
      <c r="AE116">
        <v>0.48265895953799998</v>
      </c>
      <c r="AF116">
        <v>367</v>
      </c>
      <c r="AG116">
        <v>-4.8047624054899998E-2</v>
      </c>
      <c r="AH116">
        <v>156</v>
      </c>
      <c r="AI116">
        <v>158</v>
      </c>
      <c r="AJ116">
        <v>200</v>
      </c>
      <c r="AK116">
        <v>167</v>
      </c>
      <c r="AL116">
        <v>0.47614502160700001</v>
      </c>
      <c r="AM116">
        <v>0.52889246918300004</v>
      </c>
      <c r="AN116">
        <v>0</v>
      </c>
      <c r="AO116" t="s">
        <v>182</v>
      </c>
      <c r="AP116" t="s">
        <v>182</v>
      </c>
      <c r="AQ116" t="s">
        <v>182</v>
      </c>
      <c r="AR116" t="s">
        <v>182</v>
      </c>
      <c r="AS116" t="s">
        <v>182</v>
      </c>
      <c r="AT116" t="s">
        <v>182</v>
      </c>
      <c r="AU116" t="s">
        <v>182</v>
      </c>
      <c r="AV116" t="s">
        <v>182</v>
      </c>
      <c r="AW116" t="s">
        <v>182</v>
      </c>
      <c r="AX116" t="s">
        <v>182</v>
      </c>
      <c r="AY116" t="s">
        <v>182</v>
      </c>
      <c r="AZ116" t="s">
        <v>182</v>
      </c>
    </row>
    <row r="117" spans="1:52" x14ac:dyDescent="0.25">
      <c r="A117" t="s">
        <v>211</v>
      </c>
      <c r="B117" t="s">
        <v>53</v>
      </c>
      <c r="C117">
        <v>60</v>
      </c>
      <c r="D117">
        <v>30</v>
      </c>
      <c r="E117" t="s">
        <v>54</v>
      </c>
      <c r="F117" t="s">
        <v>85</v>
      </c>
      <c r="G117" t="s">
        <v>70</v>
      </c>
      <c r="H117" t="s">
        <v>205</v>
      </c>
      <c r="I117">
        <v>48</v>
      </c>
      <c r="J117">
        <v>96</v>
      </c>
      <c r="K117">
        <v>42</v>
      </c>
      <c r="L117">
        <v>42</v>
      </c>
      <c r="M117" t="b">
        <v>1</v>
      </c>
      <c r="N117" t="b">
        <v>1</v>
      </c>
      <c r="O117">
        <v>323.21690719999998</v>
      </c>
      <c r="P117">
        <v>304</v>
      </c>
      <c r="Q117">
        <v>140</v>
      </c>
      <c r="R117">
        <v>164</v>
      </c>
      <c r="S117" t="b">
        <v>1</v>
      </c>
      <c r="T117">
        <v>0.47039473684200001</v>
      </c>
      <c r="U117">
        <v>0.46785714285699997</v>
      </c>
      <c r="V117">
        <v>0.46794509837999998</v>
      </c>
      <c r="W117">
        <v>0.46785714285699997</v>
      </c>
      <c r="X117">
        <v>0.46785539548799998</v>
      </c>
      <c r="Y117">
        <v>0.42657342657300001</v>
      </c>
      <c r="Z117">
        <v>0.435714285714</v>
      </c>
      <c r="AA117">
        <v>0.43109540635999999</v>
      </c>
      <c r="AB117">
        <v>140</v>
      </c>
      <c r="AC117">
        <v>0.50931677018599997</v>
      </c>
      <c r="AD117">
        <v>0.5</v>
      </c>
      <c r="AE117">
        <v>0.504615384615</v>
      </c>
      <c r="AF117">
        <v>164</v>
      </c>
      <c r="AG117">
        <v>-6.4197698510299994E-2</v>
      </c>
      <c r="AH117">
        <v>61</v>
      </c>
      <c r="AI117">
        <v>79</v>
      </c>
      <c r="AJ117">
        <v>82</v>
      </c>
      <c r="AK117">
        <v>82</v>
      </c>
      <c r="AL117">
        <v>0.458885017422</v>
      </c>
      <c r="AM117">
        <v>0.52144285768499998</v>
      </c>
      <c r="AN117">
        <v>0</v>
      </c>
      <c r="AO117" t="s">
        <v>182</v>
      </c>
      <c r="AP117" t="s">
        <v>182</v>
      </c>
      <c r="AQ117" t="s">
        <v>182</v>
      </c>
      <c r="AR117" t="s">
        <v>182</v>
      </c>
      <c r="AS117" t="s">
        <v>182</v>
      </c>
      <c r="AT117" t="s">
        <v>182</v>
      </c>
      <c r="AU117" t="s">
        <v>182</v>
      </c>
      <c r="AV117" t="s">
        <v>182</v>
      </c>
      <c r="AW117" t="s">
        <v>182</v>
      </c>
      <c r="AX117" t="s">
        <v>182</v>
      </c>
      <c r="AY117" t="s">
        <v>182</v>
      </c>
      <c r="AZ117" t="s">
        <v>182</v>
      </c>
    </row>
    <row r="118" spans="1:52" x14ac:dyDescent="0.25">
      <c r="A118" t="s">
        <v>218</v>
      </c>
      <c r="B118" t="s">
        <v>53</v>
      </c>
      <c r="C118">
        <v>60</v>
      </c>
      <c r="D118">
        <v>30</v>
      </c>
      <c r="E118" t="s">
        <v>106</v>
      </c>
      <c r="F118" t="s">
        <v>85</v>
      </c>
      <c r="G118" t="s">
        <v>70</v>
      </c>
      <c r="H118" t="s">
        <v>203</v>
      </c>
      <c r="I118">
        <v>48</v>
      </c>
      <c r="J118">
        <v>96</v>
      </c>
      <c r="K118">
        <v>42</v>
      </c>
      <c r="L118">
        <v>42</v>
      </c>
      <c r="M118" t="b">
        <v>1</v>
      </c>
      <c r="N118" t="b">
        <v>1</v>
      </c>
      <c r="O118">
        <v>215.46459730000001</v>
      </c>
      <c r="P118">
        <v>278</v>
      </c>
      <c r="Q118">
        <v>151</v>
      </c>
      <c r="R118">
        <v>127</v>
      </c>
      <c r="S118" t="b">
        <v>1</v>
      </c>
      <c r="T118">
        <v>0.43884892086299998</v>
      </c>
      <c r="U118">
        <v>0.43400949053600002</v>
      </c>
      <c r="V118">
        <v>0.43383006535899998</v>
      </c>
      <c r="W118">
        <v>0.43400949053600002</v>
      </c>
      <c r="X118">
        <v>0.43389724310799999</v>
      </c>
      <c r="Y118">
        <v>0.48366013071899999</v>
      </c>
      <c r="Z118">
        <v>0.49006622516600001</v>
      </c>
      <c r="AA118">
        <v>0.48684210526299998</v>
      </c>
      <c r="AB118">
        <v>151</v>
      </c>
      <c r="AC118">
        <v>0.38400000000000001</v>
      </c>
      <c r="AD118">
        <v>0.37795275590600003</v>
      </c>
      <c r="AE118">
        <v>0.38095238095200001</v>
      </c>
      <c r="AF118">
        <v>127</v>
      </c>
      <c r="AG118">
        <v>-0.13216032230800001</v>
      </c>
      <c r="AH118">
        <v>74</v>
      </c>
      <c r="AI118">
        <v>77</v>
      </c>
      <c r="AJ118">
        <v>79</v>
      </c>
      <c r="AK118">
        <v>48</v>
      </c>
      <c r="AL118">
        <v>0.39912395056599997</v>
      </c>
      <c r="AM118">
        <v>0.38596851771000001</v>
      </c>
      <c r="AN118">
        <v>0</v>
      </c>
      <c r="AO118" t="s">
        <v>182</v>
      </c>
      <c r="AP118" t="s">
        <v>182</v>
      </c>
      <c r="AQ118" t="s">
        <v>182</v>
      </c>
      <c r="AR118" t="s">
        <v>182</v>
      </c>
      <c r="AS118" t="s">
        <v>182</v>
      </c>
      <c r="AT118" t="s">
        <v>182</v>
      </c>
      <c r="AU118" t="s">
        <v>182</v>
      </c>
      <c r="AV118" t="s">
        <v>182</v>
      </c>
      <c r="AW118" t="s">
        <v>182</v>
      </c>
      <c r="AX118" t="s">
        <v>182</v>
      </c>
      <c r="AY118" t="s">
        <v>182</v>
      </c>
      <c r="AZ118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CF50-CB17-4CBD-89F5-BEAA62AA47EA}">
  <dimension ref="B1:CI20"/>
  <sheetViews>
    <sheetView tabSelected="1" topLeftCell="B1" workbookViewId="0">
      <selection activeCell="E4" sqref="E4"/>
    </sheetView>
  </sheetViews>
  <sheetFormatPr defaultRowHeight="15" x14ac:dyDescent="0.25"/>
  <cols>
    <col min="2" max="2" width="16.7109375" bestFit="1" customWidth="1"/>
    <col min="4" max="4" width="9.5703125" hidden="1" customWidth="1"/>
    <col min="5" max="5" width="9.140625" customWidth="1"/>
    <col min="6" max="6" width="9.140625" hidden="1" customWidth="1"/>
    <col min="7" max="7" width="9.140625" customWidth="1"/>
    <col min="8" max="8" width="9.140625" hidden="1" customWidth="1"/>
    <col min="9" max="9" width="9.140625" customWidth="1"/>
    <col min="10" max="10" width="9.140625" hidden="1" customWidth="1"/>
    <col min="11" max="11" width="9.140625" customWidth="1"/>
    <col min="12" max="12" width="9.140625" hidden="1" customWidth="1"/>
    <col min="13" max="13" width="9.140625" customWidth="1"/>
    <col min="14" max="14" width="9.140625" hidden="1" customWidth="1"/>
    <col min="15" max="15" width="9.140625" customWidth="1"/>
    <col min="16" max="16" width="9.140625" hidden="1" customWidth="1"/>
    <col min="17" max="17" width="9.140625" customWidth="1"/>
    <col min="18" max="18" width="9.140625" hidden="1" customWidth="1"/>
    <col min="19" max="19" width="9.140625" customWidth="1"/>
    <col min="20" max="20" width="9.140625" hidden="1" customWidth="1"/>
    <col min="21" max="21" width="9.140625" customWidth="1"/>
    <col min="22" max="22" width="9.140625" hidden="1" customWidth="1"/>
    <col min="23" max="23" width="9.140625" customWidth="1"/>
    <col min="24" max="24" width="9.140625" hidden="1" customWidth="1"/>
    <col min="25" max="25" width="9.140625" customWidth="1"/>
    <col min="26" max="26" width="9.140625" hidden="1" customWidth="1"/>
    <col min="27" max="27" width="9.140625" customWidth="1"/>
    <col min="28" max="28" width="9.140625" hidden="1" customWidth="1"/>
    <col min="29" max="29" width="9.140625" customWidth="1"/>
    <col min="30" max="30" width="9.140625" hidden="1" customWidth="1"/>
    <col min="31" max="31" width="9.140625" customWidth="1"/>
    <col min="32" max="32" width="9.140625" hidden="1" customWidth="1"/>
    <col min="33" max="33" width="9.140625" customWidth="1"/>
    <col min="34" max="34" width="9.140625" hidden="1" customWidth="1"/>
    <col min="35" max="35" width="9.140625" customWidth="1"/>
    <col min="36" max="36" width="9.140625" hidden="1" customWidth="1"/>
    <col min="37" max="37" width="9.140625" customWidth="1"/>
    <col min="38" max="38" width="9.140625" hidden="1" customWidth="1"/>
    <col min="39" max="39" width="9.140625" customWidth="1"/>
    <col min="40" max="40" width="9.140625" hidden="1" customWidth="1"/>
    <col min="41" max="41" width="9.140625" customWidth="1"/>
    <col min="42" max="42" width="9.140625" hidden="1" customWidth="1"/>
    <col min="43" max="43" width="9.140625" customWidth="1"/>
    <col min="44" max="44" width="9.140625" hidden="1" customWidth="1"/>
    <col min="45" max="45" width="9.140625" customWidth="1"/>
    <col min="46" max="46" width="9.140625" hidden="1" customWidth="1"/>
    <col min="47" max="47" width="9.140625" customWidth="1"/>
    <col min="48" max="48" width="9.140625" hidden="1" customWidth="1"/>
    <col min="49" max="49" width="9.140625" customWidth="1"/>
    <col min="50" max="50" width="9.140625" hidden="1" customWidth="1"/>
    <col min="51" max="51" width="9.140625" customWidth="1"/>
    <col min="52" max="52" width="9.140625" hidden="1" customWidth="1"/>
    <col min="53" max="53" width="9.140625" customWidth="1"/>
  </cols>
  <sheetData>
    <row r="1" spans="2:87" x14ac:dyDescent="0.25">
      <c r="BZ1" t="s">
        <v>174</v>
      </c>
      <c r="CA1" t="s">
        <v>160</v>
      </c>
      <c r="CB1" t="s">
        <v>174</v>
      </c>
      <c r="CC1" t="s">
        <v>169</v>
      </c>
      <c r="CD1" t="s">
        <v>174</v>
      </c>
      <c r="CE1" t="s">
        <v>175</v>
      </c>
      <c r="CF1" t="s">
        <v>174</v>
      </c>
      <c r="CG1" t="s">
        <v>220</v>
      </c>
      <c r="CH1" t="s">
        <v>174</v>
      </c>
      <c r="CI1" t="s">
        <v>224</v>
      </c>
    </row>
    <row r="2" spans="2:87" x14ac:dyDescent="0.25">
      <c r="B2" s="2" t="s">
        <v>146</v>
      </c>
      <c r="C2">
        <v>1</v>
      </c>
      <c r="D2" t="str">
        <f>VLOOKUP(C2,Win,2,0)</f>
        <v>60/30</v>
      </c>
      <c r="BZ2">
        <v>1</v>
      </c>
      <c r="CA2" t="s">
        <v>159</v>
      </c>
      <c r="CB2">
        <v>1</v>
      </c>
      <c r="CC2" t="s">
        <v>55</v>
      </c>
      <c r="CD2">
        <v>1</v>
      </c>
      <c r="CE2" t="s">
        <v>54</v>
      </c>
      <c r="CF2">
        <v>1</v>
      </c>
      <c r="CG2" t="s">
        <v>221</v>
      </c>
      <c r="CH2">
        <v>1</v>
      </c>
      <c r="CI2" t="s">
        <v>225</v>
      </c>
    </row>
    <row r="3" spans="2:87" x14ac:dyDescent="0.25">
      <c r="B3" s="2"/>
      <c r="BZ3">
        <v>2</v>
      </c>
      <c r="CA3" t="s">
        <v>161</v>
      </c>
      <c r="CB3">
        <v>2</v>
      </c>
      <c r="CC3" t="s">
        <v>85</v>
      </c>
      <c r="CD3">
        <v>2</v>
      </c>
      <c r="CE3" t="s">
        <v>106</v>
      </c>
      <c r="CF3">
        <v>2</v>
      </c>
      <c r="CG3" t="s">
        <v>230</v>
      </c>
      <c r="CH3">
        <v>2</v>
      </c>
      <c r="CI3" t="s">
        <v>19</v>
      </c>
    </row>
    <row r="4" spans="2:87" x14ac:dyDescent="0.25">
      <c r="B4" s="2" t="s">
        <v>147</v>
      </c>
      <c r="C4">
        <v>2</v>
      </c>
      <c r="D4" t="str">
        <f>VLOOKUP(C4,InputMode,2,0)</f>
        <v>aggregated</v>
      </c>
      <c r="BZ4">
        <v>3</v>
      </c>
      <c r="CA4" t="s">
        <v>162</v>
      </c>
      <c r="CH4">
        <v>3</v>
      </c>
      <c r="CI4" t="s">
        <v>226</v>
      </c>
    </row>
    <row r="5" spans="2:87" x14ac:dyDescent="0.25">
      <c r="B5" s="2"/>
      <c r="BZ5">
        <v>4</v>
      </c>
      <c r="CA5" t="s">
        <v>163</v>
      </c>
      <c r="CH5">
        <v>4</v>
      </c>
      <c r="CI5" t="s">
        <v>227</v>
      </c>
    </row>
    <row r="6" spans="2:87" x14ac:dyDescent="0.25">
      <c r="B6" s="2" t="s">
        <v>175</v>
      </c>
      <c r="C6">
        <v>2</v>
      </c>
      <c r="D6" t="str">
        <f>VLOOKUP(C6,Target,2,0)</f>
        <v>arousal</v>
      </c>
      <c r="BZ6">
        <v>5</v>
      </c>
      <c r="CA6" t="s">
        <v>164</v>
      </c>
      <c r="CH6">
        <v>5</v>
      </c>
      <c r="CI6" t="s">
        <v>228</v>
      </c>
    </row>
    <row r="7" spans="2:87" x14ac:dyDescent="0.25">
      <c r="BZ7">
        <v>6</v>
      </c>
      <c r="CA7" t="s">
        <v>165</v>
      </c>
      <c r="CH7">
        <v>6</v>
      </c>
      <c r="CI7" t="s">
        <v>229</v>
      </c>
    </row>
    <row r="8" spans="2:87" x14ac:dyDescent="0.25">
      <c r="B8" s="1" t="s">
        <v>222</v>
      </c>
      <c r="C8">
        <v>2</v>
      </c>
      <c r="BZ8">
        <v>7</v>
      </c>
      <c r="CA8" t="s">
        <v>166</v>
      </c>
    </row>
    <row r="9" spans="2:87" x14ac:dyDescent="0.25">
      <c r="B9" s="1"/>
      <c r="BZ9">
        <v>8</v>
      </c>
      <c r="CA9" t="s">
        <v>167</v>
      </c>
    </row>
    <row r="10" spans="2:87" x14ac:dyDescent="0.25">
      <c r="B10" s="1" t="s">
        <v>223</v>
      </c>
      <c r="C10">
        <v>2</v>
      </c>
      <c r="BZ10">
        <v>9</v>
      </c>
      <c r="CA10" t="s">
        <v>168</v>
      </c>
    </row>
    <row r="11" spans="2:87" ht="15.75" thickBot="1" x14ac:dyDescent="0.3">
      <c r="D11" s="27"/>
      <c r="E11" s="27"/>
      <c r="F11" s="2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87" s="4" customFormat="1" ht="15.75" thickBot="1" x14ac:dyDescent="0.3">
      <c r="B12" s="19" t="s">
        <v>179</v>
      </c>
      <c r="C12" s="24" t="s">
        <v>170</v>
      </c>
      <c r="D12" s="25"/>
      <c r="E12" s="25"/>
      <c r="F12" s="25"/>
      <c r="G12" s="25"/>
      <c r="H12" s="25"/>
      <c r="I12" s="25"/>
      <c r="J12" s="25"/>
      <c r="K12" s="25"/>
      <c r="L12" s="26"/>
      <c r="M12" s="24" t="s">
        <v>171</v>
      </c>
      <c r="N12" s="25"/>
      <c r="O12" s="25"/>
      <c r="P12" s="25"/>
      <c r="Q12" s="25"/>
      <c r="R12" s="25"/>
      <c r="S12" s="25"/>
      <c r="T12" s="25"/>
      <c r="U12" s="25"/>
      <c r="V12" s="26"/>
      <c r="W12" s="24" t="s">
        <v>172</v>
      </c>
      <c r="X12" s="25"/>
      <c r="Y12" s="25"/>
      <c r="Z12" s="25"/>
      <c r="AA12" s="25"/>
      <c r="AB12" s="25"/>
      <c r="AC12" s="25"/>
      <c r="AD12" s="25"/>
      <c r="AE12" s="25"/>
      <c r="AF12" s="26"/>
      <c r="AG12" s="24" t="s">
        <v>177</v>
      </c>
      <c r="AH12" s="25"/>
      <c r="AI12" s="25"/>
      <c r="AJ12" s="25"/>
      <c r="AK12" s="25"/>
      <c r="AL12" s="25"/>
      <c r="AM12" s="25"/>
      <c r="AN12" s="25"/>
      <c r="AO12" s="25"/>
      <c r="AP12" s="26"/>
      <c r="AQ12" s="21" t="s">
        <v>178</v>
      </c>
      <c r="AR12" s="22"/>
      <c r="AS12" s="22"/>
      <c r="AT12" s="22"/>
      <c r="AU12" s="22"/>
      <c r="AV12" s="22"/>
      <c r="AW12" s="22"/>
      <c r="AX12" s="22"/>
      <c r="AY12" s="23"/>
      <c r="AZ12"/>
      <c r="BA12"/>
      <c r="BB12"/>
    </row>
    <row r="13" spans="2:87" ht="27.75" thickBot="1" x14ac:dyDescent="0.3">
      <c r="B13" s="20"/>
      <c r="C13" s="12" t="s">
        <v>154</v>
      </c>
      <c r="D13" s="13" t="s">
        <v>176</v>
      </c>
      <c r="E13" s="13" t="s">
        <v>155</v>
      </c>
      <c r="F13" s="13" t="s">
        <v>176</v>
      </c>
      <c r="G13" s="13" t="s">
        <v>156</v>
      </c>
      <c r="H13" s="13" t="s">
        <v>176</v>
      </c>
      <c r="I13" s="13" t="s">
        <v>157</v>
      </c>
      <c r="J13" s="13" t="s">
        <v>176</v>
      </c>
      <c r="K13" s="13" t="s">
        <v>158</v>
      </c>
      <c r="L13" s="14" t="s">
        <v>176</v>
      </c>
      <c r="M13" s="12" t="s">
        <v>154</v>
      </c>
      <c r="N13" s="13" t="s">
        <v>176</v>
      </c>
      <c r="O13" s="13" t="s">
        <v>155</v>
      </c>
      <c r="P13" s="13" t="s">
        <v>176</v>
      </c>
      <c r="Q13" s="13" t="s">
        <v>156</v>
      </c>
      <c r="R13" s="13" t="s">
        <v>176</v>
      </c>
      <c r="S13" s="13" t="s">
        <v>157</v>
      </c>
      <c r="T13" s="13" t="s">
        <v>176</v>
      </c>
      <c r="U13" s="13" t="s">
        <v>158</v>
      </c>
      <c r="V13" s="14" t="s">
        <v>176</v>
      </c>
      <c r="W13" s="12" t="s">
        <v>154</v>
      </c>
      <c r="X13" s="13" t="s">
        <v>176</v>
      </c>
      <c r="Y13" s="13" t="s">
        <v>155</v>
      </c>
      <c r="Z13" s="13" t="s">
        <v>176</v>
      </c>
      <c r="AA13" s="13" t="s">
        <v>156</v>
      </c>
      <c r="AB13" s="13" t="s">
        <v>176</v>
      </c>
      <c r="AC13" s="13" t="s">
        <v>157</v>
      </c>
      <c r="AD13" s="13" t="s">
        <v>176</v>
      </c>
      <c r="AE13" s="13" t="s">
        <v>158</v>
      </c>
      <c r="AF13" s="14" t="s">
        <v>176</v>
      </c>
      <c r="AG13" s="12" t="s">
        <v>154</v>
      </c>
      <c r="AH13" s="13" t="s">
        <v>176</v>
      </c>
      <c r="AI13" s="13" t="s">
        <v>155</v>
      </c>
      <c r="AJ13" s="13" t="s">
        <v>176</v>
      </c>
      <c r="AK13" s="13" t="s">
        <v>156</v>
      </c>
      <c r="AL13" s="13" t="s">
        <v>176</v>
      </c>
      <c r="AM13" s="13" t="s">
        <v>157</v>
      </c>
      <c r="AN13" s="13" t="s">
        <v>176</v>
      </c>
      <c r="AO13" s="13" t="s">
        <v>158</v>
      </c>
      <c r="AP13" s="14" t="s">
        <v>176</v>
      </c>
      <c r="AQ13" s="15" t="s">
        <v>154</v>
      </c>
      <c r="AR13" s="16" t="s">
        <v>176</v>
      </c>
      <c r="AS13" s="16" t="s">
        <v>155</v>
      </c>
      <c r="AT13" s="16" t="s">
        <v>176</v>
      </c>
      <c r="AU13" s="16" t="s">
        <v>156</v>
      </c>
      <c r="AV13" s="16" t="s">
        <v>176</v>
      </c>
      <c r="AW13" s="16" t="s">
        <v>157</v>
      </c>
      <c r="AX13" s="16" t="s">
        <v>176</v>
      </c>
      <c r="AY13" s="17" t="s">
        <v>158</v>
      </c>
      <c r="AZ13" s="10"/>
    </row>
    <row r="14" spans="2:87" x14ac:dyDescent="0.25">
      <c r="B14" s="11" t="s">
        <v>173</v>
      </c>
      <c r="C14" s="5">
        <f>IF(SUMIFS(DATA!$T:$T,DATA!$H:$H,LOWER($B14),DATA!$C:$C,_xlfn.NUMBERVALUE(LEFT($D$2,2)),DATA!$D:$D,_xlfn.NUMBERVALUE(MID($D$2,FIND("/",$D$2)+1,LEN($D$2))),DATA!$E:$E,$D$6,DATA!$F:$F,$D$4,DATA!$G:$G,LOWER(C$12))=0,"-",SUMIFS(DATA!$T:$T,DATA!$H:$H,LOWER($B14),DATA!$C:$C,_xlfn.NUMBERVALUE(LEFT($D$2,2)),DATA!$D:$D,_xlfn.NUMBERVALUE(MID($D$2,FIND("/",$D$2)+1,LEN($D$2))),DATA!$E:$E,$D$6,DATA!$F:$F,$D$4,DATA!$G:$G,LOWER(C$12)))</f>
        <v>0.46402877697799999</v>
      </c>
      <c r="D14" s="6" t="b">
        <f t="shared" ref="D14:D20" si="0">IF($C$8=1,AND(MAX($C14,$M14,$W14,$AG14,$AQ14)=C14,C14&lt;&gt;0),AND(MAX($C$14:$C$20,$M$14:$M$20,$W$14:$W$20,$AG$14:$AG$20,$AQ$14:$AQ$20)=C14,C14&lt;&gt;0))</f>
        <v>0</v>
      </c>
      <c r="E14" s="6">
        <f>IF(SUMIFS(DATA!$U:$U,DATA!$H:$H,LOWER($B14),DATA!$C:$C,_xlfn.NUMBERVALUE(LEFT($D$2,2)),DATA!$D:$D,_xlfn.NUMBERVALUE(MID($D$2,FIND("/",$D$2)+1,LEN($D$2))),DATA!$E:$E,$D$6,DATA!$F:$F,$D$4,DATA!$G:$G,LOWER(C$12))=0,"-",SUMIFS(DATA!$U:$U,DATA!$H:$H,LOWER($B14),DATA!$C:$C,_xlfn.NUMBERVALUE(LEFT($D$2,2)),DATA!$D:$D,_xlfn.NUMBERVALUE(MID($D$2,FIND("/",$D$2)+1,LEN($D$2))),DATA!$E:$E,$D$6,DATA!$F:$F,$D$4,DATA!$G:$G,LOWER(C$12)))</f>
        <v>0.45405955050300001</v>
      </c>
      <c r="F14" s="6" t="b">
        <f t="shared" ref="F14:F20" si="1">IF($C$8=1,AND(MAX($E14,$O14,$Y14,$AI14,$AS14)=E14,E14&lt;&gt;0),AND(MAX($E$14:$E$20,$O$14:$O$20,$Y$14:$Y$20,$AI$14:$AI$20,$AS$14:$AS$14)=E14,E14&lt;&gt;0))</f>
        <v>0</v>
      </c>
      <c r="G14" s="6">
        <f>IF(SUMIFS(DATA!$V:$V,DATA!$H:$H,LOWER($B14),DATA!$C:$C,_xlfn.NUMBERVALUE(LEFT($D$2,2)),DATA!$D:$D,_xlfn.NUMBERVALUE(MID($D$2,FIND("/",$D$2)+1,LEN($D$2))),DATA!$E:$E,$D$6,DATA!$F:$F,$D$4,DATA!$G:$G,LOWER(C$12))=0,"-",SUMIFS(DATA!$V:$V,DATA!$H:$H,LOWER($B14),DATA!$C:$C,_xlfn.NUMBERVALUE(LEFT($D$2,2)),DATA!$D:$D,_xlfn.NUMBERVALUE(MID($D$2,FIND("/",$D$2)+1,LEN($D$2))),DATA!$E:$E,$D$6,DATA!$F:$F,$D$4,DATA!$G:$G,LOWER(C$12)))</f>
        <v>0.45201525054500002</v>
      </c>
      <c r="H14" s="6" t="b">
        <f t="shared" ref="H14:H20" si="2">IF($C$8=1,AND(MAX($G14,$Q14,$AA14,$AK14,$AU14)=G14,G14&lt;&gt;0),AND(MAX($G$14:$G$20,$Q$14:$Q$20,$AA$14:$AA$20,$AK$14:$AK$20,$AU$14:$AU$20)=G14,G14&lt;&gt;0))</f>
        <v>0</v>
      </c>
      <c r="I14" s="6">
        <f>IF(SUMIFS(DATA!$W:$W,DATA!$H:$H,LOWER($B14),DATA!$C:$C,_xlfn.NUMBERVALUE(LEFT($D$2,2)),DATA!$D:$D,_xlfn.NUMBERVALUE(MID($D$2,FIND("/",$D$2)+1,LEN($D$2))),DATA!$E:$E,$D$6,DATA!$F:$F,$D$4,DATA!$G:$G,LOWER(C$12))=0,"-",SUMIFS(DATA!$W:$W,DATA!$H:$H,LOWER($B14),DATA!$C:$C,_xlfn.NUMBERVALUE(LEFT($D$2,2)),DATA!$D:$D,_xlfn.NUMBERVALUE(MID($D$2,FIND("/",$D$2)+1,LEN($D$2))),DATA!$E:$E,$D$6,DATA!$F:$F,$D$4,DATA!$G:$G,LOWER(C$12)))</f>
        <v>0.45405955050300001</v>
      </c>
      <c r="J14" s="6" t="str">
        <f>IF(SUMIFS(DATA!$W:$W,DATA!$H:$H,LOWER($B14),DATA!$C:$C,_xlfn.NUMBERVALUE(LEFT($D$2,2)),DATA!$D:$D,_xlfn.NUMBERVALUE(MID($D$2,FIND("/",$D$2)+1,LEN($D$2))),DATA!$E:$E,$D$6,DATA!$F:$F,$D$4,DATA!$G:$G,LOWER(D$12))=0,"-",SUMIFS(DATA!$W:$W,DATA!$H:$H,LOWER($B14),DATA!$C:$C,_xlfn.NUMBERVALUE(LEFT($D$2,2)),DATA!$D:$D,_xlfn.NUMBERVALUE(MID($D$2,FIND("/",$D$2)+1,LEN($D$2))),DATA!$E:$E,$D$6,DATA!$F:$F,$D$4,DATA!$G:$G,LOWER(D$12)))</f>
        <v>-</v>
      </c>
      <c r="K14" s="6">
        <f>IF(SUMIFS(DATA!$X:$X,DATA!$H:$H,LOWER($B14),DATA!$C:$C,_xlfn.NUMBERVALUE(LEFT($D$2,2)),DATA!$D:$D,_xlfn.NUMBERVALUE(MID($D$2,FIND("/",$D$2)+1,LEN($D$2))),DATA!$E:$E,$D$6,DATA!$F:$F,$D$4,DATA!$G:$G,LOWER(C$12))=0,"-",SUMIFS(DATA!$X:$X,DATA!$H:$H,LOWER($B14),DATA!$C:$C,_xlfn.NUMBERVALUE(LEFT($D$2,2)),DATA!$D:$D,_xlfn.NUMBERVALUE(MID($D$2,FIND("/",$D$2)+1,LEN($D$2))),DATA!$E:$E,$D$6,DATA!$F:$F,$D$4,DATA!$G:$G,LOWER(C$12)))</f>
        <v>0.45089149599</v>
      </c>
      <c r="L14" s="7" t="b">
        <f t="shared" ref="L14:L20" si="3">IF($C$8=1,AND(MAX($K14,$U14,$AE14,$AO14,$AY14)=K14,K14&lt;&gt;0),AND(MAX($K$14:$K$20,$U$14:$U$20,$AE$14:$AE$20,$AO$14:$AO$20,$AY$14:$AY$20)=K14,K14&lt;&gt;0))</f>
        <v>0</v>
      </c>
      <c r="M14" s="5">
        <f>IF(SUMIFS(DATA!$T:$T,DATA!$H:$H,LOWER($B14),DATA!$C:$C,_xlfn.NUMBERVALUE(LEFT($D$2,2)),DATA!$D:$D,_xlfn.NUMBERVALUE(MID($D$2,FIND("/",$D$2)+1,LEN($D$2))),DATA!$E:$E,$D$6,DATA!$F:$F,$D$4,DATA!$G:$G,LOWER(M$12))=0,"-",SUMIFS(DATA!$T:$T,DATA!$H:$H,LOWER($B14),DATA!$C:$C,_xlfn.NUMBERVALUE(LEFT($D$2,2)),DATA!$D:$D,_xlfn.NUMBERVALUE(MID($D$2,FIND("/",$D$2)+1,LEN($D$2))),DATA!$E:$E,$D$6,DATA!$F:$F,$D$4,DATA!$G:$G,LOWER(M$12)))</f>
        <v>0.5</v>
      </c>
      <c r="N14" s="6" t="b">
        <f t="shared" ref="N14:N20" si="4">IF($C$8=1,AND(MAX($C14,$M14,$W14,$AG14,$AQ14)=M14,M14&lt;&gt;0),AND(MAX($C$14:$C$20,$M$14:$M$20,$W$14:$W$20,$AG$14:$AG$20,$AQ$14:$AQ$20)=M14,M14&lt;&gt;0))</f>
        <v>0</v>
      </c>
      <c r="O14" s="6">
        <f>IF(SUMIFS(DATA!$U:$U,DATA!$H:$H,LOWER($B14),DATA!$C:$C,_xlfn.NUMBERVALUE(LEFT($D$2,2)),DATA!$D:$D,_xlfn.NUMBERVALUE(MID($D$2,FIND("/",$D$2)+1,LEN($D$2))),DATA!$E:$E,$D$6,DATA!$F:$F,$D$4,DATA!$G:$G,LOWER(M$12))=0,"-",SUMIFS(DATA!$U:$U,DATA!$H:$H,LOWER($B14),DATA!$C:$C,_xlfn.NUMBERVALUE(LEFT($D$2,2)),DATA!$D:$D,_xlfn.NUMBERVALUE(MID($D$2,FIND("/",$D$2)+1,LEN($D$2))),DATA!$E:$E,$D$6,DATA!$F:$F,$D$4,DATA!$G:$G,LOWER(M$12)))</f>
        <v>0.48779788288100001</v>
      </c>
      <c r="P14" s="6" t="b">
        <f t="shared" ref="P14:P20" si="5">IF($C$8=1,AND(MAX($E14,$O14,$Y14,$AI14,$AS14)=O14,O14&lt;&gt;0),AND(MAX($E$14:$E$20,$O$14:$O$20,$Y$14:$Y$20,$AI$14:$AI$20,$AS$14:$AS$14)=O14,O14&lt;&gt;0))</f>
        <v>0</v>
      </c>
      <c r="Q14" s="6">
        <f>IF(SUMIFS(DATA!$V:$V,DATA!$H:$H,LOWER($B14),DATA!$C:$C,_xlfn.NUMBERVALUE(LEFT($D$2,2)),DATA!$D:$D,_xlfn.NUMBERVALUE(MID($D$2,FIND("/",$D$2)+1,LEN($D$2))),DATA!$E:$E,$D$6,DATA!$F:$F,$D$4,DATA!$G:$G,LOWER(M$12))=0,"-",SUMIFS(DATA!$V:$V,DATA!$H:$H,LOWER($B14),DATA!$C:$C,_xlfn.NUMBERVALUE(LEFT($D$2,2)),DATA!$D:$D,_xlfn.NUMBERVALUE(MID($D$2,FIND("/",$D$2)+1,LEN($D$2))),DATA!$E:$E,$D$6,DATA!$F:$F,$D$4,DATA!$G:$G,LOWER(M$12)))</f>
        <v>0.486853932584</v>
      </c>
      <c r="R14" s="6" t="b">
        <f t="shared" ref="R14:R20" si="6">IF($C$8=1,AND(MAX($G14,$Q14,$AA14,$AK14,$AU14)=Q14,Q14&lt;&gt;0),AND(MAX($G$14:$G$20,$Q$14:$Q$20,$AA$14:$AA$20,$AK$14:$AK$20,$AU$14:$AU$20)=Q14,Q14&lt;&gt;0))</f>
        <v>0</v>
      </c>
      <c r="S14" s="6">
        <f>IF(SUMIFS(DATA!$W:$W,DATA!$H:$H,LOWER($B14),DATA!$C:$C,_xlfn.NUMBERVALUE(LEFT($D$2,2)),DATA!$D:$D,_xlfn.NUMBERVALUE(MID($D$2,FIND("/",$D$2)+1,LEN($D$2))),DATA!$E:$E,$D$6,DATA!$F:$F,$D$4,DATA!$G:$G,LOWER(M$12))=0,"-",SUMIFS(DATA!$W:$W,DATA!$H:$H,LOWER($B14),DATA!$C:$C,_xlfn.NUMBERVALUE(LEFT($D$2,2)),DATA!$D:$D,_xlfn.NUMBERVALUE(MID($D$2,FIND("/",$D$2)+1,LEN($D$2))),DATA!$E:$E,$D$6,DATA!$F:$F,$D$4,DATA!$G:$G,LOWER(M$12)))</f>
        <v>0.48779788288100001</v>
      </c>
      <c r="T14" s="6" t="b">
        <f t="shared" ref="T14:T20" si="7">IF($C$8=1,AND(MAX($I14,$S14,$AC14,$AM14,$AW14)=S14,S14&lt;&gt;0),AND(MAX($I$14:$I$20,$S$14:$S$20,$AC$14:$AC$20,$AM$14:$AM$20,$AW$14:$AW$20)=S14,S14&lt;&gt;0))</f>
        <v>0</v>
      </c>
      <c r="U14" s="6">
        <f>IF(SUMIFS(DATA!$X:$X,DATA!$H:$H,LOWER($B14),DATA!$C:$C,_xlfn.NUMBERVALUE(LEFT($D$2,2)),DATA!$D:$D,_xlfn.NUMBERVALUE(MID($D$2,FIND("/",$D$2)+1,LEN($D$2))),DATA!$E:$E,$D$6,DATA!$F:$F,$D$4,DATA!$G:$G,LOWER(M$12))=0,"-",SUMIFS(DATA!$X:$X,DATA!$H:$H,LOWER($B14),DATA!$C:$C,_xlfn.NUMBERVALUE(LEFT($D$2,2)),DATA!$D:$D,_xlfn.NUMBERVALUE(MID($D$2,FIND("/",$D$2)+1,LEN($D$2))),DATA!$E:$E,$D$6,DATA!$F:$F,$D$4,DATA!$G:$G,LOWER(M$12)))</f>
        <v>0.48258639851099999</v>
      </c>
      <c r="V14" s="7" t="b">
        <f t="shared" ref="V14:V20" si="8">IF($C$8=1,AND(MAX($K14,$U14,$AE14,$AO14,$AY14)=U14,U14&lt;&gt;0),AND(MAX($K$14:$K$20,$U$14:$U$20,$AE$14:$AE$20,$AO$14:$AO$20,$AY$14:$AY$20)=U14,U14&lt;&gt;0))</f>
        <v>0</v>
      </c>
      <c r="W14" s="5">
        <f>IF(SUMIFS(DATA!$T:$T,DATA!$H:$H,LOWER($B14),DATA!$C:$C,_xlfn.NUMBERVALUE(LEFT($D$2,2)),DATA!$D:$D,_xlfn.NUMBERVALUE(MID($D$2,FIND("/",$D$2)+1,LEN($D$2))),DATA!$E:$E,$D$6,DATA!$F:$F,$D$4,DATA!$G:$G,LOWER(W$12))=0,"-",SUMIFS(DATA!$T:$T,DATA!$H:$H,LOWER($B14),DATA!$C:$C,_xlfn.NUMBERVALUE(LEFT($D$2,2)),DATA!$D:$D,_xlfn.NUMBERVALUE(MID($D$2,FIND("/",$D$2)+1,LEN($D$2))),DATA!$E:$E,$D$6,DATA!$F:$F,$D$4,DATA!$G:$G,LOWER(W$12)))</f>
        <v>0.48920863309399998</v>
      </c>
      <c r="X14" s="6" t="b">
        <f t="shared" ref="X14:X20" si="9">IF($C$8=1,AND(MAX($C14,$M14,$W14,$AG14,$AQ14)=W14,W14&lt;&gt;0),AND(MAX($C$14:$C$20,$M$14:$M$20,$W$14:$W$20,$AG$14:$AG$20,$AQ$14:$AQ$20)=W14,W14&lt;&gt;0))</f>
        <v>0</v>
      </c>
      <c r="Y14" s="6">
        <f>IF(SUMIFS(DATA!$U:$U,DATA!$H:$H,LOWER($B14),DATA!$C:$C,_xlfn.NUMBERVALUE(LEFT($D$2,2)),DATA!$D:$D,_xlfn.NUMBERVALUE(MID($D$2,FIND("/",$D$2)+1,LEN($D$2))),DATA!$E:$E,$D$6,DATA!$F:$F,$D$4,DATA!$G:$G,LOWER(W$12))=0,"-",SUMIFS(DATA!$U:$U,DATA!$H:$H,LOWER($B14),DATA!$C:$C,_xlfn.NUMBERVALUE(LEFT($D$2,2)),DATA!$D:$D,_xlfn.NUMBERVALUE(MID($D$2,FIND("/",$D$2)+1,LEN($D$2))),DATA!$E:$E,$D$6,DATA!$F:$F,$D$4,DATA!$G:$G,LOWER(W$12)))</f>
        <v>0.48287010481300002</v>
      </c>
      <c r="Z14" s="6" t="b">
        <f t="shared" ref="Z14:Z20" si="10">IF($C$8=1,AND(MAX($E14,$O14,$Y14,$AI14,$AS14)=Y14,Y14&lt;&gt;0),AND(MAX($E$14:$E$20,$O$14:$O$20,$Y$14:$Y$20,$AI$14:$AI$20,$AS$14:$AS$14)=Y14,Y14&lt;&gt;0))</f>
        <v>0</v>
      </c>
      <c r="AA14" s="6">
        <f>IF(SUMIFS(DATA!$V:$V,DATA!$H:$H,LOWER($B14),DATA!$C:$C,_xlfn.NUMBERVALUE(LEFT($D$2,2)),DATA!$D:$D,_xlfn.NUMBERVALUE(MID($D$2,FIND("/",$D$2)+1,LEN($D$2))),DATA!$E:$E,$D$6,DATA!$F:$F,$D$4,DATA!$G:$G,LOWER(W$12))=0,"-",SUMIFS(DATA!$V:$V,DATA!$H:$H,LOWER($B14),DATA!$C:$C,_xlfn.NUMBERVALUE(LEFT($D$2,2)),DATA!$D:$D,_xlfn.NUMBERVALUE(MID($D$2,FIND("/",$D$2)+1,LEN($D$2))),DATA!$E:$E,$D$6,DATA!$F:$F,$D$4,DATA!$G:$G,LOWER(W$12)))</f>
        <v>0.482638338354</v>
      </c>
      <c r="AB14" s="6" t="b">
        <f t="shared" ref="AB14:AB20" si="11">IF($C$8=1,AND(MAX($G14,$Q14,$AA14,$AK14,$AU14)=AA14,AA14&lt;&gt;0),AND(MAX($G$14:$G$20,$Q$14:$Q$20,$AA$14:$AA$20,$AK$14:$AK$20,$AU$14:$AU$20)=AA14,AA14&lt;&gt;0))</f>
        <v>0</v>
      </c>
      <c r="AC14" s="6">
        <f>IF(SUMIFS(DATA!$W:$W,DATA!$H:$H,LOWER($B14),DATA!$C:$C,_xlfn.NUMBERVALUE(LEFT($D$2,2)),DATA!$D:$D,_xlfn.NUMBERVALUE(MID($D$2,FIND("/",$D$2)+1,LEN($D$2))),DATA!$E:$E,$D$6,DATA!$F:$F,$D$4,DATA!$G:$G,LOWER(W$12))=0,"-",SUMIFS(DATA!$W:$W,DATA!$H:$H,LOWER($B14),DATA!$C:$C,_xlfn.NUMBERVALUE(LEFT($D$2,2)),DATA!$D:$D,_xlfn.NUMBERVALUE(MID($D$2,FIND("/",$D$2)+1,LEN($D$2))),DATA!$E:$E,$D$6,DATA!$F:$F,$D$4,DATA!$G:$G,LOWER(W$12)))</f>
        <v>0.48287010481300002</v>
      </c>
      <c r="AD14" s="6" t="b">
        <f t="shared" ref="AD14:AD20" si="12">IF($C$8=1,AND(MAX($I14,$S14,$AC14,$AM14,$AW14)=AC14,AC14&lt;&gt;0),AND(MAX($I$14:$I$20,$S$14:$S$20,$AC$14:$AC$20,$AM$14:$AM$20,$AW$14:$AW$20)=AC14,AC14&lt;&gt;0))</f>
        <v>0</v>
      </c>
      <c r="AE14" s="6">
        <f>IF(SUMIFS(DATA!$X:$X,DATA!$H:$H,LOWER($B14),DATA!$C:$C,_xlfn.NUMBERVALUE(LEFT($D$2,2)),DATA!$D:$D,_xlfn.NUMBERVALUE(MID($D$2,FIND("/",$D$2)+1,LEN($D$2))),DATA!$E:$E,$D$6,DATA!$F:$F,$D$4,DATA!$G:$G,LOWER(W$12))=0,"-",SUMIFS(DATA!$X:$X,DATA!$H:$H,LOWER($B14),DATA!$C:$C,_xlfn.NUMBERVALUE(LEFT($D$2,2)),DATA!$D:$D,_xlfn.NUMBERVALUE(MID($D$2,FIND("/",$D$2)+1,LEN($D$2))),DATA!$E:$E,$D$6,DATA!$F:$F,$D$4,DATA!$G:$G,LOWER(W$12)))</f>
        <v>0.48234985575700001</v>
      </c>
      <c r="AF14" s="7" t="b">
        <f t="shared" ref="AF14:AF20" si="13">IF($C$8=1,AND(MAX($K14,$U14,$AE14,$AO14,$AY14)=AE14,AE14&lt;&gt;0),AND(MAX($K$14:$K$20,$U$14:$U$20,$AE$14:$AE$20,$AO$14:$AO$20,$AY$14:$AY$20)=AE14,AE14&lt;&gt;0))</f>
        <v>0</v>
      </c>
      <c r="AG14" s="5">
        <f>IF(SUMIFS(DATA!$T:$T,DATA!$H:$H,LOWER($B14),DATA!$C:$C,_xlfn.NUMBERVALUE(LEFT($D$2,2)),DATA!$D:$D,_xlfn.NUMBERVALUE(MID($D$2,FIND("/",$D$2)+1,LEN($D$2))),DATA!$E:$E,$D$6,DATA!$F:$F,$D$4,DATA!$G:$G,LOWER(AG$12))=0,"-",SUMIFS(DATA!$T:$T,DATA!$H:$H,LOWER($B14),DATA!$C:$C,_xlfn.NUMBERVALUE(LEFT($D$2,2)),DATA!$D:$D,_xlfn.NUMBERVALUE(MID($D$2,FIND("/",$D$2)+1,LEN($D$2))),DATA!$E:$E,$D$6,DATA!$F:$F,$D$4,DATA!$G:$G,LOWER(AG$12)))</f>
        <v>0.5</v>
      </c>
      <c r="AH14" s="6" t="b">
        <f t="shared" ref="AH14:AH20" si="14">IF($C$8=1,AND(MAX($C14,$M14,$W14,$AG14,$AQ14)=AG14,AG14&lt;&gt;0),AND(MAX($C$14:$C$20,$M$14:$M$20,$W$14:$W$20,$AG$14:$AG$20,$AQ$14:$AQ$20)=AG14,AG14&lt;&gt;0))</f>
        <v>0</v>
      </c>
      <c r="AI14" s="6">
        <f>IF(SUMIFS(DATA!$U:$U,DATA!$H:$H,LOWER($B14),DATA!$C:$C,_xlfn.NUMBERVALUE(LEFT($D$2,2)),DATA!$D:$D,_xlfn.NUMBERVALUE(MID($D$2,FIND("/",$D$2)+1,LEN($D$2))),DATA!$E:$E,$D$6,DATA!$F:$F,$D$4,DATA!$G:$G,LOWER(AG$12))=0,"-",SUMIFS(DATA!$U:$U,DATA!$H:$H,LOWER($B14),DATA!$C:$C,_xlfn.NUMBERVALUE(LEFT($D$2,2)),DATA!$D:$D,_xlfn.NUMBERVALUE(MID($D$2,FIND("/",$D$2)+1,LEN($D$2))),DATA!$E:$E,$D$6,DATA!$F:$F,$D$4,DATA!$G:$G,LOWER(AG$12)))</f>
        <v>0.48717213328499998</v>
      </c>
      <c r="AJ14" s="6" t="b">
        <f t="shared" ref="AJ14:AJ20" si="15">IF($C$8=1,AND(MAX($E14,$O14,$Y14,$AI14,$AS14)=AI14,AI14&lt;&gt;0),AND(MAX($E$14:$E$20,$O$14:$O$20,$Y$14:$Y$20,$AI$14:$AI$20,$AS$14:$AS$14)=AI14,AI14&lt;&gt;0))</f>
        <v>0</v>
      </c>
      <c r="AK14" s="6">
        <f>IF(SUMIFS(DATA!$V:$V,DATA!$H:$H,LOWER($B14),DATA!$C:$C,_xlfn.NUMBERVALUE(LEFT($D$2,2)),DATA!$D:$D,_xlfn.NUMBERVALUE(MID($D$2,FIND("/",$D$2)+1,LEN($D$2))),DATA!$E:$E,$D$6,DATA!$F:$F,$D$4,DATA!$G:$G,LOWER(AG$12))=0,"-",SUMIFS(DATA!$V:$V,DATA!$H:$H,LOWER($B14),DATA!$C:$C,_xlfn.NUMBERVALUE(LEFT($D$2,2)),DATA!$D:$D,_xlfn.NUMBERVALUE(MID($D$2,FIND("/",$D$2)+1,LEN($D$2))),DATA!$E:$E,$D$6,DATA!$F:$F,$D$4,DATA!$G:$G,LOWER(AG$12)))</f>
        <v>0.48605442176899999</v>
      </c>
      <c r="AL14" s="6" t="b">
        <f t="shared" ref="AL14:AL20" si="16">IF($C$8=1,AND(MAX($G14,$Q14,$AA14,$AK14,$AU14)=AK14,AK14&lt;&gt;0),AND(MAX($G$14:$G$20,$Q$14:$Q$20,$AA$14:$AA$20,$AK$14:$AK$20,$AU$14:$AU$20)=AK14,AK14&lt;&gt;0))</f>
        <v>0</v>
      </c>
      <c r="AM14" s="6">
        <f>IF(SUMIFS(DATA!$W:$W,DATA!$H:$H,LOWER($B14),DATA!$C:$C,_xlfn.NUMBERVALUE(LEFT($D$2,2)),DATA!$D:$D,_xlfn.NUMBERVALUE(MID($D$2,FIND("/",$D$2)+1,LEN($D$2))),DATA!$E:$E,$D$6,DATA!$F:$F,$D$4,DATA!$G:$G,LOWER(AG$12))=0,"-",SUMIFS(DATA!$W:$W,DATA!$H:$H,LOWER($B14),DATA!$C:$C,_xlfn.NUMBERVALUE(LEFT($D$2,2)),DATA!$D:$D,_xlfn.NUMBERVALUE(MID($D$2,FIND("/",$D$2)+1,LEN($D$2))),DATA!$E:$E,$D$6,DATA!$F:$F,$D$4,DATA!$G:$G,LOWER(AG$12)))</f>
        <v>0.48717213328499998</v>
      </c>
      <c r="AN14" s="6" t="b">
        <f t="shared" ref="AN14:AN20" si="17">IF($C$8=1,AND(MAX($I14,$S14,$AC14,$AM14,$AW14)=AM14,AM14&lt;&gt;0),AND(MAX($I$14:$I$20,$S$14:$S$20,$AC$14:$AC$20,$AM$14:$AM$20,$AW$14:$AW$20)=AM14,AM14&lt;&gt;0))</f>
        <v>0</v>
      </c>
      <c r="AO14" s="6">
        <f>IF(SUMIFS(DATA!$X:$X,DATA!$H:$H,LOWER($B14),DATA!$C:$C,_xlfn.NUMBERVALUE(LEFT($D$2,2)),DATA!$D:$D,_xlfn.NUMBERVALUE(MID($D$2,FIND("/",$D$2)+1,LEN($D$2))),DATA!$E:$E,$D$6,DATA!$F:$F,$D$4,DATA!$G:$G,LOWER(AG$12))=0,"-",SUMIFS(DATA!$X:$X,DATA!$H:$H,LOWER($B14),DATA!$C:$C,_xlfn.NUMBERVALUE(LEFT($D$2,2)),DATA!$D:$D,_xlfn.NUMBERVALUE(MID($D$2,FIND("/",$D$2)+1,LEN($D$2))),DATA!$E:$E,$D$6,DATA!$F:$F,$D$4,DATA!$G:$G,LOWER(AG$12)))</f>
        <v>0.48114132259100001</v>
      </c>
      <c r="AP14" s="7" t="b">
        <f t="shared" ref="AP14:AP20" si="18">IF($C$8=1,AND(MAX($K14,$U14,$AE14,$AO14,$AY14)=AO14,AO14&lt;&gt;0),AND(MAX($K$14:$K$20,$U$14:$U$20,$AE$14:$AE$20,$AO$14:$AO$20,$AY$14:$AY$20)=AO14,AO14&lt;&gt;0))</f>
        <v>0</v>
      </c>
      <c r="AQ14" s="5">
        <f>IF(SUMIFS(DATA!$T:$T,DATA!$H:$H,LOWER($B14),DATA!$C:$C,_xlfn.NUMBERVALUE(LEFT($D$2,2)),DATA!$D:$D,_xlfn.NUMBERVALUE(MID($D$2,FIND("/",$D$2)+1,LEN($D$2))),DATA!$E:$E,$D$6,DATA!$F:$F,$D$4,DATA!$G:$G,LOWER(AQ$12))=0,"-",SUMIFS(DATA!$T:$T,DATA!$H:$H,LOWER($B14),DATA!$C:$C,_xlfn.NUMBERVALUE(LEFT($D$2,2)),DATA!$D:$D,_xlfn.NUMBERVALUE(MID($D$2,FIND("/",$D$2)+1,LEN($D$2))),DATA!$E:$E,$D$6,DATA!$F:$F,$D$4,DATA!$G:$G,LOWER(AQ$12)))</f>
        <v>0.48920863309399998</v>
      </c>
      <c r="AR14" s="6" t="b">
        <f t="shared" ref="AR14:AR20" si="19">IF($C$8=1,AND(MAX($C14,$M14,$W14,$AG14,$AQ14)=AQ14,AQ14&lt;&gt;0),AND(MAX($C$14:$C$20,$M$14:$M$20,$W$14:$W$20,$AG$14:$AG$20,$AQ$14:$AQ$20)=AQ14,AQ14&lt;&gt;0))</f>
        <v>0</v>
      </c>
      <c r="AS14" s="6">
        <f>IF(SUMIFS(DATA!$U:$U,DATA!$H:$H,LOWER($B14),DATA!$C:$C,_xlfn.NUMBERVALUE(LEFT($D$2,2)),DATA!$D:$D,_xlfn.NUMBERVALUE(MID($D$2,FIND("/",$D$2)+1,LEN($D$2))),DATA!$E:$E,$D$6,DATA!$F:$F,$D$4,DATA!$G:$G,LOWER(AQ$12))=0,"-",SUMIFS(DATA!$U:$U,DATA!$H:$H,LOWER($B14),DATA!$C:$C,_xlfn.NUMBERVALUE(LEFT($D$2,2)),DATA!$D:$D,_xlfn.NUMBERVALUE(MID($D$2,FIND("/",$D$2)+1,LEN($D$2))),DATA!$E:$E,$D$6,DATA!$F:$F,$D$4,DATA!$G:$G,LOWER(AQ$12)))</f>
        <v>0.48099285602500003</v>
      </c>
      <c r="AT14" s="6" t="b">
        <f t="shared" ref="AT14:AT20" si="20">IF($C$8=1,AND(MAX($E14,$O14,$Y14,$AI14,$AS14)=AS14,AS14&lt;&gt;0),AND(MAX($E$14:$E$20,$O$14:$O$20,$Y$14:$Y$20,$AI$14:$AI$20,$AS$14:$AS$14)=AS14,AS14&lt;&gt;0))</f>
        <v>0</v>
      </c>
      <c r="AU14" s="6">
        <f>IF(SUMIFS(DATA!$V:$V,DATA!$H:$H,LOWER($B14),DATA!$C:$C,_xlfn.NUMBERVALUE(LEFT($D$2,2)),DATA!$D:$D,_xlfn.NUMBERVALUE(MID($D$2,FIND("/",$D$2)+1,LEN($D$2))),DATA!$E:$E,$D$6,DATA!$F:$F,$D$4,DATA!$G:$G,LOWER(AQ$12))=0,"-",SUMIFS(DATA!$V:$V,DATA!$H:$H,LOWER($B14),DATA!$C:$C,_xlfn.NUMBERVALUE(LEFT($D$2,2)),DATA!$D:$D,_xlfn.NUMBERVALUE(MID($D$2,FIND("/",$D$2)+1,LEN($D$2))),DATA!$E:$E,$D$6,DATA!$F:$F,$D$4,DATA!$G:$G,LOWER(AQ$12)))</f>
        <v>0.480450522928</v>
      </c>
      <c r="AV14" s="6" t="b">
        <f t="shared" ref="AV14:AV20" si="21">IF($C$8=1,AND(MAX($G14,$Q14,$AA14,$AK14,$AU14)=AU14,AU14&lt;&gt;0),AND(MAX($G$14:$G$20,$Q$14:$Q$20,$AA$14:$AA$20,$AK$14:$AK$20,$AU$14:$AU$20)=AU14,AU14&lt;&gt;0))</f>
        <v>0</v>
      </c>
      <c r="AW14" s="6">
        <f>IF(SUMIFS(DATA!$W:$W,DATA!$H:$H,LOWER($B14),DATA!$C:$C,_xlfn.NUMBERVALUE(LEFT($D$2,2)),DATA!$D:$D,_xlfn.NUMBERVALUE(MID($D$2,FIND("/",$D$2)+1,LEN($D$2))),DATA!$E:$E,$D$6,DATA!$F:$F,$D$4,DATA!$G:$G,LOWER(AQ$12))=0,"-",SUMIFS(DATA!$W:$W,DATA!$H:$H,LOWER($B14),DATA!$C:$C,_xlfn.NUMBERVALUE(LEFT($D$2,2)),DATA!$D:$D,_xlfn.NUMBERVALUE(MID($D$2,FIND("/",$D$2)+1,LEN($D$2))),DATA!$E:$E,$D$6,DATA!$F:$F,$D$4,DATA!$G:$G,LOWER(AQ$12)))</f>
        <v>0.48099285602500003</v>
      </c>
      <c r="AX14" s="6" t="b">
        <f t="shared" ref="AX14:AX20" si="22">IF($C$8=1,AND(MAX($I14,$S14,$AC14,$AM14,$AW14)=AW14,AW14&lt;&gt;0),AND(MAX($I$14:$I$20,$S$14:$S$20,$AC$14:$AC$20,$AM$14:$AM$20,$AW$14:$AW$20)=AW14,AW14&lt;&gt;0))</f>
        <v>0</v>
      </c>
      <c r="AY14" s="6">
        <f>IF(SUMIFS(DATA!$X:$X,DATA!$H:$H,LOWER($B14),DATA!$C:$C,_xlfn.NUMBERVALUE(LEFT($D$2,2)),DATA!$D:$D,_xlfn.NUMBERVALUE(MID($D$2,FIND("/",$D$2)+1,LEN($D$2))),DATA!$E:$E,$D$6,DATA!$F:$F,$D$4,DATA!$G:$G,LOWER(AQ$12))=0,"-",SUMIFS(DATA!$X:$X,DATA!$H:$H,LOWER($B14),DATA!$C:$C,_xlfn.NUMBERVALUE(LEFT($D$2,2)),DATA!$D:$D,_xlfn.NUMBERVALUE(MID($D$2,FIND("/",$D$2)+1,LEN($D$2))),DATA!$E:$E,$D$6,DATA!$F:$F,$D$4,DATA!$G:$G,LOWER(AQ$12)))</f>
        <v>0.479483122363</v>
      </c>
      <c r="AZ14" s="7" t="b">
        <f t="shared" ref="AZ14:AZ20" si="23">IF($C$8=1,AND(MAX($K14,$U14,$AE14,$AO14,$AY14)=AY14,AY14&lt;&gt;0),AND(MAX($K$14:$K$20,$U$14:$U$20,$AE$14:$AE$20,$AO$14:$AO$20,$AY$14:$AY$20)=AY14,AY14&lt;&gt;0))</f>
        <v>0</v>
      </c>
      <c r="BA14" s="4"/>
      <c r="BB14" s="4"/>
    </row>
    <row r="15" spans="2:87" x14ac:dyDescent="0.25">
      <c r="B15" s="18" t="s">
        <v>148</v>
      </c>
      <c r="C15" s="5">
        <f>IF(SUMIFS(DATA!$T:$T,DATA!$H:$H,LOWER($B15),DATA!$C:$C,_xlfn.NUMBERVALUE(LEFT($D$2,2)),DATA!$D:$D,_xlfn.NUMBERVALUE(MID($D$2,FIND("/",$D$2)+1,LEN($D$2))),DATA!$E:$E,$D$6,DATA!$F:$F,$D$4,DATA!$G:$G,LOWER(C$12))=0,"-",SUMIFS(DATA!$T:$T,DATA!$H:$H,LOWER($B15),DATA!$C:$C,_xlfn.NUMBERVALUE(LEFT($D$2,2)),DATA!$D:$D,_xlfn.NUMBERVALUE(MID($D$2,FIND("/",$D$2)+1,LEN($D$2))),DATA!$E:$E,$D$6,DATA!$F:$F,$D$4,DATA!$G:$G,LOWER(C$12)))</f>
        <v>0.471223021583</v>
      </c>
      <c r="D15" s="6" t="b">
        <f t="shared" si="0"/>
        <v>0</v>
      </c>
      <c r="E15" s="6">
        <f>IF(SUMIFS(DATA!$U:$U,DATA!$H:$H,LOWER($B15),DATA!$C:$C,_xlfn.NUMBERVALUE(LEFT($D$2,2)),DATA!$D:$D,_xlfn.NUMBERVALUE(MID($D$2,FIND("/",$D$2)+1,LEN($D$2))),DATA!$E:$E,$D$6,DATA!$F:$F,$D$4,DATA!$G:$G,LOWER(C$12))=0,"-",SUMIFS(DATA!$U:$U,DATA!$H:$H,LOWER($B15),DATA!$C:$C,_xlfn.NUMBERVALUE(LEFT($D$2,2)),DATA!$D:$D,_xlfn.NUMBERVALUE(MID($D$2,FIND("/",$D$2)+1,LEN($D$2))),DATA!$E:$E,$D$6,DATA!$F:$F,$D$4,DATA!$G:$G,LOWER(C$12)))</f>
        <v>0.462559315847</v>
      </c>
      <c r="F15" s="6" t="b">
        <f t="shared" si="1"/>
        <v>0</v>
      </c>
      <c r="G15" s="6">
        <f>IF(SUMIFS(DATA!$V:$V,DATA!$H:$H,LOWER($B15),DATA!$C:$C,_xlfn.NUMBERVALUE(LEFT($D$2,2)),DATA!$D:$D,_xlfn.NUMBERVALUE(MID($D$2,FIND("/",$D$2)+1,LEN($D$2))),DATA!$E:$E,$D$6,DATA!$F:$F,$D$4,DATA!$G:$G,LOWER(C$12))=0,"-",SUMIFS(DATA!$V:$V,DATA!$H:$H,LOWER($B15),DATA!$C:$C,_xlfn.NUMBERVALUE(LEFT($D$2,2)),DATA!$D:$D,_xlfn.NUMBERVALUE(MID($D$2,FIND("/",$D$2)+1,LEN($D$2))),DATA!$E:$E,$D$6,DATA!$F:$F,$D$4,DATA!$G:$G,LOWER(C$12)))</f>
        <v>0.46138123924300001</v>
      </c>
      <c r="H15" s="6" t="b">
        <f t="shared" si="2"/>
        <v>0</v>
      </c>
      <c r="I15" s="6">
        <f>IF(SUMIFS(DATA!$W:$W,DATA!$H:$H,LOWER($B15),DATA!$C:$C,_xlfn.NUMBERVALUE(LEFT($D$2,2)),DATA!$D:$D,_xlfn.NUMBERVALUE(MID($D$2,FIND("/",$D$2)+1,LEN($D$2))),DATA!$E:$E,$D$6,DATA!$F:$F,$D$4,DATA!$G:$G,LOWER(C$12))=0,"-",SUMIFS(DATA!$W:$W,DATA!$H:$H,LOWER($B15),DATA!$C:$C,_xlfn.NUMBERVALUE(LEFT($D$2,2)),DATA!$D:$D,_xlfn.NUMBERVALUE(MID($D$2,FIND("/",$D$2)+1,LEN($D$2))),DATA!$E:$E,$D$6,DATA!$F:$F,$D$4,DATA!$G:$G,LOWER(C$12)))</f>
        <v>0.462559315847</v>
      </c>
      <c r="J15" s="6" t="b">
        <f t="shared" ref="J15:J20" si="24">IF($C$8=1,AND(MAX($I15,$S15,$AC15,$AM15,$AW15)=I15,I15&lt;&gt;0),AND(MAX($I$14:$I$20,$S$14:$S$20,$AC$14:$AC$20,$AM$14:$AM$20,$AW$14:$AW$20)=I15,I15&lt;&gt;0))</f>
        <v>0</v>
      </c>
      <c r="K15" s="6">
        <f>IF(SUMIFS(DATA!$X:$X,DATA!$H:$H,LOWER($B15),DATA!$C:$C,_xlfn.NUMBERVALUE(LEFT($D$2,2)),DATA!$D:$D,_xlfn.NUMBERVALUE(MID($D$2,FIND("/",$D$2)+1,LEN($D$2))),DATA!$E:$E,$D$6,DATA!$F:$F,$D$4,DATA!$G:$G,LOWER(C$12))=0,"-",SUMIFS(DATA!$X:$X,DATA!$H:$H,LOWER($B15),DATA!$C:$C,_xlfn.NUMBERVALUE(LEFT($D$2,2)),DATA!$D:$D,_xlfn.NUMBERVALUE(MID($D$2,FIND("/",$D$2)+1,LEN($D$2))),DATA!$E:$E,$D$6,DATA!$F:$F,$D$4,DATA!$G:$G,LOWER(C$12)))</f>
        <v>0.460607420509</v>
      </c>
      <c r="L15" s="7" t="b">
        <f t="shared" si="3"/>
        <v>0</v>
      </c>
      <c r="M15" s="5">
        <f>IF(SUMIFS(DATA!$T:$T,DATA!$H:$H,LOWER($B15),DATA!$C:$C,_xlfn.NUMBERVALUE(LEFT($D$2,2)),DATA!$D:$D,_xlfn.NUMBERVALUE(MID($D$2,FIND("/",$D$2)+1,LEN($D$2))),DATA!$E:$E,$D$6,DATA!$F:$F,$D$4,DATA!$G:$G,LOWER(M$12))=0,"-",SUMIFS(DATA!$T:$T,DATA!$H:$H,LOWER($B15),DATA!$C:$C,_xlfn.NUMBERVALUE(LEFT($D$2,2)),DATA!$D:$D,_xlfn.NUMBERVALUE(MID($D$2,FIND("/",$D$2)+1,LEN($D$2))),DATA!$E:$E,$D$6,DATA!$F:$F,$D$4,DATA!$G:$G,LOWER(M$12)))</f>
        <v>0.528776978417</v>
      </c>
      <c r="N15" s="6" t="b">
        <f t="shared" si="4"/>
        <v>0</v>
      </c>
      <c r="O15" s="6">
        <f>IF(SUMIFS(DATA!$U:$U,DATA!$H:$H,LOWER($B15),DATA!$C:$C,_xlfn.NUMBERVALUE(LEFT($D$2,2)),DATA!$D:$D,_xlfn.NUMBERVALUE(MID($D$2,FIND("/",$D$2)+1,LEN($D$2))),DATA!$E:$E,$D$6,DATA!$F:$F,$D$4,DATA!$G:$G,LOWER(M$12))=0,"-",SUMIFS(DATA!$U:$U,DATA!$H:$H,LOWER($B15),DATA!$C:$C,_xlfn.NUMBERVALUE(LEFT($D$2,2)),DATA!$D:$D,_xlfn.NUMBERVALUE(MID($D$2,FIND("/",$D$2)+1,LEN($D$2))),DATA!$E:$E,$D$6,DATA!$F:$F,$D$4,DATA!$G:$G,LOWER(M$12)))</f>
        <v>0.52367419304399998</v>
      </c>
      <c r="P15" s="6" t="b">
        <f t="shared" si="5"/>
        <v>0</v>
      </c>
      <c r="Q15" s="6">
        <f>IF(SUMIFS(DATA!$V:$V,DATA!$H:$H,LOWER($B15),DATA!$C:$C,_xlfn.NUMBERVALUE(LEFT($D$2,2)),DATA!$D:$D,_xlfn.NUMBERVALUE(MID($D$2,FIND("/",$D$2)+1,LEN($D$2))),DATA!$E:$E,$D$6,DATA!$F:$F,$D$4,DATA!$G:$G,LOWER(M$12))=0,"-",SUMIFS(DATA!$V:$V,DATA!$H:$H,LOWER($B15),DATA!$C:$C,_xlfn.NUMBERVALUE(LEFT($D$2,2)),DATA!$D:$D,_xlfn.NUMBERVALUE(MID($D$2,FIND("/",$D$2)+1,LEN($D$2))),DATA!$E:$E,$D$6,DATA!$F:$F,$D$4,DATA!$G:$G,LOWER(M$12)))</f>
        <v>0.52385456074000003</v>
      </c>
      <c r="R15" s="6" t="b">
        <f t="shared" si="6"/>
        <v>0</v>
      </c>
      <c r="S15" s="6">
        <f>IF(SUMIFS(DATA!$W:$W,DATA!$H:$H,LOWER($B15),DATA!$C:$C,_xlfn.NUMBERVALUE(LEFT($D$2,2)),DATA!$D:$D,_xlfn.NUMBERVALUE(MID($D$2,FIND("/",$D$2)+1,LEN($D$2))),DATA!$E:$E,$D$6,DATA!$F:$F,$D$4,DATA!$G:$G,LOWER(M$12))=0,"-",SUMIFS(DATA!$W:$W,DATA!$H:$H,LOWER($B15),DATA!$C:$C,_xlfn.NUMBERVALUE(LEFT($D$2,2)),DATA!$D:$D,_xlfn.NUMBERVALUE(MID($D$2,FIND("/",$D$2)+1,LEN($D$2))),DATA!$E:$E,$D$6,DATA!$F:$F,$D$4,DATA!$G:$G,LOWER(M$12)))</f>
        <v>0.52367419304399998</v>
      </c>
      <c r="T15" s="6" t="b">
        <f t="shared" si="7"/>
        <v>0</v>
      </c>
      <c r="U15" s="6">
        <f>IF(SUMIFS(DATA!$X:$X,DATA!$H:$H,LOWER($B15),DATA!$C:$C,_xlfn.NUMBERVALUE(LEFT($D$2,2)),DATA!$D:$D,_xlfn.NUMBERVALUE(MID($D$2,FIND("/",$D$2)+1,LEN($D$2))),DATA!$E:$E,$D$6,DATA!$F:$F,$D$4,DATA!$G:$G,LOWER(M$12))=0,"-",SUMIFS(DATA!$X:$X,DATA!$H:$H,LOWER($B15),DATA!$C:$C,_xlfn.NUMBERVALUE(LEFT($D$2,2)),DATA!$D:$D,_xlfn.NUMBERVALUE(MID($D$2,FIND("/",$D$2)+1,LEN($D$2))),DATA!$E:$E,$D$6,DATA!$F:$F,$D$4,DATA!$G:$G,LOWER(M$12)))</f>
        <v>0.52359274230499997</v>
      </c>
      <c r="V15" s="7" t="b">
        <f t="shared" si="8"/>
        <v>0</v>
      </c>
      <c r="W15" s="5">
        <f>IF(SUMIFS(DATA!$T:$T,DATA!$H:$H,LOWER($B15),DATA!$C:$C,_xlfn.NUMBERVALUE(LEFT($D$2,2)),DATA!$D:$D,_xlfn.NUMBERVALUE(MID($D$2,FIND("/",$D$2)+1,LEN($D$2))),DATA!$E:$E,$D$6,DATA!$F:$F,$D$4,DATA!$G:$G,LOWER(W$12))=0,"-",SUMIFS(DATA!$T:$T,DATA!$H:$H,LOWER($B15),DATA!$C:$C,_xlfn.NUMBERVALUE(LEFT($D$2,2)),DATA!$D:$D,_xlfn.NUMBERVALUE(MID($D$2,FIND("/",$D$2)+1,LEN($D$2))),DATA!$E:$E,$D$6,DATA!$F:$F,$D$4,DATA!$G:$G,LOWER(W$12)))</f>
        <v>0.45683453237400001</v>
      </c>
      <c r="X15" s="6" t="b">
        <f t="shared" si="9"/>
        <v>0</v>
      </c>
      <c r="Y15" s="6">
        <f>IF(SUMIFS(DATA!$U:$U,DATA!$H:$H,LOWER($B15),DATA!$C:$C,_xlfn.NUMBERVALUE(LEFT($D$2,2)),DATA!$D:$D,_xlfn.NUMBERVALUE(MID($D$2,FIND("/",$D$2)+1,LEN($D$2))),DATA!$E:$E,$D$6,DATA!$F:$F,$D$4,DATA!$G:$G,LOWER(W$12))=0,"-",SUMIFS(DATA!$U:$U,DATA!$H:$H,LOWER($B15),DATA!$C:$C,_xlfn.NUMBERVALUE(LEFT($D$2,2)),DATA!$D:$D,_xlfn.NUMBERVALUE(MID($D$2,FIND("/",$D$2)+1,LEN($D$2))),DATA!$E:$E,$D$6,DATA!$F:$F,$D$4,DATA!$G:$G,LOWER(W$12)))</f>
        <v>0.45432027950100001</v>
      </c>
      <c r="Z15" s="6" t="b">
        <f t="shared" si="10"/>
        <v>0</v>
      </c>
      <c r="AA15" s="6">
        <f>IF(SUMIFS(DATA!$V:$V,DATA!$H:$H,LOWER($B15),DATA!$C:$C,_xlfn.NUMBERVALUE(LEFT($D$2,2)),DATA!$D:$D,_xlfn.NUMBERVALUE(MID($D$2,FIND("/",$D$2)+1,LEN($D$2))),DATA!$E:$E,$D$6,DATA!$F:$F,$D$4,DATA!$G:$G,LOWER(W$12))=0,"-",SUMIFS(DATA!$V:$V,DATA!$H:$H,LOWER($B15),DATA!$C:$C,_xlfn.NUMBERVALUE(LEFT($D$2,2)),DATA!$D:$D,_xlfn.NUMBERVALUE(MID($D$2,FIND("/",$D$2)+1,LEN($D$2))),DATA!$E:$E,$D$6,DATA!$F:$F,$D$4,DATA!$G:$G,LOWER(W$12)))</f>
        <v>0.45454545454500001</v>
      </c>
      <c r="AB15" s="6" t="b">
        <f t="shared" si="11"/>
        <v>0</v>
      </c>
      <c r="AC15" s="6">
        <f>IF(SUMIFS(DATA!$W:$W,DATA!$H:$H,LOWER($B15),DATA!$C:$C,_xlfn.NUMBERVALUE(LEFT($D$2,2)),DATA!$D:$D,_xlfn.NUMBERVALUE(MID($D$2,FIND("/",$D$2)+1,LEN($D$2))),DATA!$E:$E,$D$6,DATA!$F:$F,$D$4,DATA!$G:$G,LOWER(W$12))=0,"-",SUMIFS(DATA!$W:$W,DATA!$H:$H,LOWER($B15),DATA!$C:$C,_xlfn.NUMBERVALUE(LEFT($D$2,2)),DATA!$D:$D,_xlfn.NUMBERVALUE(MID($D$2,FIND("/",$D$2)+1,LEN($D$2))),DATA!$E:$E,$D$6,DATA!$F:$F,$D$4,DATA!$G:$G,LOWER(W$12)))</f>
        <v>0.45432027950100001</v>
      </c>
      <c r="AD15" s="6" t="b">
        <f t="shared" si="12"/>
        <v>0</v>
      </c>
      <c r="AE15" s="6">
        <f>IF(SUMIFS(DATA!$X:$X,DATA!$H:$H,LOWER($B15),DATA!$C:$C,_xlfn.NUMBERVALUE(LEFT($D$2,2)),DATA!$D:$D,_xlfn.NUMBERVALUE(MID($D$2,FIND("/",$D$2)+1,LEN($D$2))),DATA!$E:$E,$D$6,DATA!$F:$F,$D$4,DATA!$G:$G,LOWER(W$12))=0,"-",SUMIFS(DATA!$X:$X,DATA!$H:$H,LOWER($B15),DATA!$C:$C,_xlfn.NUMBERVALUE(LEFT($D$2,2)),DATA!$D:$D,_xlfn.NUMBERVALUE(MID($D$2,FIND("/",$D$2)+1,LEN($D$2))),DATA!$E:$E,$D$6,DATA!$F:$F,$D$4,DATA!$G:$G,LOWER(W$12)))</f>
        <v>0.454285454285</v>
      </c>
      <c r="AF15" s="7" t="b">
        <f t="shared" si="13"/>
        <v>0</v>
      </c>
      <c r="AG15" s="5">
        <f>IF(SUMIFS(DATA!$T:$T,DATA!$H:$H,LOWER($B15),DATA!$C:$C,_xlfn.NUMBERVALUE(LEFT($D$2,2)),DATA!$D:$D,_xlfn.NUMBERVALUE(MID($D$2,FIND("/",$D$2)+1,LEN($D$2))),DATA!$E:$E,$D$6,DATA!$F:$F,$D$4,DATA!$G:$G,LOWER(AG$12))=0,"-",SUMIFS(DATA!$T:$T,DATA!$H:$H,LOWER($B15),DATA!$C:$C,_xlfn.NUMBERVALUE(LEFT($D$2,2)),DATA!$D:$D,_xlfn.NUMBERVALUE(MID($D$2,FIND("/",$D$2)+1,LEN($D$2))),DATA!$E:$E,$D$6,DATA!$F:$F,$D$4,DATA!$G:$G,LOWER(AG$12)))</f>
        <v>0.51798561151099998</v>
      </c>
      <c r="AH15" s="6" t="b">
        <f t="shared" si="14"/>
        <v>0</v>
      </c>
      <c r="AI15" s="6">
        <f>IF(SUMIFS(DATA!$U:$U,DATA!$H:$H,LOWER($B15),DATA!$C:$C,_xlfn.NUMBERVALUE(LEFT($D$2,2)),DATA!$D:$D,_xlfn.NUMBERVALUE(MID($D$2,FIND("/",$D$2)+1,LEN($D$2))),DATA!$E:$E,$D$6,DATA!$F:$F,$D$4,DATA!$G:$G,LOWER(AG$12))=0,"-",SUMIFS(DATA!$U:$U,DATA!$H:$H,LOWER($B15),DATA!$C:$C,_xlfn.NUMBERVALUE(LEFT($D$2,2)),DATA!$D:$D,_xlfn.NUMBERVALUE(MID($D$2,FIND("/",$D$2)+1,LEN($D$2))),DATA!$E:$E,$D$6,DATA!$F:$F,$D$4,DATA!$G:$G,LOWER(AG$12)))</f>
        <v>0.50936017103800002</v>
      </c>
      <c r="AJ15" s="6" t="b">
        <f t="shared" si="15"/>
        <v>0</v>
      </c>
      <c r="AK15" s="6">
        <f>IF(SUMIFS(DATA!$V:$V,DATA!$H:$H,LOWER($B15),DATA!$C:$C,_xlfn.NUMBERVALUE(LEFT($D$2,2)),DATA!$D:$D,_xlfn.NUMBERVALUE(MID($D$2,FIND("/",$D$2)+1,LEN($D$2))),DATA!$E:$E,$D$6,DATA!$F:$F,$D$4,DATA!$G:$G,LOWER(AG$12))=0,"-",SUMIFS(DATA!$V:$V,DATA!$H:$H,LOWER($B15),DATA!$C:$C,_xlfn.NUMBERVALUE(LEFT($D$2,2)),DATA!$D:$D,_xlfn.NUMBERVALUE(MID($D$2,FIND("/",$D$2)+1,LEN($D$2))),DATA!$E:$E,$D$6,DATA!$F:$F,$D$4,DATA!$G:$G,LOWER(AG$12)))</f>
        <v>0.50968333603100002</v>
      </c>
      <c r="AL15" s="6" t="b">
        <f t="shared" si="16"/>
        <v>0</v>
      </c>
      <c r="AM15" s="6">
        <f>IF(SUMIFS(DATA!$W:$W,DATA!$H:$H,LOWER($B15),DATA!$C:$C,_xlfn.NUMBERVALUE(LEFT($D$2,2)),DATA!$D:$D,_xlfn.NUMBERVALUE(MID($D$2,FIND("/",$D$2)+1,LEN($D$2))),DATA!$E:$E,$D$6,DATA!$F:$F,$D$4,DATA!$G:$G,LOWER(AG$12))=0,"-",SUMIFS(DATA!$W:$W,DATA!$H:$H,LOWER($B15),DATA!$C:$C,_xlfn.NUMBERVALUE(LEFT($D$2,2)),DATA!$D:$D,_xlfn.NUMBERVALUE(MID($D$2,FIND("/",$D$2)+1,LEN($D$2))),DATA!$E:$E,$D$6,DATA!$F:$F,$D$4,DATA!$G:$G,LOWER(AG$12)))</f>
        <v>0.50936017103800002</v>
      </c>
      <c r="AN15" s="6" t="b">
        <f t="shared" si="17"/>
        <v>0</v>
      </c>
      <c r="AO15" s="6">
        <f>IF(SUMIFS(DATA!$X:$X,DATA!$H:$H,LOWER($B15),DATA!$C:$C,_xlfn.NUMBERVALUE(LEFT($D$2,2)),DATA!$D:$D,_xlfn.NUMBERVALUE(MID($D$2,FIND("/",$D$2)+1,LEN($D$2))),DATA!$E:$E,$D$6,DATA!$F:$F,$D$4,DATA!$G:$G,LOWER(AG$12))=0,"-",SUMIFS(DATA!$X:$X,DATA!$H:$H,LOWER($B15),DATA!$C:$C,_xlfn.NUMBERVALUE(LEFT($D$2,2)),DATA!$D:$D,_xlfn.NUMBERVALUE(MID($D$2,FIND("/",$D$2)+1,LEN($D$2))),DATA!$E:$E,$D$6,DATA!$F:$F,$D$4,DATA!$G:$G,LOWER(AG$12)))</f>
        <v>0.50779557105899997</v>
      </c>
      <c r="AP15" s="7" t="b">
        <f t="shared" si="18"/>
        <v>0</v>
      </c>
      <c r="AQ15" s="5">
        <f>IF(SUMIFS(DATA!$T:$T,DATA!$H:$H,LOWER($B15),DATA!$C:$C,_xlfn.NUMBERVALUE(LEFT($D$2,2)),DATA!$D:$D,_xlfn.NUMBERVALUE(MID($D$2,FIND("/",$D$2)+1,LEN($D$2))),DATA!$E:$E,$D$6,DATA!$F:$F,$D$4,DATA!$G:$G,LOWER(AQ$12))=0,"-",SUMIFS(DATA!$T:$T,DATA!$H:$H,LOWER($B15),DATA!$C:$C,_xlfn.NUMBERVALUE(LEFT($D$2,2)),DATA!$D:$D,_xlfn.NUMBERVALUE(MID($D$2,FIND("/",$D$2)+1,LEN($D$2))),DATA!$E:$E,$D$6,DATA!$F:$F,$D$4,DATA!$G:$G,LOWER(AQ$12)))</f>
        <v>0.460431654676</v>
      </c>
      <c r="AR15" s="6" t="b">
        <f t="shared" si="19"/>
        <v>0</v>
      </c>
      <c r="AS15" s="6">
        <f>IF(SUMIFS(DATA!$U:$U,DATA!$H:$H,LOWER($B15),DATA!$C:$C,_xlfn.NUMBERVALUE(LEFT($D$2,2)),DATA!$D:$D,_xlfn.NUMBERVALUE(MID($D$2,FIND("/",$D$2)+1,LEN($D$2))),DATA!$E:$E,$D$6,DATA!$F:$F,$D$4,DATA!$G:$G,LOWER(AQ$12))=0,"-",SUMIFS(DATA!$U:$U,DATA!$H:$H,LOWER($B15),DATA!$C:$C,_xlfn.NUMBERVALUE(LEFT($D$2,2)),DATA!$D:$D,_xlfn.NUMBERVALUE(MID($D$2,FIND("/",$D$2)+1,LEN($D$2))),DATA!$E:$E,$D$6,DATA!$F:$F,$D$4,DATA!$G:$G,LOWER(AQ$12)))</f>
        <v>0.45575428899199999</v>
      </c>
      <c r="AT15" s="6" t="b">
        <f t="shared" si="20"/>
        <v>0</v>
      </c>
      <c r="AU15" s="6">
        <f>IF(SUMIFS(DATA!$V:$V,DATA!$H:$H,LOWER($B15),DATA!$C:$C,_xlfn.NUMBERVALUE(LEFT($D$2,2)),DATA!$D:$D,_xlfn.NUMBERVALUE(MID($D$2,FIND("/",$D$2)+1,LEN($D$2))),DATA!$E:$E,$D$6,DATA!$F:$F,$D$4,DATA!$G:$G,LOWER(AQ$12))=0,"-",SUMIFS(DATA!$V:$V,DATA!$H:$H,LOWER($B15),DATA!$C:$C,_xlfn.NUMBERVALUE(LEFT($D$2,2)),DATA!$D:$D,_xlfn.NUMBERVALUE(MID($D$2,FIND("/",$D$2)+1,LEN($D$2))),DATA!$E:$E,$D$6,DATA!$F:$F,$D$4,DATA!$G:$G,LOWER(AQ$12)))</f>
        <v>0.455633986928</v>
      </c>
      <c r="AV15" s="6" t="b">
        <f t="shared" si="21"/>
        <v>0</v>
      </c>
      <c r="AW15" s="6">
        <f>IF(SUMIFS(DATA!$W:$W,DATA!$H:$H,LOWER($B15),DATA!$C:$C,_xlfn.NUMBERVALUE(LEFT($D$2,2)),DATA!$D:$D,_xlfn.NUMBERVALUE(MID($D$2,FIND("/",$D$2)+1,LEN($D$2))),DATA!$E:$E,$D$6,DATA!$F:$F,$D$4,DATA!$G:$G,LOWER(AQ$12))=0,"-",SUMIFS(DATA!$W:$W,DATA!$H:$H,LOWER($B15),DATA!$C:$C,_xlfn.NUMBERVALUE(LEFT($D$2,2)),DATA!$D:$D,_xlfn.NUMBERVALUE(MID($D$2,FIND("/",$D$2)+1,LEN($D$2))),DATA!$E:$E,$D$6,DATA!$F:$F,$D$4,DATA!$G:$G,LOWER(AQ$12)))</f>
        <v>0.45575428899199999</v>
      </c>
      <c r="AX15" s="6" t="b">
        <f t="shared" si="22"/>
        <v>0</v>
      </c>
      <c r="AY15" s="6">
        <f>IF(SUMIFS(DATA!$X:$X,DATA!$H:$H,LOWER($B15),DATA!$C:$C,_xlfn.NUMBERVALUE(LEFT($D$2,2)),DATA!$D:$D,_xlfn.NUMBERVALUE(MID($D$2,FIND("/",$D$2)+1,LEN($D$2))),DATA!$E:$E,$D$6,DATA!$F:$F,$D$4,DATA!$G:$G,LOWER(AQ$12))=0,"-",SUMIFS(DATA!$X:$X,DATA!$H:$H,LOWER($B15),DATA!$C:$C,_xlfn.NUMBERVALUE(LEFT($D$2,2)),DATA!$D:$D,_xlfn.NUMBERVALUE(MID($D$2,FIND("/",$D$2)+1,LEN($D$2))),DATA!$E:$E,$D$6,DATA!$F:$F,$D$4,DATA!$G:$G,LOWER(AQ$12)))</f>
        <v>0.45567042606500002</v>
      </c>
      <c r="AZ15" s="7" t="b">
        <f t="shared" si="23"/>
        <v>0</v>
      </c>
    </row>
    <row r="16" spans="2:87" x14ac:dyDescent="0.25">
      <c r="B16" s="8" t="s">
        <v>149</v>
      </c>
      <c r="C16" s="5">
        <f>IF(SUMIFS(DATA!$T:$T,DATA!$H:$H,LOWER($B16),DATA!$C:$C,_xlfn.NUMBERVALUE(LEFT($D$2,2)),DATA!$D:$D,_xlfn.NUMBERVALUE(MID($D$2,FIND("/",$D$2)+1,LEN($D$2))),DATA!$E:$E,$D$6,DATA!$F:$F,$D$4,DATA!$G:$G,LOWER(C$12))=0,"-",SUMIFS(DATA!$T:$T,DATA!$H:$H,LOWER($B16),DATA!$C:$C,_xlfn.NUMBERVALUE(LEFT($D$2,2)),DATA!$D:$D,_xlfn.NUMBERVALUE(MID($D$2,FIND("/",$D$2)+1,LEN($D$2))),DATA!$E:$E,$D$6,DATA!$F:$F,$D$4,DATA!$G:$G,LOWER(C$12)))</f>
        <v>0.38489208633100003</v>
      </c>
      <c r="D16" s="6" t="b">
        <f t="shared" si="0"/>
        <v>0</v>
      </c>
      <c r="E16" s="6">
        <f>IF(SUMIFS(DATA!$U:$U,DATA!$H:$H,LOWER($B16),DATA!$C:$C,_xlfn.NUMBERVALUE(LEFT($D$2,2)),DATA!$D:$D,_xlfn.NUMBERVALUE(MID($D$2,FIND("/",$D$2)+1,LEN($D$2))),DATA!$E:$E,$D$6,DATA!$F:$F,$D$4,DATA!$G:$G,LOWER(C$12))=0,"-",SUMIFS(DATA!$U:$U,DATA!$H:$H,LOWER($B16),DATA!$C:$C,_xlfn.NUMBERVALUE(LEFT($D$2,2)),DATA!$D:$D,_xlfn.NUMBERVALUE(MID($D$2,FIND("/",$D$2)+1,LEN($D$2))),DATA!$E:$E,$D$6,DATA!$F:$F,$D$4,DATA!$G:$G,LOWER(C$12)))</f>
        <v>0.38058611878800003</v>
      </c>
      <c r="F16" s="6" t="b">
        <f t="shared" si="1"/>
        <v>0</v>
      </c>
      <c r="G16" s="6">
        <f>IF(SUMIFS(DATA!$V:$V,DATA!$H:$H,LOWER($B16),DATA!$C:$C,_xlfn.NUMBERVALUE(LEFT($D$2,2)),DATA!$D:$D,_xlfn.NUMBERVALUE(MID($D$2,FIND("/",$D$2)+1,LEN($D$2))),DATA!$E:$E,$D$6,DATA!$F:$F,$D$4,DATA!$G:$G,LOWER(C$12))=0,"-",SUMIFS(DATA!$V:$V,DATA!$H:$H,LOWER($B16),DATA!$C:$C,_xlfn.NUMBERVALUE(LEFT($D$2,2)),DATA!$D:$D,_xlfn.NUMBERVALUE(MID($D$2,FIND("/",$D$2)+1,LEN($D$2))),DATA!$E:$E,$D$6,DATA!$F:$F,$D$4,DATA!$G:$G,LOWER(C$12)))</f>
        <v>0.38072916666700002</v>
      </c>
      <c r="H16" s="6" t="b">
        <f t="shared" si="2"/>
        <v>0</v>
      </c>
      <c r="I16" s="6">
        <f>IF(SUMIFS(DATA!$W:$W,DATA!$H:$H,LOWER($B16),DATA!$C:$C,_xlfn.NUMBERVALUE(LEFT($D$2,2)),DATA!$D:$D,_xlfn.NUMBERVALUE(MID($D$2,FIND("/",$D$2)+1,LEN($D$2))),DATA!$E:$E,$D$6,DATA!$F:$F,$D$4,DATA!$G:$G,LOWER(C$12))=0,"-",SUMIFS(DATA!$W:$W,DATA!$H:$H,LOWER($B16),DATA!$C:$C,_xlfn.NUMBERVALUE(LEFT($D$2,2)),DATA!$D:$D,_xlfn.NUMBERVALUE(MID($D$2,FIND("/",$D$2)+1,LEN($D$2))),DATA!$E:$E,$D$6,DATA!$F:$F,$D$4,DATA!$G:$G,LOWER(C$12)))</f>
        <v>0.38058611878800003</v>
      </c>
      <c r="J16" s="6" t="b">
        <f t="shared" si="24"/>
        <v>0</v>
      </c>
      <c r="K16" s="6">
        <f>IF(SUMIFS(DATA!$X:$X,DATA!$H:$H,LOWER($B16),DATA!$C:$C,_xlfn.NUMBERVALUE(LEFT($D$2,2)),DATA!$D:$D,_xlfn.NUMBERVALUE(MID($D$2,FIND("/",$D$2)+1,LEN($D$2))),DATA!$E:$E,$D$6,DATA!$F:$F,$D$4,DATA!$G:$G,LOWER(C$12))=0,"-",SUMIFS(DATA!$X:$X,DATA!$H:$H,LOWER($B16),DATA!$C:$C,_xlfn.NUMBERVALUE(LEFT($D$2,2)),DATA!$D:$D,_xlfn.NUMBERVALUE(MID($D$2,FIND("/",$D$2)+1,LEN($D$2))),DATA!$E:$E,$D$6,DATA!$F:$F,$D$4,DATA!$G:$G,LOWER(C$12)))</f>
        <v>0.38065272620700003</v>
      </c>
      <c r="L16" s="7" t="b">
        <f t="shared" si="3"/>
        <v>0</v>
      </c>
      <c r="M16" s="5">
        <f>IF(SUMIFS(DATA!$T:$T,DATA!$H:$H,LOWER($B16),DATA!$C:$C,_xlfn.NUMBERVALUE(LEFT($D$2,2)),DATA!$D:$D,_xlfn.NUMBERVALUE(MID($D$2,FIND("/",$D$2)+1,LEN($D$2))),DATA!$E:$E,$D$6,DATA!$F:$F,$D$4,DATA!$G:$G,LOWER(M$12))=0,"-",SUMIFS(DATA!$T:$T,DATA!$H:$H,LOWER($B16),DATA!$C:$C,_xlfn.NUMBERVALUE(LEFT($D$2,2)),DATA!$D:$D,_xlfn.NUMBERVALUE(MID($D$2,FIND("/",$D$2)+1,LEN($D$2))),DATA!$E:$E,$D$6,DATA!$F:$F,$D$4,DATA!$G:$G,LOWER(M$12)))</f>
        <v>0.51798561151099998</v>
      </c>
      <c r="N16" s="6" t="b">
        <f t="shared" si="4"/>
        <v>0</v>
      </c>
      <c r="O16" s="6">
        <f>IF(SUMIFS(DATA!$U:$U,DATA!$H:$H,LOWER($B16),DATA!$C:$C,_xlfn.NUMBERVALUE(LEFT($D$2,2)),DATA!$D:$D,_xlfn.NUMBERVALUE(MID($D$2,FIND("/",$D$2)+1,LEN($D$2))),DATA!$E:$E,$D$6,DATA!$F:$F,$D$4,DATA!$G:$G,LOWER(M$12))=0,"-",SUMIFS(DATA!$U:$U,DATA!$H:$H,LOWER($B16),DATA!$C:$C,_xlfn.NUMBERVALUE(LEFT($D$2,2)),DATA!$D:$D,_xlfn.NUMBERVALUE(MID($D$2,FIND("/",$D$2)+1,LEN($D$2))),DATA!$E:$E,$D$6,DATA!$F:$F,$D$4,DATA!$G:$G,LOWER(M$12)))</f>
        <v>0.514366167805</v>
      </c>
      <c r="P16" s="6" t="b">
        <f t="shared" si="5"/>
        <v>0</v>
      </c>
      <c r="Q16" s="6">
        <f>IF(SUMIFS(DATA!$V:$V,DATA!$H:$H,LOWER($B16),DATA!$C:$C,_xlfn.NUMBERVALUE(LEFT($D$2,2)),DATA!$D:$D,_xlfn.NUMBERVALUE(MID($D$2,FIND("/",$D$2)+1,LEN($D$2))),DATA!$E:$E,$D$6,DATA!$F:$F,$D$4,DATA!$G:$G,LOWER(M$12))=0,"-",SUMIFS(DATA!$V:$V,DATA!$H:$H,LOWER($B16),DATA!$C:$C,_xlfn.NUMBERVALUE(LEFT($D$2,2)),DATA!$D:$D,_xlfn.NUMBERVALUE(MID($D$2,FIND("/",$D$2)+1,LEN($D$2))),DATA!$E:$E,$D$6,DATA!$F:$F,$D$4,DATA!$G:$G,LOWER(M$12)))</f>
        <v>0.514366167805</v>
      </c>
      <c r="R16" s="6" t="b">
        <f t="shared" si="6"/>
        <v>0</v>
      </c>
      <c r="S16" s="6">
        <f>IF(SUMIFS(DATA!$W:$W,DATA!$H:$H,LOWER($B16),DATA!$C:$C,_xlfn.NUMBERVALUE(LEFT($D$2,2)),DATA!$D:$D,_xlfn.NUMBERVALUE(MID($D$2,FIND("/",$D$2)+1,LEN($D$2))),DATA!$E:$E,$D$6,DATA!$F:$F,$D$4,DATA!$G:$G,LOWER(M$12))=0,"-",SUMIFS(DATA!$W:$W,DATA!$H:$H,LOWER($B16),DATA!$C:$C,_xlfn.NUMBERVALUE(LEFT($D$2,2)),DATA!$D:$D,_xlfn.NUMBERVALUE(MID($D$2,FIND("/",$D$2)+1,LEN($D$2))),DATA!$E:$E,$D$6,DATA!$F:$F,$D$4,DATA!$G:$G,LOWER(M$12)))</f>
        <v>0.514366167805</v>
      </c>
      <c r="T16" s="6" t="b">
        <f t="shared" si="7"/>
        <v>0</v>
      </c>
      <c r="U16" s="6">
        <f>IF(SUMIFS(DATA!$X:$X,DATA!$H:$H,LOWER($B16),DATA!$C:$C,_xlfn.NUMBERVALUE(LEFT($D$2,2)),DATA!$D:$D,_xlfn.NUMBERVALUE(MID($D$2,FIND("/",$D$2)+1,LEN($D$2))),DATA!$E:$E,$D$6,DATA!$F:$F,$D$4,DATA!$G:$G,LOWER(M$12))=0,"-",SUMIFS(DATA!$X:$X,DATA!$H:$H,LOWER($B16),DATA!$C:$C,_xlfn.NUMBERVALUE(LEFT($D$2,2)),DATA!$D:$D,_xlfn.NUMBERVALUE(MID($D$2,FIND("/",$D$2)+1,LEN($D$2))),DATA!$E:$E,$D$6,DATA!$F:$F,$D$4,DATA!$G:$G,LOWER(M$12)))</f>
        <v>0.514366167805</v>
      </c>
      <c r="V16" s="7" t="b">
        <f t="shared" si="8"/>
        <v>0</v>
      </c>
      <c r="W16" s="5">
        <f>IF(SUMIFS(DATA!$T:$T,DATA!$H:$H,LOWER($B16),DATA!$C:$C,_xlfn.NUMBERVALUE(LEFT($D$2,2)),DATA!$D:$D,_xlfn.NUMBERVALUE(MID($D$2,FIND("/",$D$2)+1,LEN($D$2))),DATA!$E:$E,$D$6,DATA!$F:$F,$D$4,DATA!$G:$G,LOWER(W$12))=0,"-",SUMIFS(DATA!$T:$T,DATA!$H:$H,LOWER($B16),DATA!$C:$C,_xlfn.NUMBERVALUE(LEFT($D$2,2)),DATA!$D:$D,_xlfn.NUMBERVALUE(MID($D$2,FIND("/",$D$2)+1,LEN($D$2))),DATA!$E:$E,$D$6,DATA!$F:$F,$D$4,DATA!$G:$G,LOWER(W$12)))</f>
        <v>0.40647482014399999</v>
      </c>
      <c r="X16" s="6" t="b">
        <f t="shared" si="9"/>
        <v>0</v>
      </c>
      <c r="Y16" s="6">
        <f>IF(SUMIFS(DATA!$U:$U,DATA!$H:$H,LOWER($B16),DATA!$C:$C,_xlfn.NUMBERVALUE(LEFT($D$2,2)),DATA!$D:$D,_xlfn.NUMBERVALUE(MID($D$2,FIND("/",$D$2)+1,LEN($D$2))),DATA!$E:$E,$D$6,DATA!$F:$F,$D$4,DATA!$G:$G,LOWER(W$12))=0,"-",SUMIFS(DATA!$U:$U,DATA!$H:$H,LOWER($B16),DATA!$C:$C,_xlfn.NUMBERVALUE(LEFT($D$2,2)),DATA!$D:$D,_xlfn.NUMBERVALUE(MID($D$2,FIND("/",$D$2)+1,LEN($D$2))),DATA!$E:$E,$D$6,DATA!$F:$F,$D$4,DATA!$G:$G,LOWER(W$12)))</f>
        <v>0.40045366845699998</v>
      </c>
      <c r="Z16" s="6" t="b">
        <f t="shared" si="10"/>
        <v>0</v>
      </c>
      <c r="AA16" s="6">
        <f>IF(SUMIFS(DATA!$V:$V,DATA!$H:$H,LOWER($B16),DATA!$C:$C,_xlfn.NUMBERVALUE(LEFT($D$2,2)),DATA!$D:$D,_xlfn.NUMBERVALUE(MID($D$2,FIND("/",$D$2)+1,LEN($D$2))),DATA!$E:$E,$D$6,DATA!$F:$F,$D$4,DATA!$G:$G,LOWER(W$12))=0,"-",SUMIFS(DATA!$V:$V,DATA!$H:$H,LOWER($B16),DATA!$C:$C,_xlfn.NUMBERVALUE(LEFT($D$2,2)),DATA!$D:$D,_xlfn.NUMBERVALUE(MID($D$2,FIND("/",$D$2)+1,LEN($D$2))),DATA!$E:$E,$D$6,DATA!$F:$F,$D$4,DATA!$G:$G,LOWER(W$12)))</f>
        <v>0.39969525010500001</v>
      </c>
      <c r="AB16" s="6" t="b">
        <f t="shared" si="11"/>
        <v>0</v>
      </c>
      <c r="AC16" s="6">
        <f>IF(SUMIFS(DATA!$W:$W,DATA!$H:$H,LOWER($B16),DATA!$C:$C,_xlfn.NUMBERVALUE(LEFT($D$2,2)),DATA!$D:$D,_xlfn.NUMBERVALUE(MID($D$2,FIND("/",$D$2)+1,LEN($D$2))),DATA!$E:$E,$D$6,DATA!$F:$F,$D$4,DATA!$G:$G,LOWER(W$12))=0,"-",SUMIFS(DATA!$W:$W,DATA!$H:$H,LOWER($B16),DATA!$C:$C,_xlfn.NUMBERVALUE(LEFT($D$2,2)),DATA!$D:$D,_xlfn.NUMBERVALUE(MID($D$2,FIND("/",$D$2)+1,LEN($D$2))),DATA!$E:$E,$D$6,DATA!$F:$F,$D$4,DATA!$G:$G,LOWER(W$12)))</f>
        <v>0.40045366845699998</v>
      </c>
      <c r="AD16" s="6" t="b">
        <f t="shared" si="12"/>
        <v>0</v>
      </c>
      <c r="AE16" s="6">
        <f>IF(SUMIFS(DATA!$X:$X,DATA!$H:$H,LOWER($B16),DATA!$C:$C,_xlfn.NUMBERVALUE(LEFT($D$2,2)),DATA!$D:$D,_xlfn.NUMBERVALUE(MID($D$2,FIND("/",$D$2)+1,LEN($D$2))),DATA!$E:$E,$D$6,DATA!$F:$F,$D$4,DATA!$G:$G,LOWER(W$12))=0,"-",SUMIFS(DATA!$X:$X,DATA!$H:$H,LOWER($B16),DATA!$C:$C,_xlfn.NUMBERVALUE(LEFT($D$2,2)),DATA!$D:$D,_xlfn.NUMBERVALUE(MID($D$2,FIND("/",$D$2)+1,LEN($D$2))),DATA!$E:$E,$D$6,DATA!$F:$F,$D$4,DATA!$G:$G,LOWER(W$12)))</f>
        <v>0.39994505710099998</v>
      </c>
      <c r="AF16" s="7" t="b">
        <f t="shared" si="13"/>
        <v>0</v>
      </c>
      <c r="AG16" s="5">
        <f>IF(SUMIFS(DATA!$T:$T,DATA!$H:$H,LOWER($B16),DATA!$C:$C,_xlfn.NUMBERVALUE(LEFT($D$2,2)),DATA!$D:$D,_xlfn.NUMBERVALUE(MID($D$2,FIND("/",$D$2)+1,LEN($D$2))),DATA!$E:$E,$D$6,DATA!$F:$F,$D$4,DATA!$G:$G,LOWER(AG$12))=0,"-",SUMIFS(DATA!$T:$T,DATA!$H:$H,LOWER($B16),DATA!$C:$C,_xlfn.NUMBERVALUE(LEFT($D$2,2)),DATA!$D:$D,_xlfn.NUMBERVALUE(MID($D$2,FIND("/",$D$2)+1,LEN($D$2))),DATA!$E:$E,$D$6,DATA!$F:$F,$D$4,DATA!$G:$G,LOWER(AG$12)))</f>
        <v>0.41726618705000001</v>
      </c>
      <c r="AH16" s="6" t="b">
        <f t="shared" si="14"/>
        <v>0</v>
      </c>
      <c r="AI16" s="6">
        <f>IF(SUMIFS(DATA!$U:$U,DATA!$H:$H,LOWER($B16),DATA!$C:$C,_xlfn.NUMBERVALUE(LEFT($D$2,2)),DATA!$D:$D,_xlfn.NUMBERVALUE(MID($D$2,FIND("/",$D$2)+1,LEN($D$2))),DATA!$E:$E,$D$6,DATA!$F:$F,$D$4,DATA!$G:$G,LOWER(AG$12))=0,"-",SUMIFS(DATA!$U:$U,DATA!$H:$H,LOWER($B16),DATA!$C:$C,_xlfn.NUMBERVALUE(LEFT($D$2,2)),DATA!$D:$D,_xlfn.NUMBERVALUE(MID($D$2,FIND("/",$D$2)+1,LEN($D$2))),DATA!$E:$E,$D$6,DATA!$F:$F,$D$4,DATA!$G:$G,LOWER(AG$12)))</f>
        <v>0.40913594409999998</v>
      </c>
      <c r="AJ16" s="6" t="b">
        <f t="shared" si="15"/>
        <v>0</v>
      </c>
      <c r="AK16" s="6">
        <f>IF(SUMIFS(DATA!$V:$V,DATA!$H:$H,LOWER($B16),DATA!$C:$C,_xlfn.NUMBERVALUE(LEFT($D$2,2)),DATA!$D:$D,_xlfn.NUMBERVALUE(MID($D$2,FIND("/",$D$2)+1,LEN($D$2))),DATA!$E:$E,$D$6,DATA!$F:$F,$D$4,DATA!$G:$G,LOWER(AG$12))=0,"-",SUMIFS(DATA!$V:$V,DATA!$H:$H,LOWER($B16),DATA!$C:$C,_xlfn.NUMBERVALUE(LEFT($D$2,2)),DATA!$D:$D,_xlfn.NUMBERVALUE(MID($D$2,FIND("/",$D$2)+1,LEN($D$2))),DATA!$E:$E,$D$6,DATA!$F:$F,$D$4,DATA!$G:$G,LOWER(AG$12)))</f>
        <v>0.40704187783399998</v>
      </c>
      <c r="AL16" s="6" t="b">
        <f t="shared" si="16"/>
        <v>0</v>
      </c>
      <c r="AM16" s="6">
        <f>IF(SUMIFS(DATA!$W:$W,DATA!$H:$H,LOWER($B16),DATA!$C:$C,_xlfn.NUMBERVALUE(LEFT($D$2,2)),DATA!$D:$D,_xlfn.NUMBERVALUE(MID($D$2,FIND("/",$D$2)+1,LEN($D$2))),DATA!$E:$E,$D$6,DATA!$F:$F,$D$4,DATA!$G:$G,LOWER(AG$12))=0,"-",SUMIFS(DATA!$W:$W,DATA!$H:$H,LOWER($B16),DATA!$C:$C,_xlfn.NUMBERVALUE(LEFT($D$2,2)),DATA!$D:$D,_xlfn.NUMBERVALUE(MID($D$2,FIND("/",$D$2)+1,LEN($D$2))),DATA!$E:$E,$D$6,DATA!$F:$F,$D$4,DATA!$G:$G,LOWER(AG$12)))</f>
        <v>0.40913594409999998</v>
      </c>
      <c r="AN16" s="6" t="b">
        <f t="shared" si="17"/>
        <v>0</v>
      </c>
      <c r="AO16" s="6">
        <f>IF(SUMIFS(DATA!$X:$X,DATA!$H:$H,LOWER($B16),DATA!$C:$C,_xlfn.NUMBERVALUE(LEFT($D$2,2)),DATA!$D:$D,_xlfn.NUMBERVALUE(MID($D$2,FIND("/",$D$2)+1,LEN($D$2))),DATA!$E:$E,$D$6,DATA!$F:$F,$D$4,DATA!$G:$G,LOWER(AG$12))=0,"-",SUMIFS(DATA!$X:$X,DATA!$H:$H,LOWER($B16),DATA!$C:$C,_xlfn.NUMBERVALUE(LEFT($D$2,2)),DATA!$D:$D,_xlfn.NUMBERVALUE(MID($D$2,FIND("/",$D$2)+1,LEN($D$2))),DATA!$E:$E,$D$6,DATA!$F:$F,$D$4,DATA!$G:$G,LOWER(AG$12)))</f>
        <v>0.407327472759</v>
      </c>
      <c r="AP16" s="7" t="b">
        <f t="shared" si="18"/>
        <v>0</v>
      </c>
      <c r="AQ16" s="5">
        <f>IF(SUMIFS(DATA!$T:$T,DATA!$H:$H,LOWER($B16),DATA!$C:$C,_xlfn.NUMBERVALUE(LEFT($D$2,2)),DATA!$D:$D,_xlfn.NUMBERVALUE(MID($D$2,FIND("/",$D$2)+1,LEN($D$2))),DATA!$E:$E,$D$6,DATA!$F:$F,$D$4,DATA!$G:$G,LOWER(AQ$12))=0,"-",SUMIFS(DATA!$T:$T,DATA!$H:$H,LOWER($B16),DATA!$C:$C,_xlfn.NUMBERVALUE(LEFT($D$2,2)),DATA!$D:$D,_xlfn.NUMBERVALUE(MID($D$2,FIND("/",$D$2)+1,LEN($D$2))),DATA!$E:$E,$D$6,DATA!$F:$F,$D$4,DATA!$G:$G,LOWER(AQ$12)))</f>
        <v>0.28776978417299998</v>
      </c>
      <c r="AR16" s="6" t="b">
        <f t="shared" si="19"/>
        <v>0</v>
      </c>
      <c r="AS16" s="6">
        <f>IF(SUMIFS(DATA!$U:$U,DATA!$H:$H,LOWER($B16),DATA!$C:$C,_xlfn.NUMBERVALUE(LEFT($D$2,2)),DATA!$D:$D,_xlfn.NUMBERVALUE(MID($D$2,FIND("/",$D$2)+1,LEN($D$2))),DATA!$E:$E,$D$6,DATA!$F:$F,$D$4,DATA!$G:$G,LOWER(AQ$12))=0,"-",SUMIFS(DATA!$U:$U,DATA!$H:$H,LOWER($B16),DATA!$C:$C,_xlfn.NUMBERVALUE(LEFT($D$2,2)),DATA!$D:$D,_xlfn.NUMBERVALUE(MID($D$2,FIND("/",$D$2)+1,LEN($D$2))),DATA!$E:$E,$D$6,DATA!$F:$F,$D$4,DATA!$G:$G,LOWER(AQ$12)))</f>
        <v>0.29055639568199998</v>
      </c>
      <c r="AT16" s="6" t="b">
        <f t="shared" si="20"/>
        <v>0</v>
      </c>
      <c r="AU16" s="6">
        <f>IF(SUMIFS(DATA!$V:$V,DATA!$H:$H,LOWER($B16),DATA!$C:$C,_xlfn.NUMBERVALUE(LEFT($D$2,2)),DATA!$D:$D,_xlfn.NUMBERVALUE(MID($D$2,FIND("/",$D$2)+1,LEN($D$2))),DATA!$E:$E,$D$6,DATA!$F:$F,$D$4,DATA!$G:$G,LOWER(AQ$12))=0,"-",SUMIFS(DATA!$V:$V,DATA!$H:$H,LOWER($B16),DATA!$C:$C,_xlfn.NUMBERVALUE(LEFT($D$2,2)),DATA!$D:$D,_xlfn.NUMBERVALUE(MID($D$2,FIND("/",$D$2)+1,LEN($D$2))),DATA!$E:$E,$D$6,DATA!$F:$F,$D$4,DATA!$G:$G,LOWER(AQ$12)))</f>
        <v>0.28998692810499999</v>
      </c>
      <c r="AV16" s="6" t="b">
        <f t="shared" si="21"/>
        <v>0</v>
      </c>
      <c r="AW16" s="6">
        <f>IF(SUMIFS(DATA!$W:$W,DATA!$H:$H,LOWER($B16),DATA!$C:$C,_xlfn.NUMBERVALUE(LEFT($D$2,2)),DATA!$D:$D,_xlfn.NUMBERVALUE(MID($D$2,FIND("/",$D$2)+1,LEN($D$2))),DATA!$E:$E,$D$6,DATA!$F:$F,$D$4,DATA!$G:$G,LOWER(AQ$12))=0,"-",SUMIFS(DATA!$W:$W,DATA!$H:$H,LOWER($B16),DATA!$C:$C,_xlfn.NUMBERVALUE(LEFT($D$2,2)),DATA!$D:$D,_xlfn.NUMBERVALUE(MID($D$2,FIND("/",$D$2)+1,LEN($D$2))),DATA!$E:$E,$D$6,DATA!$F:$F,$D$4,DATA!$G:$G,LOWER(AQ$12)))</f>
        <v>0.29055639568199998</v>
      </c>
      <c r="AX16" s="6" t="b">
        <f t="shared" si="22"/>
        <v>0</v>
      </c>
      <c r="AY16" s="6">
        <f>IF(SUMIFS(DATA!$X:$X,DATA!$H:$H,LOWER($B16),DATA!$C:$C,_xlfn.NUMBERVALUE(LEFT($D$2,2)),DATA!$D:$D,_xlfn.NUMBERVALUE(MID($D$2,FIND("/",$D$2)+1,LEN($D$2))),DATA!$E:$E,$D$6,DATA!$F:$F,$D$4,DATA!$G:$G,LOWER(AQ$12))=0,"-",SUMIFS(DATA!$X:$X,DATA!$H:$H,LOWER($B16),DATA!$C:$C,_xlfn.NUMBERVALUE(LEFT($D$2,2)),DATA!$D:$D,_xlfn.NUMBERVALUE(MID($D$2,FIND("/",$D$2)+1,LEN($D$2))),DATA!$E:$E,$D$6,DATA!$F:$F,$D$4,DATA!$G:$G,LOWER(AQ$12)))</f>
        <v>0.287732919255</v>
      </c>
      <c r="AZ16" s="7" t="b">
        <f t="shared" si="23"/>
        <v>0</v>
      </c>
    </row>
    <row r="17" spans="2:52" x14ac:dyDescent="0.25">
      <c r="B17" s="18" t="s">
        <v>150</v>
      </c>
      <c r="C17" s="5">
        <f>IF(SUMIFS(DATA!$T:$T,DATA!$H:$H,LOWER($B17),DATA!$C:$C,_xlfn.NUMBERVALUE(LEFT($D$2,2)),DATA!$D:$D,_xlfn.NUMBERVALUE(MID($D$2,FIND("/",$D$2)+1,LEN($D$2))),DATA!$E:$E,$D$6,DATA!$F:$F,$D$4,DATA!$G:$G,LOWER(C$12))=0,"-",SUMIFS(DATA!$T:$T,DATA!$H:$H,LOWER($B17),DATA!$C:$C,_xlfn.NUMBERVALUE(LEFT($D$2,2)),DATA!$D:$D,_xlfn.NUMBERVALUE(MID($D$2,FIND("/",$D$2)+1,LEN($D$2))),DATA!$E:$E,$D$6,DATA!$F:$F,$D$4,DATA!$G:$G,LOWER(C$12)))</f>
        <v>0.53597122302199995</v>
      </c>
      <c r="D17" s="6" t="b">
        <f t="shared" si="0"/>
        <v>0</v>
      </c>
      <c r="E17" s="6">
        <f>IF(SUMIFS(DATA!$U:$U,DATA!$H:$H,LOWER($B17),DATA!$C:$C,_xlfn.NUMBERVALUE(LEFT($D$2,2)),DATA!$D:$D,_xlfn.NUMBERVALUE(MID($D$2,FIND("/",$D$2)+1,LEN($D$2))),DATA!$E:$E,$D$6,DATA!$F:$F,$D$4,DATA!$G:$G,LOWER(C$12))=0,"-",SUMIFS(DATA!$U:$U,DATA!$H:$H,LOWER($B17),DATA!$C:$C,_xlfn.NUMBERVALUE(LEFT($D$2,2)),DATA!$D:$D,_xlfn.NUMBERVALUE(MID($D$2,FIND("/",$D$2)+1,LEN($D$2))),DATA!$E:$E,$D$6,DATA!$F:$F,$D$4,DATA!$G:$G,LOWER(C$12)))</f>
        <v>0.53092245919600001</v>
      </c>
      <c r="F17" s="6" t="b">
        <f t="shared" si="1"/>
        <v>0</v>
      </c>
      <c r="G17" s="6">
        <f>IF(SUMIFS(DATA!$V:$V,DATA!$H:$H,LOWER($B17),DATA!$C:$C,_xlfn.NUMBERVALUE(LEFT($D$2,2)),DATA!$D:$D,_xlfn.NUMBERVALUE(MID($D$2,FIND("/",$D$2)+1,LEN($D$2))),DATA!$E:$E,$D$6,DATA!$F:$F,$D$4,DATA!$G:$G,LOWER(C$12))=0,"-",SUMIFS(DATA!$V:$V,DATA!$H:$H,LOWER($B17),DATA!$C:$C,_xlfn.NUMBERVALUE(LEFT($D$2,2)),DATA!$D:$D,_xlfn.NUMBERVALUE(MID($D$2,FIND("/",$D$2)+1,LEN($D$2))),DATA!$E:$E,$D$6,DATA!$F:$F,$D$4,DATA!$G:$G,LOWER(C$12)))</f>
        <v>0.53115804960099999</v>
      </c>
      <c r="H17" s="6" t="b">
        <f t="shared" si="2"/>
        <v>0</v>
      </c>
      <c r="I17" s="6">
        <f>IF(SUMIFS(DATA!$W:$W,DATA!$H:$H,LOWER($B17),DATA!$C:$C,_xlfn.NUMBERVALUE(LEFT($D$2,2)),DATA!$D:$D,_xlfn.NUMBERVALUE(MID($D$2,FIND("/",$D$2)+1,LEN($D$2))),DATA!$E:$E,$D$6,DATA!$F:$F,$D$4,DATA!$G:$G,LOWER(C$12))=0,"-",SUMIFS(DATA!$W:$W,DATA!$H:$H,LOWER($B17),DATA!$C:$C,_xlfn.NUMBERVALUE(LEFT($D$2,2)),DATA!$D:$D,_xlfn.NUMBERVALUE(MID($D$2,FIND("/",$D$2)+1,LEN($D$2))),DATA!$E:$E,$D$6,DATA!$F:$F,$D$4,DATA!$G:$G,LOWER(C$12)))</f>
        <v>0.53092245919600001</v>
      </c>
      <c r="J17" s="6" t="b">
        <f t="shared" si="24"/>
        <v>0</v>
      </c>
      <c r="K17" s="6">
        <f>IF(SUMIFS(DATA!$X:$X,DATA!$H:$H,LOWER($B17),DATA!$C:$C,_xlfn.NUMBERVALUE(LEFT($D$2,2)),DATA!$D:$D,_xlfn.NUMBERVALUE(MID($D$2,FIND("/",$D$2)+1,LEN($D$2))),DATA!$E:$E,$D$6,DATA!$F:$F,$D$4,DATA!$G:$G,LOWER(C$12))=0,"-",SUMIFS(DATA!$X:$X,DATA!$H:$H,LOWER($B17),DATA!$C:$C,_xlfn.NUMBERVALUE(LEFT($D$2,2)),DATA!$D:$D,_xlfn.NUMBERVALUE(MID($D$2,FIND("/",$D$2)+1,LEN($D$2))),DATA!$E:$E,$D$6,DATA!$F:$F,$D$4,DATA!$G:$G,LOWER(C$12)))</f>
        <v>0.53086613555200002</v>
      </c>
      <c r="L17" s="7" t="b">
        <f t="shared" si="3"/>
        <v>0</v>
      </c>
      <c r="M17" s="5">
        <f>IF(SUMIFS(DATA!$T:$T,DATA!$H:$H,LOWER($B17),DATA!$C:$C,_xlfn.NUMBERVALUE(LEFT($D$2,2)),DATA!$D:$D,_xlfn.NUMBERVALUE(MID($D$2,FIND("/",$D$2)+1,LEN($D$2))),DATA!$E:$E,$D$6,DATA!$F:$F,$D$4,DATA!$G:$G,LOWER(M$12))=0,"-",SUMIFS(DATA!$T:$T,DATA!$H:$H,LOWER($B17),DATA!$C:$C,_xlfn.NUMBERVALUE(LEFT($D$2,2)),DATA!$D:$D,_xlfn.NUMBERVALUE(MID($D$2,FIND("/",$D$2)+1,LEN($D$2))),DATA!$E:$E,$D$6,DATA!$F:$F,$D$4,DATA!$G:$G,LOWER(M$12)))</f>
        <v>0.49280575539600002</v>
      </c>
      <c r="N17" s="6" t="b">
        <f t="shared" si="4"/>
        <v>0</v>
      </c>
      <c r="O17" s="6">
        <f>IF(SUMIFS(DATA!$U:$U,DATA!$H:$H,LOWER($B17),DATA!$C:$C,_xlfn.NUMBERVALUE(LEFT($D$2,2)),DATA!$D:$D,_xlfn.NUMBERVALUE(MID($D$2,FIND("/",$D$2)+1,LEN($D$2))),DATA!$E:$E,$D$6,DATA!$F:$F,$D$4,DATA!$G:$G,LOWER(M$12))=0,"-",SUMIFS(DATA!$U:$U,DATA!$H:$H,LOWER($B17),DATA!$C:$C,_xlfn.NUMBERVALUE(LEFT($D$2,2)),DATA!$D:$D,_xlfn.NUMBERVALUE(MID($D$2,FIND("/",$D$2)+1,LEN($D$2))),DATA!$E:$E,$D$6,DATA!$F:$F,$D$4,DATA!$G:$G,LOWER(M$12)))</f>
        <v>0.484929863899</v>
      </c>
      <c r="P17" s="6" t="b">
        <f t="shared" si="5"/>
        <v>0</v>
      </c>
      <c r="Q17" s="6">
        <f>IF(SUMIFS(DATA!$V:$V,DATA!$H:$H,LOWER($B17),DATA!$C:$C,_xlfn.NUMBERVALUE(LEFT($D$2,2)),DATA!$D:$D,_xlfn.NUMBERVALUE(MID($D$2,FIND("/",$D$2)+1,LEN($D$2))),DATA!$E:$E,$D$6,DATA!$F:$F,$D$4,DATA!$G:$G,LOWER(M$12))=0,"-",SUMIFS(DATA!$V:$V,DATA!$H:$H,LOWER($B17),DATA!$C:$C,_xlfn.NUMBERVALUE(LEFT($D$2,2)),DATA!$D:$D,_xlfn.NUMBERVALUE(MID($D$2,FIND("/",$D$2)+1,LEN($D$2))),DATA!$E:$E,$D$6,DATA!$F:$F,$D$4,DATA!$G:$G,LOWER(M$12)))</f>
        <v>0.484542148053</v>
      </c>
      <c r="R17" s="6" t="b">
        <f t="shared" si="6"/>
        <v>0</v>
      </c>
      <c r="S17" s="6">
        <f>IF(SUMIFS(DATA!$W:$W,DATA!$H:$H,LOWER($B17),DATA!$C:$C,_xlfn.NUMBERVALUE(LEFT($D$2,2)),DATA!$D:$D,_xlfn.NUMBERVALUE(MID($D$2,FIND("/",$D$2)+1,LEN($D$2))),DATA!$E:$E,$D$6,DATA!$F:$F,$D$4,DATA!$G:$G,LOWER(M$12))=0,"-",SUMIFS(DATA!$W:$W,DATA!$H:$H,LOWER($B17),DATA!$C:$C,_xlfn.NUMBERVALUE(LEFT($D$2,2)),DATA!$D:$D,_xlfn.NUMBERVALUE(MID($D$2,FIND("/",$D$2)+1,LEN($D$2))),DATA!$E:$E,$D$6,DATA!$F:$F,$D$4,DATA!$G:$G,LOWER(M$12)))</f>
        <v>0.484929863899</v>
      </c>
      <c r="T17" s="6" t="b">
        <f t="shared" si="7"/>
        <v>0</v>
      </c>
      <c r="U17" s="6">
        <f>IF(SUMIFS(DATA!$X:$X,DATA!$H:$H,LOWER($B17),DATA!$C:$C,_xlfn.NUMBERVALUE(LEFT($D$2,2)),DATA!$D:$D,_xlfn.NUMBERVALUE(MID($D$2,FIND("/",$D$2)+1,LEN($D$2))),DATA!$E:$E,$D$6,DATA!$F:$F,$D$4,DATA!$G:$G,LOWER(M$12))=0,"-",SUMIFS(DATA!$X:$X,DATA!$H:$H,LOWER($B17),DATA!$C:$C,_xlfn.NUMBERVALUE(LEFT($D$2,2)),DATA!$D:$D,_xlfn.NUMBERVALUE(MID($D$2,FIND("/",$D$2)+1,LEN($D$2))),DATA!$E:$E,$D$6,DATA!$F:$F,$D$4,DATA!$G:$G,LOWER(M$12)))</f>
        <v>0.483659355859</v>
      </c>
      <c r="V17" s="7" t="b">
        <f t="shared" si="8"/>
        <v>0</v>
      </c>
      <c r="W17" s="5">
        <f>IF(SUMIFS(DATA!$T:$T,DATA!$H:$H,LOWER($B17),DATA!$C:$C,_xlfn.NUMBERVALUE(LEFT($D$2,2)),DATA!$D:$D,_xlfn.NUMBERVALUE(MID($D$2,FIND("/",$D$2)+1,LEN($D$2))),DATA!$E:$E,$D$6,DATA!$F:$F,$D$4,DATA!$G:$G,LOWER(W$12))=0,"-",SUMIFS(DATA!$T:$T,DATA!$H:$H,LOWER($B17),DATA!$C:$C,_xlfn.NUMBERVALUE(LEFT($D$2,2)),DATA!$D:$D,_xlfn.NUMBERVALUE(MID($D$2,FIND("/",$D$2)+1,LEN($D$2))),DATA!$E:$E,$D$6,DATA!$F:$F,$D$4,DATA!$G:$G,LOWER(W$12)))</f>
        <v>0.49640287769800001</v>
      </c>
      <c r="X17" s="6" t="b">
        <f t="shared" si="9"/>
        <v>0</v>
      </c>
      <c r="Y17" s="6">
        <f>IF(SUMIFS(DATA!$U:$U,DATA!$H:$H,LOWER($B17),DATA!$C:$C,_xlfn.NUMBERVALUE(LEFT($D$2,2)),DATA!$D:$D,_xlfn.NUMBERVALUE(MID($D$2,FIND("/",$D$2)+1,LEN($D$2))),DATA!$E:$E,$D$6,DATA!$F:$F,$D$4,DATA!$G:$G,LOWER(W$12))=0,"-",SUMIFS(DATA!$U:$U,DATA!$H:$H,LOWER($B17),DATA!$C:$C,_xlfn.NUMBERVALUE(LEFT($D$2,2)),DATA!$D:$D,_xlfn.NUMBERVALUE(MID($D$2,FIND("/",$D$2)+1,LEN($D$2))),DATA!$E:$E,$D$6,DATA!$F:$F,$D$4,DATA!$G:$G,LOWER(W$12)))</f>
        <v>0.49262136934900003</v>
      </c>
      <c r="Z17" s="6" t="b">
        <f t="shared" si="10"/>
        <v>0</v>
      </c>
      <c r="AA17" s="6">
        <f>IF(SUMIFS(DATA!$V:$V,DATA!$H:$H,LOWER($B17),DATA!$C:$C,_xlfn.NUMBERVALUE(LEFT($D$2,2)),DATA!$D:$D,_xlfn.NUMBERVALUE(MID($D$2,FIND("/",$D$2)+1,LEN($D$2))),DATA!$E:$E,$D$6,DATA!$F:$F,$D$4,DATA!$G:$G,LOWER(W$12))=0,"-",SUMIFS(DATA!$V:$V,DATA!$H:$H,LOWER($B17),DATA!$C:$C,_xlfn.NUMBERVALUE(LEFT($D$2,2)),DATA!$D:$D,_xlfn.NUMBERVALUE(MID($D$2,FIND("/",$D$2)+1,LEN($D$2))),DATA!$E:$E,$D$6,DATA!$F:$F,$D$4,DATA!$G:$G,LOWER(W$12)))</f>
        <v>0.49262136934900003</v>
      </c>
      <c r="AB17" s="6" t="b">
        <f t="shared" si="11"/>
        <v>0</v>
      </c>
      <c r="AC17" s="6">
        <f>IF(SUMIFS(DATA!$W:$W,DATA!$H:$H,LOWER($B17),DATA!$C:$C,_xlfn.NUMBERVALUE(LEFT($D$2,2)),DATA!$D:$D,_xlfn.NUMBERVALUE(MID($D$2,FIND("/",$D$2)+1,LEN($D$2))),DATA!$E:$E,$D$6,DATA!$F:$F,$D$4,DATA!$G:$G,LOWER(W$12))=0,"-",SUMIFS(DATA!$W:$W,DATA!$H:$H,LOWER($B17),DATA!$C:$C,_xlfn.NUMBERVALUE(LEFT($D$2,2)),DATA!$D:$D,_xlfn.NUMBERVALUE(MID($D$2,FIND("/",$D$2)+1,LEN($D$2))),DATA!$E:$E,$D$6,DATA!$F:$F,$D$4,DATA!$G:$G,LOWER(W$12)))</f>
        <v>0.49262136934900003</v>
      </c>
      <c r="AD17" s="6" t="b">
        <f t="shared" si="12"/>
        <v>0</v>
      </c>
      <c r="AE17" s="6">
        <f>IF(SUMIFS(DATA!$X:$X,DATA!$H:$H,LOWER($B17),DATA!$C:$C,_xlfn.NUMBERVALUE(LEFT($D$2,2)),DATA!$D:$D,_xlfn.NUMBERVALUE(MID($D$2,FIND("/",$D$2)+1,LEN($D$2))),DATA!$E:$E,$D$6,DATA!$F:$F,$D$4,DATA!$G:$G,LOWER(W$12))=0,"-",SUMIFS(DATA!$X:$X,DATA!$H:$H,LOWER($B17),DATA!$C:$C,_xlfn.NUMBERVALUE(LEFT($D$2,2)),DATA!$D:$D,_xlfn.NUMBERVALUE(MID($D$2,FIND("/",$D$2)+1,LEN($D$2))),DATA!$E:$E,$D$6,DATA!$F:$F,$D$4,DATA!$G:$G,LOWER(W$12)))</f>
        <v>0.49262136934900003</v>
      </c>
      <c r="AF17" s="7" t="b">
        <f t="shared" si="13"/>
        <v>0</v>
      </c>
      <c r="AG17" s="5">
        <f>IF(SUMIFS(DATA!$T:$T,DATA!$H:$H,LOWER($B17),DATA!$C:$C,_xlfn.NUMBERVALUE(LEFT($D$2,2)),DATA!$D:$D,_xlfn.NUMBERVALUE(MID($D$2,FIND("/",$D$2)+1,LEN($D$2))),DATA!$E:$E,$D$6,DATA!$F:$F,$D$4,DATA!$G:$G,LOWER(AG$12))=0,"-",SUMIFS(DATA!$T:$T,DATA!$H:$H,LOWER($B17),DATA!$C:$C,_xlfn.NUMBERVALUE(LEFT($D$2,2)),DATA!$D:$D,_xlfn.NUMBERVALUE(MID($D$2,FIND("/",$D$2)+1,LEN($D$2))),DATA!$E:$E,$D$6,DATA!$F:$F,$D$4,DATA!$G:$G,LOWER(AG$12)))</f>
        <v>0.48561151079100001</v>
      </c>
      <c r="AH17" s="6" t="b">
        <f t="shared" si="14"/>
        <v>0</v>
      </c>
      <c r="AI17" s="6">
        <f>IF(SUMIFS(DATA!$U:$U,DATA!$H:$H,LOWER($B17),DATA!$C:$C,_xlfn.NUMBERVALUE(LEFT($D$2,2)),DATA!$D:$D,_xlfn.NUMBERVALUE(MID($D$2,FIND("/",$D$2)+1,LEN($D$2))),DATA!$E:$E,$D$6,DATA!$F:$F,$D$4,DATA!$G:$G,LOWER(AG$12))=0,"-",SUMIFS(DATA!$U:$U,DATA!$H:$H,LOWER($B17),DATA!$C:$C,_xlfn.NUMBERVALUE(LEFT($D$2,2)),DATA!$D:$D,_xlfn.NUMBERVALUE(MID($D$2,FIND("/",$D$2)+1,LEN($D$2))),DATA!$E:$E,$D$6,DATA!$F:$F,$D$4,DATA!$G:$G,LOWER(AG$12)))</f>
        <v>0.47705584815099999</v>
      </c>
      <c r="AJ17" s="6" t="b">
        <f t="shared" si="15"/>
        <v>0</v>
      </c>
      <c r="AK17" s="6">
        <f>IF(SUMIFS(DATA!$V:$V,DATA!$H:$H,LOWER($B17),DATA!$C:$C,_xlfn.NUMBERVALUE(LEFT($D$2,2)),DATA!$D:$D,_xlfn.NUMBERVALUE(MID($D$2,FIND("/",$D$2)+1,LEN($D$2))),DATA!$E:$E,$D$6,DATA!$F:$F,$D$4,DATA!$G:$G,LOWER(AG$12))=0,"-",SUMIFS(DATA!$V:$V,DATA!$H:$H,LOWER($B17),DATA!$C:$C,_xlfn.NUMBERVALUE(LEFT($D$2,2)),DATA!$D:$D,_xlfn.NUMBERVALUE(MID($D$2,FIND("/",$D$2)+1,LEN($D$2))),DATA!$E:$E,$D$6,DATA!$F:$F,$D$4,DATA!$G:$G,LOWER(AG$12)))</f>
        <v>0.47633390705700002</v>
      </c>
      <c r="AL17" s="6" t="b">
        <f t="shared" si="16"/>
        <v>0</v>
      </c>
      <c r="AM17" s="6">
        <f>IF(SUMIFS(DATA!$W:$W,DATA!$H:$H,LOWER($B17),DATA!$C:$C,_xlfn.NUMBERVALUE(LEFT($D$2,2)),DATA!$D:$D,_xlfn.NUMBERVALUE(MID($D$2,FIND("/",$D$2)+1,LEN($D$2))),DATA!$E:$E,$D$6,DATA!$F:$F,$D$4,DATA!$G:$G,LOWER(AG$12))=0,"-",SUMIFS(DATA!$W:$W,DATA!$H:$H,LOWER($B17),DATA!$C:$C,_xlfn.NUMBERVALUE(LEFT($D$2,2)),DATA!$D:$D,_xlfn.NUMBERVALUE(MID($D$2,FIND("/",$D$2)+1,LEN($D$2))),DATA!$E:$E,$D$6,DATA!$F:$F,$D$4,DATA!$G:$G,LOWER(AG$12)))</f>
        <v>0.47705584815099999</v>
      </c>
      <c r="AN17" s="6" t="b">
        <f t="shared" si="17"/>
        <v>0</v>
      </c>
      <c r="AO17" s="6">
        <f>IF(SUMIFS(DATA!$X:$X,DATA!$H:$H,LOWER($B17),DATA!$C:$C,_xlfn.NUMBERVALUE(LEFT($D$2,2)),DATA!$D:$D,_xlfn.NUMBERVALUE(MID($D$2,FIND("/",$D$2)+1,LEN($D$2))),DATA!$E:$E,$D$6,DATA!$F:$F,$D$4,DATA!$G:$G,LOWER(AG$12))=0,"-",SUMIFS(DATA!$X:$X,DATA!$H:$H,LOWER($B17),DATA!$C:$C,_xlfn.NUMBERVALUE(LEFT($D$2,2)),DATA!$D:$D,_xlfn.NUMBERVALUE(MID($D$2,FIND("/",$D$2)+1,LEN($D$2))),DATA!$E:$E,$D$6,DATA!$F:$F,$D$4,DATA!$G:$G,LOWER(AG$12)))</f>
        <v>0.47528476960999999</v>
      </c>
      <c r="AP17" s="7" t="b">
        <f t="shared" si="18"/>
        <v>0</v>
      </c>
      <c r="AQ17" s="5">
        <f>IF(SUMIFS(DATA!$T:$T,DATA!$H:$H,LOWER($B17),DATA!$C:$C,_xlfn.NUMBERVALUE(LEFT($D$2,2)),DATA!$D:$D,_xlfn.NUMBERVALUE(MID($D$2,FIND("/",$D$2)+1,LEN($D$2))),DATA!$E:$E,$D$6,DATA!$F:$F,$D$4,DATA!$G:$G,LOWER(AQ$12))=0,"-",SUMIFS(DATA!$T:$T,DATA!$H:$H,LOWER($B17),DATA!$C:$C,_xlfn.NUMBERVALUE(LEFT($D$2,2)),DATA!$D:$D,_xlfn.NUMBERVALUE(MID($D$2,FIND("/",$D$2)+1,LEN($D$2))),DATA!$E:$E,$D$6,DATA!$F:$F,$D$4,DATA!$G:$G,LOWER(AQ$12)))</f>
        <v>0.471223021583</v>
      </c>
      <c r="AR17" s="6" t="b">
        <f t="shared" si="19"/>
        <v>0</v>
      </c>
      <c r="AS17" s="6">
        <f>IF(SUMIFS(DATA!$U:$U,DATA!$H:$H,LOWER($B17),DATA!$C:$C,_xlfn.NUMBERVALUE(LEFT($D$2,2)),DATA!$D:$D,_xlfn.NUMBERVALUE(MID($D$2,FIND("/",$D$2)+1,LEN($D$2))),DATA!$E:$E,$D$6,DATA!$F:$F,$D$4,DATA!$G:$G,LOWER(AQ$12))=0,"-",SUMIFS(DATA!$U:$U,DATA!$H:$H,LOWER($B17),DATA!$C:$C,_xlfn.NUMBERVALUE(LEFT($D$2,2)),DATA!$D:$D,_xlfn.NUMBERVALUE(MID($D$2,FIND("/",$D$2)+1,LEN($D$2))),DATA!$E:$E,$D$6,DATA!$F:$F,$D$4,DATA!$G:$G,LOWER(AQ$12)))</f>
        <v>0.46568806382599998</v>
      </c>
      <c r="AT17" s="6" t="b">
        <f t="shared" si="20"/>
        <v>0</v>
      </c>
      <c r="AU17" s="6">
        <f>IF(SUMIFS(DATA!$V:$V,DATA!$H:$H,LOWER($B17),DATA!$C:$C,_xlfn.NUMBERVALUE(LEFT($D$2,2)),DATA!$D:$D,_xlfn.NUMBERVALUE(MID($D$2,FIND("/",$D$2)+1,LEN($D$2))),DATA!$E:$E,$D$6,DATA!$F:$F,$D$4,DATA!$G:$G,LOWER(AQ$12))=0,"-",SUMIFS(DATA!$V:$V,DATA!$H:$H,LOWER($B17),DATA!$C:$C,_xlfn.NUMBERVALUE(LEFT($D$2,2)),DATA!$D:$D,_xlfn.NUMBERVALUE(MID($D$2,FIND("/",$D$2)+1,LEN($D$2))),DATA!$E:$E,$D$6,DATA!$F:$F,$D$4,DATA!$G:$G,LOWER(AQ$12)))</f>
        <v>0.46542664985299997</v>
      </c>
      <c r="AV17" s="6" t="b">
        <f t="shared" si="21"/>
        <v>0</v>
      </c>
      <c r="AW17" s="6">
        <f>IF(SUMIFS(DATA!$W:$W,DATA!$H:$H,LOWER($B17),DATA!$C:$C,_xlfn.NUMBERVALUE(LEFT($D$2,2)),DATA!$D:$D,_xlfn.NUMBERVALUE(MID($D$2,FIND("/",$D$2)+1,LEN($D$2))),DATA!$E:$E,$D$6,DATA!$F:$F,$D$4,DATA!$G:$G,LOWER(AQ$12))=0,"-",SUMIFS(DATA!$W:$W,DATA!$H:$H,LOWER($B17),DATA!$C:$C,_xlfn.NUMBERVALUE(LEFT($D$2,2)),DATA!$D:$D,_xlfn.NUMBERVALUE(MID($D$2,FIND("/",$D$2)+1,LEN($D$2))),DATA!$E:$E,$D$6,DATA!$F:$F,$D$4,DATA!$G:$G,LOWER(AQ$12)))</f>
        <v>0.46568806382599998</v>
      </c>
      <c r="AX17" s="6" t="b">
        <f t="shared" si="22"/>
        <v>0</v>
      </c>
      <c r="AY17" s="6">
        <f>IF(SUMIFS(DATA!$X:$X,DATA!$H:$H,LOWER($B17),DATA!$C:$C,_xlfn.NUMBERVALUE(LEFT($D$2,2)),DATA!$D:$D,_xlfn.NUMBERVALUE(MID($D$2,FIND("/",$D$2)+1,LEN($D$2))),DATA!$E:$E,$D$6,DATA!$F:$F,$D$4,DATA!$G:$G,LOWER(AQ$12))=0,"-",SUMIFS(DATA!$X:$X,DATA!$H:$H,LOWER($B17),DATA!$C:$C,_xlfn.NUMBERVALUE(LEFT($D$2,2)),DATA!$D:$D,_xlfn.NUMBERVALUE(MID($D$2,FIND("/",$D$2)+1,LEN($D$2))),DATA!$E:$E,$D$6,DATA!$F:$F,$D$4,DATA!$G:$G,LOWER(AQ$12)))</f>
        <v>0.46540559632700002</v>
      </c>
      <c r="AZ17" s="7" t="b">
        <f t="shared" si="23"/>
        <v>0</v>
      </c>
    </row>
    <row r="18" spans="2:52" x14ac:dyDescent="0.25">
      <c r="B18" s="8" t="s">
        <v>151</v>
      </c>
      <c r="C18" s="5">
        <f>IF(SUMIFS(DATA!$T:$T,DATA!$H:$H,LOWER($B18),DATA!$C:$C,_xlfn.NUMBERVALUE(LEFT($D$2,2)),DATA!$D:$D,_xlfn.NUMBERVALUE(MID($D$2,FIND("/",$D$2)+1,LEN($D$2))),DATA!$E:$E,$D$6,DATA!$F:$F,$D$4,DATA!$G:$G,LOWER(C$12))=0,"-",SUMIFS(DATA!$T:$T,DATA!$H:$H,LOWER($B18),DATA!$C:$C,_xlfn.NUMBERVALUE(LEFT($D$2,2)),DATA!$D:$D,_xlfn.NUMBERVALUE(MID($D$2,FIND("/",$D$2)+1,LEN($D$2))),DATA!$E:$E,$D$6,DATA!$F:$F,$D$4,DATA!$G:$G,LOWER(C$12)))</f>
        <v>0.50719424460399998</v>
      </c>
      <c r="D18" s="6" t="b">
        <f t="shared" si="0"/>
        <v>0</v>
      </c>
      <c r="E18" s="6">
        <f>IF(SUMIFS(DATA!$U:$U,DATA!$H:$H,LOWER($B18),DATA!$C:$C,_xlfn.NUMBERVALUE(LEFT($D$2,2)),DATA!$D:$D,_xlfn.NUMBERVALUE(MID($D$2,FIND("/",$D$2)+1,LEN($D$2))),DATA!$E:$E,$D$6,DATA!$F:$F,$D$4,DATA!$G:$G,LOWER(C$12))=0,"-",SUMIFS(DATA!$U:$U,DATA!$H:$H,LOWER($B18),DATA!$C:$C,_xlfn.NUMBERVALUE(LEFT($D$2,2)),DATA!$D:$D,_xlfn.NUMBERVALUE(MID($D$2,FIND("/",$D$2)+1,LEN($D$2))),DATA!$E:$E,$D$6,DATA!$F:$F,$D$4,DATA!$G:$G,LOWER(C$12)))</f>
        <v>0.50380664337500003</v>
      </c>
      <c r="F18" s="6" t="b">
        <f t="shared" si="1"/>
        <v>0</v>
      </c>
      <c r="G18" s="6">
        <f>IF(SUMIFS(DATA!$V:$V,DATA!$H:$H,LOWER($B18),DATA!$C:$C,_xlfn.NUMBERVALUE(LEFT($D$2,2)),DATA!$D:$D,_xlfn.NUMBERVALUE(MID($D$2,FIND("/",$D$2)+1,LEN($D$2))),DATA!$E:$E,$D$6,DATA!$F:$F,$D$4,DATA!$G:$G,LOWER(C$12))=0,"-",SUMIFS(DATA!$V:$V,DATA!$H:$H,LOWER($B18),DATA!$C:$C,_xlfn.NUMBERVALUE(LEFT($D$2,2)),DATA!$D:$D,_xlfn.NUMBERVALUE(MID($D$2,FIND("/",$D$2)+1,LEN($D$2))),DATA!$E:$E,$D$6,DATA!$F:$F,$D$4,DATA!$G:$G,LOWER(C$12)))</f>
        <v>0.50380208333300003</v>
      </c>
      <c r="H18" s="6" t="b">
        <f t="shared" si="2"/>
        <v>0</v>
      </c>
      <c r="I18" s="6">
        <f>IF(SUMIFS(DATA!$W:$W,DATA!$H:$H,LOWER($B18),DATA!$C:$C,_xlfn.NUMBERVALUE(LEFT($D$2,2)),DATA!$D:$D,_xlfn.NUMBERVALUE(MID($D$2,FIND("/",$D$2)+1,LEN($D$2))),DATA!$E:$E,$D$6,DATA!$F:$F,$D$4,DATA!$G:$G,LOWER(C$12))=0,"-",SUMIFS(DATA!$W:$W,DATA!$H:$H,LOWER($B18),DATA!$C:$C,_xlfn.NUMBERVALUE(LEFT($D$2,2)),DATA!$D:$D,_xlfn.NUMBERVALUE(MID($D$2,FIND("/",$D$2)+1,LEN($D$2))),DATA!$E:$E,$D$6,DATA!$F:$F,$D$4,DATA!$G:$G,LOWER(C$12)))</f>
        <v>0.50380664337500003</v>
      </c>
      <c r="J18" s="6" t="b">
        <f t="shared" si="24"/>
        <v>0</v>
      </c>
      <c r="K18" s="6">
        <f>IF(SUMIFS(DATA!$X:$X,DATA!$H:$H,LOWER($B18),DATA!$C:$C,_xlfn.NUMBERVALUE(LEFT($D$2,2)),DATA!$D:$D,_xlfn.NUMBERVALUE(MID($D$2,FIND("/",$D$2)+1,LEN($D$2))),DATA!$E:$E,$D$6,DATA!$F:$F,$D$4,DATA!$G:$G,LOWER(C$12))=0,"-",SUMIFS(DATA!$X:$X,DATA!$H:$H,LOWER($B18),DATA!$C:$C,_xlfn.NUMBERVALUE(LEFT($D$2,2)),DATA!$D:$D,_xlfn.NUMBERVALUE(MID($D$2,FIND("/",$D$2)+1,LEN($D$2))),DATA!$E:$E,$D$6,DATA!$F:$F,$D$4,DATA!$G:$G,LOWER(C$12)))</f>
        <v>0.50379779818899995</v>
      </c>
      <c r="L18" s="7" t="b">
        <f t="shared" si="3"/>
        <v>0</v>
      </c>
      <c r="M18" s="5">
        <f>IF(SUMIFS(DATA!$T:$T,DATA!$H:$H,LOWER($B18),DATA!$C:$C,_xlfn.NUMBERVALUE(LEFT($D$2,2)),DATA!$D:$D,_xlfn.NUMBERVALUE(MID($D$2,FIND("/",$D$2)+1,LEN($D$2))),DATA!$E:$E,$D$6,DATA!$F:$F,$D$4,DATA!$G:$G,LOWER(M$12))=0,"-",SUMIFS(DATA!$T:$T,DATA!$H:$H,LOWER($B18),DATA!$C:$C,_xlfn.NUMBERVALUE(LEFT($D$2,2)),DATA!$D:$D,_xlfn.NUMBERVALUE(MID($D$2,FIND("/",$D$2)+1,LEN($D$2))),DATA!$E:$E,$D$6,DATA!$F:$F,$D$4,DATA!$G:$G,LOWER(M$12)))</f>
        <v>0.55755395683499998</v>
      </c>
      <c r="N18" s="6" t="b">
        <f t="shared" si="4"/>
        <v>1</v>
      </c>
      <c r="O18" s="6">
        <f>IF(SUMIFS(DATA!$U:$U,DATA!$H:$H,LOWER($B18),DATA!$C:$C,_xlfn.NUMBERVALUE(LEFT($D$2,2)),DATA!$D:$D,_xlfn.NUMBERVALUE(MID($D$2,FIND("/",$D$2)+1,LEN($D$2))),DATA!$E:$E,$D$6,DATA!$F:$F,$D$4,DATA!$G:$G,LOWER(M$12))=0,"-",SUMIFS(DATA!$U:$U,DATA!$H:$H,LOWER($B18),DATA!$C:$C,_xlfn.NUMBERVALUE(LEFT($D$2,2)),DATA!$D:$D,_xlfn.NUMBERVALUE(MID($D$2,FIND("/",$D$2)+1,LEN($D$2))),DATA!$E:$E,$D$6,DATA!$F:$F,$D$4,DATA!$G:$G,LOWER(M$12)))</f>
        <v>0.55079000886499996</v>
      </c>
      <c r="P18" s="6" t="b">
        <f t="shared" si="5"/>
        <v>0</v>
      </c>
      <c r="Q18" s="6">
        <f>IF(SUMIFS(DATA!$V:$V,DATA!$H:$H,LOWER($B18),DATA!$C:$C,_xlfn.NUMBERVALUE(LEFT($D$2,2)),DATA!$D:$D,_xlfn.NUMBERVALUE(MID($D$2,FIND("/",$D$2)+1,LEN($D$2))),DATA!$E:$E,$D$6,DATA!$F:$F,$D$4,DATA!$G:$G,LOWER(M$12))=0,"-",SUMIFS(DATA!$V:$V,DATA!$H:$H,LOWER($B18),DATA!$C:$C,_xlfn.NUMBERVALUE(LEFT($D$2,2)),DATA!$D:$D,_xlfn.NUMBERVALUE(MID($D$2,FIND("/",$D$2)+1,LEN($D$2))),DATA!$E:$E,$D$6,DATA!$F:$F,$D$4,DATA!$G:$G,LOWER(M$12)))</f>
        <v>0.55183056619799997</v>
      </c>
      <c r="R18" s="6" t="b">
        <f t="shared" si="6"/>
        <v>0</v>
      </c>
      <c r="S18" s="6">
        <f>IF(SUMIFS(DATA!$W:$W,DATA!$H:$H,LOWER($B18),DATA!$C:$C,_xlfn.NUMBERVALUE(LEFT($D$2,2)),DATA!$D:$D,_xlfn.NUMBERVALUE(MID($D$2,FIND("/",$D$2)+1,LEN($D$2))),DATA!$E:$E,$D$6,DATA!$F:$F,$D$4,DATA!$G:$G,LOWER(M$12))=0,"-",SUMIFS(DATA!$W:$W,DATA!$H:$H,LOWER($B18),DATA!$C:$C,_xlfn.NUMBERVALUE(LEFT($D$2,2)),DATA!$D:$D,_xlfn.NUMBERVALUE(MID($D$2,FIND("/",$D$2)+1,LEN($D$2))),DATA!$E:$E,$D$6,DATA!$F:$F,$D$4,DATA!$G:$G,LOWER(M$12)))</f>
        <v>0.55079000886499996</v>
      </c>
      <c r="T18" s="6" t="b">
        <f t="shared" si="7"/>
        <v>0</v>
      </c>
      <c r="U18" s="6">
        <f>IF(SUMIFS(DATA!$X:$X,DATA!$H:$H,LOWER($B18),DATA!$C:$C,_xlfn.NUMBERVALUE(LEFT($D$2,2)),DATA!$D:$D,_xlfn.NUMBERVALUE(MID($D$2,FIND("/",$D$2)+1,LEN($D$2))),DATA!$E:$E,$D$6,DATA!$F:$F,$D$4,DATA!$G:$G,LOWER(M$12))=0,"-",SUMIFS(DATA!$X:$X,DATA!$H:$H,LOWER($B18),DATA!$C:$C,_xlfn.NUMBERVALUE(LEFT($D$2,2)),DATA!$D:$D,_xlfn.NUMBERVALUE(MID($D$2,FIND("/",$D$2)+1,LEN($D$2))),DATA!$E:$E,$D$6,DATA!$F:$F,$D$4,DATA!$G:$G,LOWER(M$12)))</f>
        <v>0.55042795724399995</v>
      </c>
      <c r="V18" s="7" t="b">
        <f t="shared" si="8"/>
        <v>0</v>
      </c>
      <c r="W18" s="5">
        <f>IF(SUMIFS(DATA!$T:$T,DATA!$H:$H,LOWER($B18),DATA!$C:$C,_xlfn.NUMBERVALUE(LEFT($D$2,2)),DATA!$D:$D,_xlfn.NUMBERVALUE(MID($D$2,FIND("/",$D$2)+1,LEN($D$2))),DATA!$E:$E,$D$6,DATA!$F:$F,$D$4,DATA!$G:$G,LOWER(W$12))=0,"-",SUMIFS(DATA!$T:$T,DATA!$H:$H,LOWER($B18),DATA!$C:$C,_xlfn.NUMBERVALUE(LEFT($D$2,2)),DATA!$D:$D,_xlfn.NUMBERVALUE(MID($D$2,FIND("/",$D$2)+1,LEN($D$2))),DATA!$E:$E,$D$6,DATA!$F:$F,$D$4,DATA!$G:$G,LOWER(W$12)))</f>
        <v>0.55755395683499998</v>
      </c>
      <c r="X18" s="6" t="b">
        <f t="shared" si="9"/>
        <v>1</v>
      </c>
      <c r="Y18" s="6">
        <f>IF(SUMIFS(DATA!$U:$U,DATA!$H:$H,LOWER($B18),DATA!$C:$C,_xlfn.NUMBERVALUE(LEFT($D$2,2)),DATA!$D:$D,_xlfn.NUMBERVALUE(MID($D$2,FIND("/",$D$2)+1,LEN($D$2))),DATA!$E:$E,$D$6,DATA!$F:$F,$D$4,DATA!$G:$G,LOWER(W$12))=0,"-",SUMIFS(DATA!$U:$U,DATA!$H:$H,LOWER($B18),DATA!$C:$C,_xlfn.NUMBERVALUE(LEFT($D$2,2)),DATA!$D:$D,_xlfn.NUMBERVALUE(MID($D$2,FIND("/",$D$2)+1,LEN($D$2))),DATA!$E:$E,$D$6,DATA!$F:$F,$D$4,DATA!$G:$G,LOWER(W$12)))</f>
        <v>0.55204150805700003</v>
      </c>
      <c r="Z18" s="6" t="b">
        <f t="shared" si="10"/>
        <v>1</v>
      </c>
      <c r="AA18" s="6">
        <f>IF(SUMIFS(DATA!$V:$V,DATA!$H:$H,LOWER($B18),DATA!$C:$C,_xlfn.NUMBERVALUE(LEFT($D$2,2)),DATA!$D:$D,_xlfn.NUMBERVALUE(MID($D$2,FIND("/",$D$2)+1,LEN($D$2))),DATA!$E:$E,$D$6,DATA!$F:$F,$D$4,DATA!$G:$G,LOWER(W$12))=0,"-",SUMIFS(DATA!$V:$V,DATA!$H:$H,LOWER($B18),DATA!$C:$C,_xlfn.NUMBERVALUE(LEFT($D$2,2)),DATA!$D:$D,_xlfn.NUMBERVALUE(MID($D$2,FIND("/",$D$2)+1,LEN($D$2))),DATA!$E:$E,$D$6,DATA!$F:$F,$D$4,DATA!$G:$G,LOWER(W$12)))</f>
        <v>0.55263713080200005</v>
      </c>
      <c r="AB18" s="6" t="b">
        <f t="shared" si="11"/>
        <v>1</v>
      </c>
      <c r="AC18" s="6">
        <f>IF(SUMIFS(DATA!$W:$W,DATA!$H:$H,LOWER($B18),DATA!$C:$C,_xlfn.NUMBERVALUE(LEFT($D$2,2)),DATA!$D:$D,_xlfn.NUMBERVALUE(MID($D$2,FIND("/",$D$2)+1,LEN($D$2))),DATA!$E:$E,$D$6,DATA!$F:$F,$D$4,DATA!$G:$G,LOWER(W$12))=0,"-",SUMIFS(DATA!$W:$W,DATA!$H:$H,LOWER($B18),DATA!$C:$C,_xlfn.NUMBERVALUE(LEFT($D$2,2)),DATA!$D:$D,_xlfn.NUMBERVALUE(MID($D$2,FIND("/",$D$2)+1,LEN($D$2))),DATA!$E:$E,$D$6,DATA!$F:$F,$D$4,DATA!$G:$G,LOWER(W$12)))</f>
        <v>0.55204150805700003</v>
      </c>
      <c r="AD18" s="6" t="b">
        <f t="shared" si="12"/>
        <v>1</v>
      </c>
      <c r="AE18" s="6">
        <f>IF(SUMIFS(DATA!$X:$X,DATA!$H:$H,LOWER($B18),DATA!$C:$C,_xlfn.NUMBERVALUE(LEFT($D$2,2)),DATA!$D:$D,_xlfn.NUMBERVALUE(MID($D$2,FIND("/",$D$2)+1,LEN($D$2))),DATA!$E:$E,$D$6,DATA!$F:$F,$D$4,DATA!$G:$G,LOWER(W$12))=0,"-",SUMIFS(DATA!$X:$X,DATA!$H:$H,LOWER($B18),DATA!$C:$C,_xlfn.NUMBERVALUE(LEFT($D$2,2)),DATA!$D:$D,_xlfn.NUMBERVALUE(MID($D$2,FIND("/",$D$2)+1,LEN($D$2))),DATA!$E:$E,$D$6,DATA!$F:$F,$D$4,DATA!$G:$G,LOWER(W$12)))</f>
        <v>0.55198301953499995</v>
      </c>
      <c r="AF18" s="7" t="b">
        <f t="shared" si="13"/>
        <v>1</v>
      </c>
      <c r="AG18" s="5">
        <f>IF(SUMIFS(DATA!$T:$T,DATA!$H:$H,LOWER($B18),DATA!$C:$C,_xlfn.NUMBERVALUE(LEFT($D$2,2)),DATA!$D:$D,_xlfn.NUMBERVALUE(MID($D$2,FIND("/",$D$2)+1,LEN($D$2))),DATA!$E:$E,$D$6,DATA!$F:$F,$D$4,DATA!$G:$G,LOWER(AG$12))=0,"-",SUMIFS(DATA!$T:$T,DATA!$H:$H,LOWER($B18),DATA!$C:$C,_xlfn.NUMBERVALUE(LEFT($D$2,2)),DATA!$D:$D,_xlfn.NUMBERVALUE(MID($D$2,FIND("/",$D$2)+1,LEN($D$2))),DATA!$E:$E,$D$6,DATA!$F:$F,$D$4,DATA!$G:$G,LOWER(AG$12)))</f>
        <v>0.539568345324</v>
      </c>
      <c r="AH18" s="6" t="b">
        <f t="shared" si="14"/>
        <v>0</v>
      </c>
      <c r="AI18" s="6">
        <f>IF(SUMIFS(DATA!$U:$U,DATA!$H:$H,LOWER($B18),DATA!$C:$C,_xlfn.NUMBERVALUE(LEFT($D$2,2)),DATA!$D:$D,_xlfn.NUMBERVALUE(MID($D$2,FIND("/",$D$2)+1,LEN($D$2))),DATA!$E:$E,$D$6,DATA!$F:$F,$D$4,DATA!$G:$G,LOWER(AG$12))=0,"-",SUMIFS(DATA!$U:$U,DATA!$H:$H,LOWER($B18),DATA!$C:$C,_xlfn.NUMBERVALUE(LEFT($D$2,2)),DATA!$D:$D,_xlfn.NUMBERVALUE(MID($D$2,FIND("/",$D$2)+1,LEN($D$2))),DATA!$E:$E,$D$6,DATA!$F:$F,$D$4,DATA!$G:$G,LOWER(AG$12)))</f>
        <v>0.53611096626200005</v>
      </c>
      <c r="AJ18" s="6" t="b">
        <f t="shared" si="15"/>
        <v>0</v>
      </c>
      <c r="AK18" s="6">
        <f>IF(SUMIFS(DATA!$V:$V,DATA!$H:$H,LOWER($B18),DATA!$C:$C,_xlfn.NUMBERVALUE(LEFT($D$2,2)),DATA!$D:$D,_xlfn.NUMBERVALUE(MID($D$2,FIND("/",$D$2)+1,LEN($D$2))),DATA!$E:$E,$D$6,DATA!$F:$F,$D$4,DATA!$G:$G,LOWER(AG$12))=0,"-",SUMIFS(DATA!$V:$V,DATA!$H:$H,LOWER($B18),DATA!$C:$C,_xlfn.NUMBERVALUE(LEFT($D$2,2)),DATA!$D:$D,_xlfn.NUMBERVALUE(MID($D$2,FIND("/",$D$2)+1,LEN($D$2))),DATA!$E:$E,$D$6,DATA!$F:$F,$D$4,DATA!$G:$G,LOWER(AG$12)))</f>
        <v>0.53611096626200005</v>
      </c>
      <c r="AL18" s="6" t="b">
        <f t="shared" si="16"/>
        <v>0</v>
      </c>
      <c r="AM18" s="6">
        <f>IF(SUMIFS(DATA!$W:$W,DATA!$H:$H,LOWER($B18),DATA!$C:$C,_xlfn.NUMBERVALUE(LEFT($D$2,2)),DATA!$D:$D,_xlfn.NUMBERVALUE(MID($D$2,FIND("/",$D$2)+1,LEN($D$2))),DATA!$E:$E,$D$6,DATA!$F:$F,$D$4,DATA!$G:$G,LOWER(AG$12))=0,"-",SUMIFS(DATA!$W:$W,DATA!$H:$H,LOWER($B18),DATA!$C:$C,_xlfn.NUMBERVALUE(LEFT($D$2,2)),DATA!$D:$D,_xlfn.NUMBERVALUE(MID($D$2,FIND("/",$D$2)+1,LEN($D$2))),DATA!$E:$E,$D$6,DATA!$F:$F,$D$4,DATA!$G:$G,LOWER(AG$12)))</f>
        <v>0.53611096626200005</v>
      </c>
      <c r="AN18" s="6" t="b">
        <f t="shared" si="17"/>
        <v>0</v>
      </c>
      <c r="AO18" s="6">
        <f>IF(SUMIFS(DATA!$X:$X,DATA!$H:$H,LOWER($B18),DATA!$C:$C,_xlfn.NUMBERVALUE(LEFT($D$2,2)),DATA!$D:$D,_xlfn.NUMBERVALUE(MID($D$2,FIND("/",$D$2)+1,LEN($D$2))),DATA!$E:$E,$D$6,DATA!$F:$F,$D$4,DATA!$G:$G,LOWER(AG$12))=0,"-",SUMIFS(DATA!$X:$X,DATA!$H:$H,LOWER($B18),DATA!$C:$C,_xlfn.NUMBERVALUE(LEFT($D$2,2)),DATA!$D:$D,_xlfn.NUMBERVALUE(MID($D$2,FIND("/",$D$2)+1,LEN($D$2))),DATA!$E:$E,$D$6,DATA!$F:$F,$D$4,DATA!$G:$G,LOWER(AG$12)))</f>
        <v>0.53611096626200005</v>
      </c>
      <c r="AP18" s="7" t="b">
        <f t="shared" si="18"/>
        <v>0</v>
      </c>
      <c r="AQ18" s="5">
        <f>IF(SUMIFS(DATA!$T:$T,DATA!$H:$H,LOWER($B18),DATA!$C:$C,_xlfn.NUMBERVALUE(LEFT($D$2,2)),DATA!$D:$D,_xlfn.NUMBERVALUE(MID($D$2,FIND("/",$D$2)+1,LEN($D$2))),DATA!$E:$E,$D$6,DATA!$F:$F,$D$4,DATA!$G:$G,LOWER(AQ$12))=0,"-",SUMIFS(DATA!$T:$T,DATA!$H:$H,LOWER($B18),DATA!$C:$C,_xlfn.NUMBERVALUE(LEFT($D$2,2)),DATA!$D:$D,_xlfn.NUMBERVALUE(MID($D$2,FIND("/",$D$2)+1,LEN($D$2))),DATA!$E:$E,$D$6,DATA!$F:$F,$D$4,DATA!$G:$G,LOWER(AQ$12)))</f>
        <v>0.48201438848900002</v>
      </c>
      <c r="AR18" s="6" t="b">
        <f t="shared" si="19"/>
        <v>0</v>
      </c>
      <c r="AS18" s="6">
        <f>IF(SUMIFS(DATA!$U:$U,DATA!$H:$H,LOWER($B18),DATA!$C:$C,_xlfn.NUMBERVALUE(LEFT($D$2,2)),DATA!$D:$D,_xlfn.NUMBERVALUE(MID($D$2,FIND("/",$D$2)+1,LEN($D$2))),DATA!$E:$E,$D$6,DATA!$F:$F,$D$4,DATA!$G:$G,LOWER(AQ$12))=0,"-",SUMIFS(DATA!$U:$U,DATA!$H:$H,LOWER($B18),DATA!$C:$C,_xlfn.NUMBERVALUE(LEFT($D$2,2)),DATA!$D:$D,_xlfn.NUMBERVALUE(MID($D$2,FIND("/",$D$2)+1,LEN($D$2))),DATA!$E:$E,$D$6,DATA!$F:$F,$D$4,DATA!$G:$G,LOWER(AQ$12)))</f>
        <v>0.48688533138700002</v>
      </c>
      <c r="AT18" s="6" t="b">
        <f t="shared" si="20"/>
        <v>0</v>
      </c>
      <c r="AU18" s="6">
        <f>IF(SUMIFS(DATA!$V:$V,DATA!$H:$H,LOWER($B18),DATA!$C:$C,_xlfn.NUMBERVALUE(LEFT($D$2,2)),DATA!$D:$D,_xlfn.NUMBERVALUE(MID($D$2,FIND("/",$D$2)+1,LEN($D$2))),DATA!$E:$E,$D$6,DATA!$F:$F,$D$4,DATA!$G:$G,LOWER(AQ$12))=0,"-",SUMIFS(DATA!$V:$V,DATA!$H:$H,LOWER($B18),DATA!$C:$C,_xlfn.NUMBERVALUE(LEFT($D$2,2)),DATA!$D:$D,_xlfn.NUMBERVALUE(MID($D$2,FIND("/",$D$2)+1,LEN($D$2))),DATA!$E:$E,$D$6,DATA!$F:$F,$D$4,DATA!$G:$G,LOWER(AQ$12)))</f>
        <v>0.48680828743799998</v>
      </c>
      <c r="AV18" s="6" t="b">
        <f t="shared" si="21"/>
        <v>0</v>
      </c>
      <c r="AW18" s="6">
        <f>IF(SUMIFS(DATA!$W:$W,DATA!$H:$H,LOWER($B18),DATA!$C:$C,_xlfn.NUMBERVALUE(LEFT($D$2,2)),DATA!$D:$D,_xlfn.NUMBERVALUE(MID($D$2,FIND("/",$D$2)+1,LEN($D$2))),DATA!$E:$E,$D$6,DATA!$F:$F,$D$4,DATA!$G:$G,LOWER(AQ$12))=0,"-",SUMIFS(DATA!$W:$W,DATA!$H:$H,LOWER($B18),DATA!$C:$C,_xlfn.NUMBERVALUE(LEFT($D$2,2)),DATA!$D:$D,_xlfn.NUMBERVALUE(MID($D$2,FIND("/",$D$2)+1,LEN($D$2))),DATA!$E:$E,$D$6,DATA!$F:$F,$D$4,DATA!$G:$G,LOWER(AQ$12)))</f>
        <v>0.48688533138700002</v>
      </c>
      <c r="AX18" s="6" t="b">
        <f t="shared" si="22"/>
        <v>0</v>
      </c>
      <c r="AY18" s="6">
        <f>IF(SUMIFS(DATA!$X:$X,DATA!$H:$H,LOWER($B18),DATA!$C:$C,_xlfn.NUMBERVALUE(LEFT($D$2,2)),DATA!$D:$D,_xlfn.NUMBERVALUE(MID($D$2,FIND("/",$D$2)+1,LEN($D$2))),DATA!$E:$E,$D$6,DATA!$F:$F,$D$4,DATA!$G:$G,LOWER(AQ$12))=0,"-",SUMIFS(DATA!$X:$X,DATA!$H:$H,LOWER($B18),DATA!$C:$C,_xlfn.NUMBERVALUE(LEFT($D$2,2)),DATA!$D:$D,_xlfn.NUMBERVALUE(MID($D$2,FIND("/",$D$2)+1,LEN($D$2))),DATA!$E:$E,$D$6,DATA!$F:$F,$D$4,DATA!$G:$G,LOWER(AQ$12)))</f>
        <v>0.48190712843599998</v>
      </c>
      <c r="AZ18" s="7" t="b">
        <f t="shared" si="23"/>
        <v>0</v>
      </c>
    </row>
    <row r="19" spans="2:52" x14ac:dyDescent="0.25">
      <c r="B19" s="18" t="s">
        <v>152</v>
      </c>
      <c r="C19" s="5" t="str">
        <f>IF(SUMIFS(DATA!$T:$T,DATA!$H:$H,LOWER($B19),DATA!$C:$C,_xlfn.NUMBERVALUE(LEFT($D$2,2)),DATA!$D:$D,_xlfn.NUMBERVALUE(MID($D$2,FIND("/",$D$2)+1,LEN($D$2))),DATA!$E:$E,$D$6,DATA!$F:$F,$D$4,DATA!$G:$G,LOWER(C$12))=0,"-",SUMIFS(DATA!$T:$T,DATA!$H:$H,LOWER($B19),DATA!$C:$C,_xlfn.NUMBERVALUE(LEFT($D$2,2)),DATA!$D:$D,_xlfn.NUMBERVALUE(MID($D$2,FIND("/",$D$2)+1,LEN($D$2))),DATA!$E:$E,$D$6,DATA!$F:$F,$D$4,DATA!$G:$G,LOWER(C$12)))</f>
        <v>-</v>
      </c>
      <c r="D19" s="6" t="b">
        <f t="shared" si="0"/>
        <v>0</v>
      </c>
      <c r="E19" s="6" t="str">
        <f>IF(SUMIFS(DATA!$U:$U,DATA!$H:$H,LOWER($B19),DATA!$C:$C,_xlfn.NUMBERVALUE(LEFT($D$2,2)),DATA!$D:$D,_xlfn.NUMBERVALUE(MID($D$2,FIND("/",$D$2)+1,LEN($D$2))),DATA!$E:$E,$D$6,DATA!$F:$F,$D$4,DATA!$G:$G,LOWER(C$12))=0,"-",SUMIFS(DATA!$U:$U,DATA!$H:$H,LOWER($B19),DATA!$C:$C,_xlfn.NUMBERVALUE(LEFT($D$2,2)),DATA!$D:$D,_xlfn.NUMBERVALUE(MID($D$2,FIND("/",$D$2)+1,LEN($D$2))),DATA!$E:$E,$D$6,DATA!$F:$F,$D$4,DATA!$G:$G,LOWER(C$12)))</f>
        <v>-</v>
      </c>
      <c r="F19" s="6" t="b">
        <f t="shared" si="1"/>
        <v>0</v>
      </c>
      <c r="G19" s="6" t="str">
        <f>IF(SUMIFS(DATA!$V:$V,DATA!$H:$H,LOWER($B19),DATA!$C:$C,_xlfn.NUMBERVALUE(LEFT($D$2,2)),DATA!$D:$D,_xlfn.NUMBERVALUE(MID($D$2,FIND("/",$D$2)+1,LEN($D$2))),DATA!$E:$E,$D$6,DATA!$F:$F,$D$4,DATA!$G:$G,LOWER(C$12))=0,"-",SUMIFS(DATA!$V:$V,DATA!$H:$H,LOWER($B19),DATA!$C:$C,_xlfn.NUMBERVALUE(LEFT($D$2,2)),DATA!$D:$D,_xlfn.NUMBERVALUE(MID($D$2,FIND("/",$D$2)+1,LEN($D$2))),DATA!$E:$E,$D$6,DATA!$F:$F,$D$4,DATA!$G:$G,LOWER(C$12)))</f>
        <v>-</v>
      </c>
      <c r="H19" s="6" t="b">
        <f t="shared" si="2"/>
        <v>0</v>
      </c>
      <c r="I19" s="6" t="str">
        <f>IF(SUMIFS(DATA!$W:$W,DATA!$H:$H,LOWER($B19),DATA!$C:$C,_xlfn.NUMBERVALUE(LEFT($D$2,2)),DATA!$D:$D,_xlfn.NUMBERVALUE(MID($D$2,FIND("/",$D$2)+1,LEN($D$2))),DATA!$E:$E,$D$6,DATA!$F:$F,$D$4,DATA!$G:$G,LOWER(C$12))=0,"-",SUMIFS(DATA!$W:$W,DATA!$H:$H,LOWER($B19),DATA!$C:$C,_xlfn.NUMBERVALUE(LEFT($D$2,2)),DATA!$D:$D,_xlfn.NUMBERVALUE(MID($D$2,FIND("/",$D$2)+1,LEN($D$2))),DATA!$E:$E,$D$6,DATA!$F:$F,$D$4,DATA!$G:$G,LOWER(C$12)))</f>
        <v>-</v>
      </c>
      <c r="J19" s="6" t="b">
        <f t="shared" si="24"/>
        <v>0</v>
      </c>
      <c r="K19" s="6" t="str">
        <f>IF(SUMIFS(DATA!$X:$X,DATA!$H:$H,LOWER($B19),DATA!$C:$C,_xlfn.NUMBERVALUE(LEFT($D$2,2)),DATA!$D:$D,_xlfn.NUMBERVALUE(MID($D$2,FIND("/",$D$2)+1,LEN($D$2))),DATA!$E:$E,$D$6,DATA!$F:$F,$D$4,DATA!$G:$G,LOWER(C$12))=0,"-",SUMIFS(DATA!$X:$X,DATA!$H:$H,LOWER($B19),DATA!$C:$C,_xlfn.NUMBERVALUE(LEFT($D$2,2)),DATA!$D:$D,_xlfn.NUMBERVALUE(MID($D$2,FIND("/",$D$2)+1,LEN($D$2))),DATA!$E:$E,$D$6,DATA!$F:$F,$D$4,DATA!$G:$G,LOWER(C$12)))</f>
        <v>-</v>
      </c>
      <c r="L19" s="7" t="b">
        <f t="shared" si="3"/>
        <v>0</v>
      </c>
      <c r="M19" s="5">
        <f>IF(SUMIFS(DATA!$T:$T,DATA!$H:$H,LOWER($B19),DATA!$C:$C,_xlfn.NUMBERVALUE(LEFT($D$2,2)),DATA!$D:$D,_xlfn.NUMBERVALUE(MID($D$2,FIND("/",$D$2)+1,LEN($D$2))),DATA!$E:$E,$D$6,DATA!$F:$F,$D$4,DATA!$G:$G,LOWER(M$12))=0,"-",SUMIFS(DATA!$T:$T,DATA!$H:$H,LOWER($B19),DATA!$C:$C,_xlfn.NUMBERVALUE(LEFT($D$2,2)),DATA!$D:$D,_xlfn.NUMBERVALUE(MID($D$2,FIND("/",$D$2)+1,LEN($D$2))),DATA!$E:$E,$D$6,DATA!$F:$F,$D$4,DATA!$G:$G,LOWER(M$12)))</f>
        <v>0.47482014388499999</v>
      </c>
      <c r="N19" s="6" t="b">
        <f t="shared" si="4"/>
        <v>0</v>
      </c>
      <c r="O19" s="6">
        <f>IF(SUMIFS(DATA!$U:$U,DATA!$H:$H,LOWER($B19),DATA!$C:$C,_xlfn.NUMBERVALUE(LEFT($D$2,2)),DATA!$D:$D,_xlfn.NUMBERVALUE(MID($D$2,FIND("/",$D$2)+1,LEN($D$2))),DATA!$E:$E,$D$6,DATA!$F:$F,$D$4,DATA!$G:$G,LOWER(M$12))=0,"-",SUMIFS(DATA!$U:$U,DATA!$H:$H,LOWER($B19),DATA!$C:$C,_xlfn.NUMBERVALUE(LEFT($D$2,2)),DATA!$D:$D,_xlfn.NUMBERVALUE(MID($D$2,FIND("/",$D$2)+1,LEN($D$2))),DATA!$E:$E,$D$6,DATA!$F:$F,$D$4,DATA!$G:$G,LOWER(M$12)))</f>
        <v>0.471502320488</v>
      </c>
      <c r="P19" s="6" t="b">
        <f t="shared" si="5"/>
        <v>0</v>
      </c>
      <c r="Q19" s="6">
        <f>IF(SUMIFS(DATA!$V:$V,DATA!$H:$H,LOWER($B19),DATA!$C:$C,_xlfn.NUMBERVALUE(LEFT($D$2,2)),DATA!$D:$D,_xlfn.NUMBERVALUE(MID($D$2,FIND("/",$D$2)+1,LEN($D$2))),DATA!$E:$E,$D$6,DATA!$F:$F,$D$4,DATA!$G:$G,LOWER(M$12))=0,"-",SUMIFS(DATA!$V:$V,DATA!$H:$H,LOWER($B19),DATA!$C:$C,_xlfn.NUMBERVALUE(LEFT($D$2,2)),DATA!$D:$D,_xlfn.NUMBERVALUE(MID($D$2,FIND("/",$D$2)+1,LEN($D$2))),DATA!$E:$E,$D$6,DATA!$F:$F,$D$4,DATA!$G:$G,LOWER(M$12)))</f>
        <v>0.47156755631899999</v>
      </c>
      <c r="R19" s="6" t="b">
        <f t="shared" si="6"/>
        <v>0</v>
      </c>
      <c r="S19" s="6">
        <f>IF(SUMIFS(DATA!$W:$W,DATA!$H:$H,LOWER($B19),DATA!$C:$C,_xlfn.NUMBERVALUE(LEFT($D$2,2)),DATA!$D:$D,_xlfn.NUMBERVALUE(MID($D$2,FIND("/",$D$2)+1,LEN($D$2))),DATA!$E:$E,$D$6,DATA!$F:$F,$D$4,DATA!$G:$G,LOWER(M$12))=0,"-",SUMIFS(DATA!$W:$W,DATA!$H:$H,LOWER($B19),DATA!$C:$C,_xlfn.NUMBERVALUE(LEFT($D$2,2)),DATA!$D:$D,_xlfn.NUMBERVALUE(MID($D$2,FIND("/",$D$2)+1,LEN($D$2))),DATA!$E:$E,$D$6,DATA!$F:$F,$D$4,DATA!$G:$G,LOWER(M$12)))</f>
        <v>0.471502320488</v>
      </c>
      <c r="T19" s="6" t="b">
        <f t="shared" si="7"/>
        <v>0</v>
      </c>
      <c r="U19" s="6">
        <f>IF(SUMIFS(DATA!$X:$X,DATA!$H:$H,LOWER($B19),DATA!$C:$C,_xlfn.NUMBERVALUE(LEFT($D$2,2)),DATA!$D:$D,_xlfn.NUMBERVALUE(MID($D$2,FIND("/",$D$2)+1,LEN($D$2))),DATA!$E:$E,$D$6,DATA!$F:$F,$D$4,DATA!$G:$G,LOWER(M$12))=0,"-",SUMIFS(DATA!$X:$X,DATA!$H:$H,LOWER($B19),DATA!$C:$C,_xlfn.NUMBERVALUE(LEFT($D$2,2)),DATA!$D:$D,_xlfn.NUMBERVALUE(MID($D$2,FIND("/",$D$2)+1,LEN($D$2))),DATA!$E:$E,$D$6,DATA!$F:$F,$D$4,DATA!$G:$G,LOWER(M$12)))</f>
        <v>0.471510416667</v>
      </c>
      <c r="V19" s="7" t="b">
        <f t="shared" si="8"/>
        <v>0</v>
      </c>
      <c r="W19" s="5">
        <f>IF(SUMIFS(DATA!$T:$T,DATA!$H:$H,LOWER($B19),DATA!$C:$C,_xlfn.NUMBERVALUE(LEFT($D$2,2)),DATA!$D:$D,_xlfn.NUMBERVALUE(MID($D$2,FIND("/",$D$2)+1,LEN($D$2))),DATA!$E:$E,$D$6,DATA!$F:$F,$D$4,DATA!$G:$G,LOWER(W$12))=0,"-",SUMIFS(DATA!$T:$T,DATA!$H:$H,LOWER($B19),DATA!$C:$C,_xlfn.NUMBERVALUE(LEFT($D$2,2)),DATA!$D:$D,_xlfn.NUMBERVALUE(MID($D$2,FIND("/",$D$2)+1,LEN($D$2))),DATA!$E:$E,$D$6,DATA!$F:$F,$D$4,DATA!$G:$G,LOWER(W$12)))</f>
        <v>0.43884892086299998</v>
      </c>
      <c r="X19" s="6" t="b">
        <f t="shared" si="9"/>
        <v>0</v>
      </c>
      <c r="Y19" s="6">
        <f>IF(SUMIFS(DATA!$U:$U,DATA!$H:$H,LOWER($B19),DATA!$C:$C,_xlfn.NUMBERVALUE(LEFT($D$2,2)),DATA!$D:$D,_xlfn.NUMBERVALUE(MID($D$2,FIND("/",$D$2)+1,LEN($D$2))),DATA!$E:$E,$D$6,DATA!$F:$F,$D$4,DATA!$G:$G,LOWER(W$12))=0,"-",SUMIFS(DATA!$U:$U,DATA!$H:$H,LOWER($B19),DATA!$C:$C,_xlfn.NUMBERVALUE(LEFT($D$2,2)),DATA!$D:$D,_xlfn.NUMBERVALUE(MID($D$2,FIND("/",$D$2)+1,LEN($D$2))),DATA!$E:$E,$D$6,DATA!$F:$F,$D$4,DATA!$G:$G,LOWER(W$12)))</f>
        <v>0.43400949053600002</v>
      </c>
      <c r="Z19" s="6" t="b">
        <f t="shared" si="10"/>
        <v>0</v>
      </c>
      <c r="AA19" s="6">
        <f>IF(SUMIFS(DATA!$V:$V,DATA!$H:$H,LOWER($B19),DATA!$C:$C,_xlfn.NUMBERVALUE(LEFT($D$2,2)),DATA!$D:$D,_xlfn.NUMBERVALUE(MID($D$2,FIND("/",$D$2)+1,LEN($D$2))),DATA!$E:$E,$D$6,DATA!$F:$F,$D$4,DATA!$G:$G,LOWER(W$12))=0,"-",SUMIFS(DATA!$V:$V,DATA!$H:$H,LOWER($B19),DATA!$C:$C,_xlfn.NUMBERVALUE(LEFT($D$2,2)),DATA!$D:$D,_xlfn.NUMBERVALUE(MID($D$2,FIND("/",$D$2)+1,LEN($D$2))),DATA!$E:$E,$D$6,DATA!$F:$F,$D$4,DATA!$G:$G,LOWER(W$12)))</f>
        <v>0.43383006535899998</v>
      </c>
      <c r="AB19" s="6" t="b">
        <f t="shared" si="11"/>
        <v>0</v>
      </c>
      <c r="AC19" s="6">
        <f>IF(SUMIFS(DATA!$W:$W,DATA!$H:$H,LOWER($B19),DATA!$C:$C,_xlfn.NUMBERVALUE(LEFT($D$2,2)),DATA!$D:$D,_xlfn.NUMBERVALUE(MID($D$2,FIND("/",$D$2)+1,LEN($D$2))),DATA!$E:$E,$D$6,DATA!$F:$F,$D$4,DATA!$G:$G,LOWER(W$12))=0,"-",SUMIFS(DATA!$W:$W,DATA!$H:$H,LOWER($B19),DATA!$C:$C,_xlfn.NUMBERVALUE(LEFT($D$2,2)),DATA!$D:$D,_xlfn.NUMBERVALUE(MID($D$2,FIND("/",$D$2)+1,LEN($D$2))),DATA!$E:$E,$D$6,DATA!$F:$F,$D$4,DATA!$G:$G,LOWER(W$12)))</f>
        <v>0.43400949053600002</v>
      </c>
      <c r="AD19" s="6" t="b">
        <f t="shared" si="12"/>
        <v>0</v>
      </c>
      <c r="AE19" s="6">
        <f>IF(SUMIFS(DATA!$X:$X,DATA!$H:$H,LOWER($B19),DATA!$C:$C,_xlfn.NUMBERVALUE(LEFT($D$2,2)),DATA!$D:$D,_xlfn.NUMBERVALUE(MID($D$2,FIND("/",$D$2)+1,LEN($D$2))),DATA!$E:$E,$D$6,DATA!$F:$F,$D$4,DATA!$G:$G,LOWER(W$12))=0,"-",SUMIFS(DATA!$X:$X,DATA!$H:$H,LOWER($B19),DATA!$C:$C,_xlfn.NUMBERVALUE(LEFT($D$2,2)),DATA!$D:$D,_xlfn.NUMBERVALUE(MID($D$2,FIND("/",$D$2)+1,LEN($D$2))),DATA!$E:$E,$D$6,DATA!$F:$F,$D$4,DATA!$G:$G,LOWER(W$12)))</f>
        <v>0.43389724310799999</v>
      </c>
      <c r="AF19" s="7" t="b">
        <f t="shared" si="13"/>
        <v>0</v>
      </c>
      <c r="AG19" s="5" t="str">
        <f>IF(SUMIFS(DATA!$T:$T,DATA!$H:$H,LOWER($B19),DATA!$C:$C,_xlfn.NUMBERVALUE(LEFT($D$2,2)),DATA!$D:$D,_xlfn.NUMBERVALUE(MID($D$2,FIND("/",$D$2)+1,LEN($D$2))),DATA!$E:$E,$D$6,DATA!$F:$F,$D$4,DATA!$G:$G,LOWER(AG$12))=0,"-",SUMIFS(DATA!$T:$T,DATA!$H:$H,LOWER($B19),DATA!$C:$C,_xlfn.NUMBERVALUE(LEFT($D$2,2)),DATA!$D:$D,_xlfn.NUMBERVALUE(MID($D$2,FIND("/",$D$2)+1,LEN($D$2))),DATA!$E:$E,$D$6,DATA!$F:$F,$D$4,DATA!$G:$G,LOWER(AG$12)))</f>
        <v>-</v>
      </c>
      <c r="AH19" s="6" t="b">
        <f t="shared" si="14"/>
        <v>0</v>
      </c>
      <c r="AI19" s="6" t="str">
        <f>IF(SUMIFS(DATA!$U:$U,DATA!$H:$H,LOWER($B19),DATA!$C:$C,_xlfn.NUMBERVALUE(LEFT($D$2,2)),DATA!$D:$D,_xlfn.NUMBERVALUE(MID($D$2,FIND("/",$D$2)+1,LEN($D$2))),DATA!$E:$E,$D$6,DATA!$F:$F,$D$4,DATA!$G:$G,LOWER(AG$12))=0,"-",SUMIFS(DATA!$U:$U,DATA!$H:$H,LOWER($B19),DATA!$C:$C,_xlfn.NUMBERVALUE(LEFT($D$2,2)),DATA!$D:$D,_xlfn.NUMBERVALUE(MID($D$2,FIND("/",$D$2)+1,LEN($D$2))),DATA!$E:$E,$D$6,DATA!$F:$F,$D$4,DATA!$G:$G,LOWER(AG$12)))</f>
        <v>-</v>
      </c>
      <c r="AJ19" s="6" t="b">
        <f t="shared" si="15"/>
        <v>0</v>
      </c>
      <c r="AK19" s="6" t="str">
        <f>IF(SUMIFS(DATA!$V:$V,DATA!$H:$H,LOWER($B19),DATA!$C:$C,_xlfn.NUMBERVALUE(LEFT($D$2,2)),DATA!$D:$D,_xlfn.NUMBERVALUE(MID($D$2,FIND("/",$D$2)+1,LEN($D$2))),DATA!$E:$E,$D$6,DATA!$F:$F,$D$4,DATA!$G:$G,LOWER(AG$12))=0,"-",SUMIFS(DATA!$V:$V,DATA!$H:$H,LOWER($B19),DATA!$C:$C,_xlfn.NUMBERVALUE(LEFT($D$2,2)),DATA!$D:$D,_xlfn.NUMBERVALUE(MID($D$2,FIND("/",$D$2)+1,LEN($D$2))),DATA!$E:$E,$D$6,DATA!$F:$F,$D$4,DATA!$G:$G,LOWER(AG$12)))</f>
        <v>-</v>
      </c>
      <c r="AL19" s="6" t="b">
        <f t="shared" si="16"/>
        <v>0</v>
      </c>
      <c r="AM19" s="6" t="str">
        <f>IF(SUMIFS(DATA!$W:$W,DATA!$H:$H,LOWER($B19),DATA!$C:$C,_xlfn.NUMBERVALUE(LEFT($D$2,2)),DATA!$D:$D,_xlfn.NUMBERVALUE(MID($D$2,FIND("/",$D$2)+1,LEN($D$2))),DATA!$E:$E,$D$6,DATA!$F:$F,$D$4,DATA!$G:$G,LOWER(AG$12))=0,"-",SUMIFS(DATA!$W:$W,DATA!$H:$H,LOWER($B19),DATA!$C:$C,_xlfn.NUMBERVALUE(LEFT($D$2,2)),DATA!$D:$D,_xlfn.NUMBERVALUE(MID($D$2,FIND("/",$D$2)+1,LEN($D$2))),DATA!$E:$E,$D$6,DATA!$F:$F,$D$4,DATA!$G:$G,LOWER(AG$12)))</f>
        <v>-</v>
      </c>
      <c r="AN19" s="6" t="b">
        <f t="shared" si="17"/>
        <v>0</v>
      </c>
      <c r="AO19" s="6" t="str">
        <f>IF(SUMIFS(DATA!$X:$X,DATA!$H:$H,LOWER($B19),DATA!$C:$C,_xlfn.NUMBERVALUE(LEFT($D$2,2)),DATA!$D:$D,_xlfn.NUMBERVALUE(MID($D$2,FIND("/",$D$2)+1,LEN($D$2))),DATA!$E:$E,$D$6,DATA!$F:$F,$D$4,DATA!$G:$G,LOWER(AG$12))=0,"-",SUMIFS(DATA!$X:$X,DATA!$H:$H,LOWER($B19),DATA!$C:$C,_xlfn.NUMBERVALUE(LEFT($D$2,2)),DATA!$D:$D,_xlfn.NUMBERVALUE(MID($D$2,FIND("/",$D$2)+1,LEN($D$2))),DATA!$E:$E,$D$6,DATA!$F:$F,$D$4,DATA!$G:$G,LOWER(AG$12)))</f>
        <v>-</v>
      </c>
      <c r="AP19" s="7" t="b">
        <f t="shared" si="18"/>
        <v>0</v>
      </c>
      <c r="AQ19" s="5" t="str">
        <f>IF(SUMIFS(DATA!$T:$T,DATA!$H:$H,LOWER($B19),DATA!$C:$C,_xlfn.NUMBERVALUE(LEFT($D$2,2)),DATA!$D:$D,_xlfn.NUMBERVALUE(MID($D$2,FIND("/",$D$2)+1,LEN($D$2))),DATA!$E:$E,$D$6,DATA!$F:$F,$D$4,DATA!$G:$G,LOWER(AQ$12))=0,"-",SUMIFS(DATA!$T:$T,DATA!$H:$H,LOWER($B19),DATA!$C:$C,_xlfn.NUMBERVALUE(LEFT($D$2,2)),DATA!$D:$D,_xlfn.NUMBERVALUE(MID($D$2,FIND("/",$D$2)+1,LEN($D$2))),DATA!$E:$E,$D$6,DATA!$F:$F,$D$4,DATA!$G:$G,LOWER(AQ$12)))</f>
        <v>-</v>
      </c>
      <c r="AR19" s="6" t="b">
        <f t="shared" si="19"/>
        <v>0</v>
      </c>
      <c r="AS19" s="6" t="str">
        <f>IF(SUMIFS(DATA!$U:$U,DATA!$H:$H,LOWER($B19),DATA!$C:$C,_xlfn.NUMBERVALUE(LEFT($D$2,2)),DATA!$D:$D,_xlfn.NUMBERVALUE(MID($D$2,FIND("/",$D$2)+1,LEN($D$2))),DATA!$E:$E,$D$6,DATA!$F:$F,$D$4,DATA!$G:$G,LOWER(AQ$12))=0,"-",SUMIFS(DATA!$U:$U,DATA!$H:$H,LOWER($B19),DATA!$C:$C,_xlfn.NUMBERVALUE(LEFT($D$2,2)),DATA!$D:$D,_xlfn.NUMBERVALUE(MID($D$2,FIND("/",$D$2)+1,LEN($D$2))),DATA!$E:$E,$D$6,DATA!$F:$F,$D$4,DATA!$G:$G,LOWER(AQ$12)))</f>
        <v>-</v>
      </c>
      <c r="AT19" s="6" t="b">
        <f t="shared" si="20"/>
        <v>0</v>
      </c>
      <c r="AU19" s="6" t="str">
        <f>IF(SUMIFS(DATA!$V:$V,DATA!$H:$H,LOWER($B19),DATA!$C:$C,_xlfn.NUMBERVALUE(LEFT($D$2,2)),DATA!$D:$D,_xlfn.NUMBERVALUE(MID($D$2,FIND("/",$D$2)+1,LEN($D$2))),DATA!$E:$E,$D$6,DATA!$F:$F,$D$4,DATA!$G:$G,LOWER(AQ$12))=0,"-",SUMIFS(DATA!$V:$V,DATA!$H:$H,LOWER($B19),DATA!$C:$C,_xlfn.NUMBERVALUE(LEFT($D$2,2)),DATA!$D:$D,_xlfn.NUMBERVALUE(MID($D$2,FIND("/",$D$2)+1,LEN($D$2))),DATA!$E:$E,$D$6,DATA!$F:$F,$D$4,DATA!$G:$G,LOWER(AQ$12)))</f>
        <v>-</v>
      </c>
      <c r="AV19" s="6" t="b">
        <f t="shared" si="21"/>
        <v>0</v>
      </c>
      <c r="AW19" s="6" t="str">
        <f>IF(SUMIFS(DATA!$W:$W,DATA!$H:$H,LOWER($B19),DATA!$C:$C,_xlfn.NUMBERVALUE(LEFT($D$2,2)),DATA!$D:$D,_xlfn.NUMBERVALUE(MID($D$2,FIND("/",$D$2)+1,LEN($D$2))),DATA!$E:$E,$D$6,DATA!$F:$F,$D$4,DATA!$G:$G,LOWER(AQ$12))=0,"-",SUMIFS(DATA!$W:$W,DATA!$H:$H,LOWER($B19),DATA!$C:$C,_xlfn.NUMBERVALUE(LEFT($D$2,2)),DATA!$D:$D,_xlfn.NUMBERVALUE(MID($D$2,FIND("/",$D$2)+1,LEN($D$2))),DATA!$E:$E,$D$6,DATA!$F:$F,$D$4,DATA!$G:$G,LOWER(AQ$12)))</f>
        <v>-</v>
      </c>
      <c r="AX19" s="6" t="b">
        <f t="shared" si="22"/>
        <v>0</v>
      </c>
      <c r="AY19" s="6" t="str">
        <f>IF(SUMIFS(DATA!$X:$X,DATA!$H:$H,LOWER($B19),DATA!$C:$C,_xlfn.NUMBERVALUE(LEFT($D$2,2)),DATA!$D:$D,_xlfn.NUMBERVALUE(MID($D$2,FIND("/",$D$2)+1,LEN($D$2))),DATA!$E:$E,$D$6,DATA!$F:$F,$D$4,DATA!$G:$G,LOWER(AQ$12))=0,"-",SUMIFS(DATA!$X:$X,DATA!$H:$H,LOWER($B19),DATA!$C:$C,_xlfn.NUMBERVALUE(LEFT($D$2,2)),DATA!$D:$D,_xlfn.NUMBERVALUE(MID($D$2,FIND("/",$D$2)+1,LEN($D$2))),DATA!$E:$E,$D$6,DATA!$F:$F,$D$4,DATA!$G:$G,LOWER(AQ$12)))</f>
        <v>-</v>
      </c>
      <c r="AZ19" s="7" t="b">
        <f t="shared" si="23"/>
        <v>0</v>
      </c>
    </row>
    <row r="20" spans="2:52" ht="15.75" thickBot="1" x14ac:dyDescent="0.3">
      <c r="B20" s="9" t="s">
        <v>153</v>
      </c>
      <c r="C20" s="5" t="str">
        <f>IF(SUMIFS(DATA!$T:$T,DATA!$H:$H,LOWER($B20),DATA!$C:$C,_xlfn.NUMBERVALUE(LEFT($D$2,2)),DATA!$D:$D,_xlfn.NUMBERVALUE(MID($D$2,FIND("/",$D$2)+1,LEN($D$2))),DATA!$E:$E,$D$6,DATA!$F:$F,$D$4,DATA!$G:$G,LOWER(C$12))=0,"-",SUMIFS(DATA!$T:$T,DATA!$H:$H,LOWER($B20),DATA!$C:$C,_xlfn.NUMBERVALUE(LEFT($D$2,2)),DATA!$D:$D,_xlfn.NUMBERVALUE(MID($D$2,FIND("/",$D$2)+1,LEN($D$2))),DATA!$E:$E,$D$6,DATA!$F:$F,$D$4,DATA!$G:$G,LOWER(C$12)))</f>
        <v>-</v>
      </c>
      <c r="D20" s="6" t="b">
        <f t="shared" si="0"/>
        <v>0</v>
      </c>
      <c r="E20" s="6" t="str">
        <f>IF(SUMIFS(DATA!$U:$U,DATA!$H:$H,LOWER($B20),DATA!$C:$C,_xlfn.NUMBERVALUE(LEFT($D$2,2)),DATA!$D:$D,_xlfn.NUMBERVALUE(MID($D$2,FIND("/",$D$2)+1,LEN($D$2))),DATA!$E:$E,$D$6,DATA!$F:$F,$D$4,DATA!$G:$G,LOWER(C$12))=0,"-",SUMIFS(DATA!$U:$U,DATA!$H:$H,LOWER($B20),DATA!$C:$C,_xlfn.NUMBERVALUE(LEFT($D$2,2)),DATA!$D:$D,_xlfn.NUMBERVALUE(MID($D$2,FIND("/",$D$2)+1,LEN($D$2))),DATA!$E:$E,$D$6,DATA!$F:$F,$D$4,DATA!$G:$G,LOWER(C$12)))</f>
        <v>-</v>
      </c>
      <c r="F20" s="6" t="b">
        <f t="shared" si="1"/>
        <v>0</v>
      </c>
      <c r="G20" s="6" t="str">
        <f>IF(SUMIFS(DATA!$V:$V,DATA!$H:$H,LOWER($B20),DATA!$C:$C,_xlfn.NUMBERVALUE(LEFT($D$2,2)),DATA!$D:$D,_xlfn.NUMBERVALUE(MID($D$2,FIND("/",$D$2)+1,LEN($D$2))),DATA!$E:$E,$D$6,DATA!$F:$F,$D$4,DATA!$G:$G,LOWER(C$12))=0,"-",SUMIFS(DATA!$V:$V,DATA!$H:$H,LOWER($B20),DATA!$C:$C,_xlfn.NUMBERVALUE(LEFT($D$2,2)),DATA!$D:$D,_xlfn.NUMBERVALUE(MID($D$2,FIND("/",$D$2)+1,LEN($D$2))),DATA!$E:$E,$D$6,DATA!$F:$F,$D$4,DATA!$G:$G,LOWER(C$12)))</f>
        <v>-</v>
      </c>
      <c r="H20" s="6" t="b">
        <f t="shared" si="2"/>
        <v>0</v>
      </c>
      <c r="I20" s="6" t="str">
        <f>IF(SUMIFS(DATA!$W:$W,DATA!$H:$H,LOWER($B20),DATA!$C:$C,_xlfn.NUMBERVALUE(LEFT($D$2,2)),DATA!$D:$D,_xlfn.NUMBERVALUE(MID($D$2,FIND("/",$D$2)+1,LEN($D$2))),DATA!$E:$E,$D$6,DATA!$F:$F,$D$4,DATA!$G:$G,LOWER(C$12))=0,"-",SUMIFS(DATA!$W:$W,DATA!$H:$H,LOWER($B20),DATA!$C:$C,_xlfn.NUMBERVALUE(LEFT($D$2,2)),DATA!$D:$D,_xlfn.NUMBERVALUE(MID($D$2,FIND("/",$D$2)+1,LEN($D$2))),DATA!$E:$E,$D$6,DATA!$F:$F,$D$4,DATA!$G:$G,LOWER(C$12)))</f>
        <v>-</v>
      </c>
      <c r="J20" s="6" t="b">
        <f t="shared" si="24"/>
        <v>0</v>
      </c>
      <c r="K20" s="6" t="str">
        <f>IF(SUMIFS(DATA!$X:$X,DATA!$H:$H,LOWER($B20),DATA!$C:$C,_xlfn.NUMBERVALUE(LEFT($D$2,2)),DATA!$D:$D,_xlfn.NUMBERVALUE(MID($D$2,FIND("/",$D$2)+1,LEN($D$2))),DATA!$E:$E,$D$6,DATA!$F:$F,$D$4,DATA!$G:$G,LOWER(C$12))=0,"-",SUMIFS(DATA!$X:$X,DATA!$H:$H,LOWER($B20),DATA!$C:$C,_xlfn.NUMBERVALUE(LEFT($D$2,2)),DATA!$D:$D,_xlfn.NUMBERVALUE(MID($D$2,FIND("/",$D$2)+1,LEN($D$2))),DATA!$E:$E,$D$6,DATA!$F:$F,$D$4,DATA!$G:$G,LOWER(C$12)))</f>
        <v>-</v>
      </c>
      <c r="L20" s="7" t="b">
        <f t="shared" si="3"/>
        <v>0</v>
      </c>
      <c r="M20" s="5">
        <f>IF(SUMIFS(DATA!$T:$T,DATA!$H:$H,LOWER($B20),DATA!$C:$C,_xlfn.NUMBERVALUE(LEFT($D$2,2)),DATA!$D:$D,_xlfn.NUMBERVALUE(MID($D$2,FIND("/",$D$2)+1,LEN($D$2))),DATA!$E:$E,$D$6,DATA!$F:$F,$D$4,DATA!$G:$G,LOWER(M$12))=0,"-",SUMIFS(DATA!$T:$T,DATA!$H:$H,LOWER($B20),DATA!$C:$C,_xlfn.NUMBERVALUE(LEFT($D$2,2)),DATA!$D:$D,_xlfn.NUMBERVALUE(MID($D$2,FIND("/",$D$2)+1,LEN($D$2))),DATA!$E:$E,$D$6,DATA!$F:$F,$D$4,DATA!$G:$G,LOWER(M$12)))</f>
        <v>0.48561151079100001</v>
      </c>
      <c r="N20" s="6" t="b">
        <f t="shared" si="4"/>
        <v>0</v>
      </c>
      <c r="O20" s="6">
        <f>IF(SUMIFS(DATA!$U:$U,DATA!$H:$H,LOWER($B20),DATA!$C:$C,_xlfn.NUMBERVALUE(LEFT($D$2,2)),DATA!$D:$D,_xlfn.NUMBERVALUE(MID($D$2,FIND("/",$D$2)+1,LEN($D$2))),DATA!$E:$E,$D$6,DATA!$F:$F,$D$4,DATA!$G:$G,LOWER(M$12))=0,"-",SUMIFS(DATA!$U:$U,DATA!$H:$H,LOWER($B20),DATA!$C:$C,_xlfn.NUMBERVALUE(LEFT($D$2,2)),DATA!$D:$D,_xlfn.NUMBERVALUE(MID($D$2,FIND("/",$D$2)+1,LEN($D$2))),DATA!$E:$E,$D$6,DATA!$F:$F,$D$4,DATA!$G:$G,LOWER(M$12)))</f>
        <v>0.48331334410999999</v>
      </c>
      <c r="P20" s="6" t="b">
        <f t="shared" si="5"/>
        <v>0</v>
      </c>
      <c r="Q20" s="6">
        <f>IF(SUMIFS(DATA!$V:$V,DATA!$H:$H,LOWER($B20),DATA!$C:$C,_xlfn.NUMBERVALUE(LEFT($D$2,2)),DATA!$D:$D,_xlfn.NUMBERVALUE(MID($D$2,FIND("/",$D$2)+1,LEN($D$2))),DATA!$E:$E,$D$6,DATA!$F:$F,$D$4,DATA!$G:$G,LOWER(M$12))=0,"-",SUMIFS(DATA!$V:$V,DATA!$H:$H,LOWER($B20),DATA!$C:$C,_xlfn.NUMBERVALUE(LEFT($D$2,2)),DATA!$D:$D,_xlfn.NUMBERVALUE(MID($D$2,FIND("/",$D$2)+1,LEN($D$2))),DATA!$E:$E,$D$6,DATA!$F:$F,$D$4,DATA!$G:$G,LOWER(M$12)))</f>
        <v>0.48339559983399999</v>
      </c>
      <c r="R20" s="6" t="b">
        <f t="shared" si="6"/>
        <v>0</v>
      </c>
      <c r="S20" s="6">
        <f>IF(SUMIFS(DATA!$W:$W,DATA!$H:$H,LOWER($B20),DATA!$C:$C,_xlfn.NUMBERVALUE(LEFT($D$2,2)),DATA!$D:$D,_xlfn.NUMBERVALUE(MID($D$2,FIND("/",$D$2)+1,LEN($D$2))),DATA!$E:$E,$D$6,DATA!$F:$F,$D$4,DATA!$G:$G,LOWER(M$12))=0,"-",SUMIFS(DATA!$W:$W,DATA!$H:$H,LOWER($B20),DATA!$C:$C,_xlfn.NUMBERVALUE(LEFT($D$2,2)),DATA!$D:$D,_xlfn.NUMBERVALUE(MID($D$2,FIND("/",$D$2)+1,LEN($D$2))),DATA!$E:$E,$D$6,DATA!$F:$F,$D$4,DATA!$G:$G,LOWER(M$12)))</f>
        <v>0.48331334410999999</v>
      </c>
      <c r="T20" s="6" t="b">
        <f t="shared" si="7"/>
        <v>0</v>
      </c>
      <c r="U20" s="6">
        <f>IF(SUMIFS(DATA!$X:$X,DATA!$H:$H,LOWER($B20),DATA!$C:$C,_xlfn.NUMBERVALUE(LEFT($D$2,2)),DATA!$D:$D,_xlfn.NUMBERVALUE(MID($D$2,FIND("/",$D$2)+1,LEN($D$2))),DATA!$E:$E,$D$6,DATA!$F:$F,$D$4,DATA!$G:$G,LOWER(M$12))=0,"-",SUMIFS(DATA!$X:$X,DATA!$H:$H,LOWER($B20),DATA!$C:$C,_xlfn.NUMBERVALUE(LEFT($D$2,2)),DATA!$D:$D,_xlfn.NUMBERVALUE(MID($D$2,FIND("/",$D$2)+1,LEN($D$2))),DATA!$E:$E,$D$6,DATA!$F:$F,$D$4,DATA!$G:$G,LOWER(M$12)))</f>
        <v>0.48319748319700001</v>
      </c>
      <c r="V20" s="7" t="b">
        <f t="shared" si="8"/>
        <v>0</v>
      </c>
      <c r="W20" s="5">
        <f>IF(SUMIFS(DATA!$T:$T,DATA!$H:$H,LOWER($B20),DATA!$C:$C,_xlfn.NUMBERVALUE(LEFT($D$2,2)),DATA!$D:$D,_xlfn.NUMBERVALUE(MID($D$2,FIND("/",$D$2)+1,LEN($D$2))),DATA!$E:$E,$D$6,DATA!$F:$F,$D$4,DATA!$G:$G,LOWER(W$12))=0,"-",SUMIFS(DATA!$T:$T,DATA!$H:$H,LOWER($B20),DATA!$C:$C,_xlfn.NUMBERVALUE(LEFT($D$2,2)),DATA!$D:$D,_xlfn.NUMBERVALUE(MID($D$2,FIND("/",$D$2)+1,LEN($D$2))),DATA!$E:$E,$D$6,DATA!$F:$F,$D$4,DATA!$G:$G,LOWER(W$12)))</f>
        <v>0.48920863309399998</v>
      </c>
      <c r="X20" s="6" t="b">
        <f t="shared" si="9"/>
        <v>0</v>
      </c>
      <c r="Y20" s="6">
        <f>IF(SUMIFS(DATA!$U:$U,DATA!$H:$H,LOWER($B20),DATA!$C:$C,_xlfn.NUMBERVALUE(LEFT($D$2,2)),DATA!$D:$D,_xlfn.NUMBERVALUE(MID($D$2,FIND("/",$D$2)+1,LEN($D$2))),DATA!$E:$E,$D$6,DATA!$F:$F,$D$4,DATA!$G:$G,LOWER(W$12))=0,"-",SUMIFS(DATA!$U:$U,DATA!$H:$H,LOWER($B20),DATA!$C:$C,_xlfn.NUMBERVALUE(LEFT($D$2,2)),DATA!$D:$D,_xlfn.NUMBERVALUE(MID($D$2,FIND("/",$D$2)+1,LEN($D$2))),DATA!$E:$E,$D$6,DATA!$F:$F,$D$4,DATA!$G:$G,LOWER(W$12)))</f>
        <v>0.48036710643000002</v>
      </c>
      <c r="Z20" s="6" t="b">
        <f t="shared" si="10"/>
        <v>0</v>
      </c>
      <c r="AA20" s="6">
        <f>IF(SUMIFS(DATA!$V:$V,DATA!$H:$H,LOWER($B20),DATA!$C:$C,_xlfn.NUMBERVALUE(LEFT($D$2,2)),DATA!$D:$D,_xlfn.NUMBERVALUE(MID($D$2,FIND("/",$D$2)+1,LEN($D$2))),DATA!$E:$E,$D$6,DATA!$F:$F,$D$4,DATA!$G:$G,LOWER(W$12))=0,"-",SUMIFS(DATA!$V:$V,DATA!$H:$H,LOWER($B20),DATA!$C:$C,_xlfn.NUMBERVALUE(LEFT($D$2,2)),DATA!$D:$D,_xlfn.NUMBERVALUE(MID($D$2,FIND("/",$D$2)+1,LEN($D$2))),DATA!$E:$E,$D$6,DATA!$F:$F,$D$4,DATA!$G:$G,LOWER(W$12)))</f>
        <v>0.479689270108</v>
      </c>
      <c r="AB20" s="6" t="b">
        <f t="shared" si="11"/>
        <v>0</v>
      </c>
      <c r="AC20" s="6">
        <f>IF(SUMIFS(DATA!$W:$W,DATA!$H:$H,LOWER($B20),DATA!$C:$C,_xlfn.NUMBERVALUE(LEFT($D$2,2)),DATA!$D:$D,_xlfn.NUMBERVALUE(MID($D$2,FIND("/",$D$2)+1,LEN($D$2))),DATA!$E:$E,$D$6,DATA!$F:$F,$D$4,DATA!$G:$G,LOWER(W$12))=0,"-",SUMIFS(DATA!$W:$W,DATA!$H:$H,LOWER($B20),DATA!$C:$C,_xlfn.NUMBERVALUE(LEFT($D$2,2)),DATA!$D:$D,_xlfn.NUMBERVALUE(MID($D$2,FIND("/",$D$2)+1,LEN($D$2))),DATA!$E:$E,$D$6,DATA!$F:$F,$D$4,DATA!$G:$G,LOWER(W$12)))</f>
        <v>0.48036710643000002</v>
      </c>
      <c r="AD20" s="6" t="b">
        <f t="shared" si="12"/>
        <v>0</v>
      </c>
      <c r="AE20" s="6">
        <f>IF(SUMIFS(DATA!$X:$X,DATA!$H:$H,LOWER($B20),DATA!$C:$C,_xlfn.NUMBERVALUE(LEFT($D$2,2)),DATA!$D:$D,_xlfn.NUMBERVALUE(MID($D$2,FIND("/",$D$2)+1,LEN($D$2))),DATA!$E:$E,$D$6,DATA!$F:$F,$D$4,DATA!$G:$G,LOWER(W$12))=0,"-",SUMIFS(DATA!$X:$X,DATA!$H:$H,LOWER($B20),DATA!$C:$C,_xlfn.NUMBERVALUE(LEFT($D$2,2)),DATA!$D:$D,_xlfn.NUMBERVALUE(MID($D$2,FIND("/",$D$2)+1,LEN($D$2))),DATA!$E:$E,$D$6,DATA!$F:$F,$D$4,DATA!$G:$G,LOWER(W$12)))</f>
        <v>0.478410232017</v>
      </c>
      <c r="AF20" s="7" t="b">
        <f t="shared" si="13"/>
        <v>0</v>
      </c>
      <c r="AG20" s="5" t="str">
        <f>IF(SUMIFS(DATA!$T:$T,DATA!$H:$H,LOWER($B20),DATA!$C:$C,_xlfn.NUMBERVALUE(LEFT($D$2,2)),DATA!$D:$D,_xlfn.NUMBERVALUE(MID($D$2,FIND("/",$D$2)+1,LEN($D$2))),DATA!$E:$E,$D$6,DATA!$F:$F,$D$4,DATA!$G:$G,LOWER(AG$12))=0,"-",SUMIFS(DATA!$T:$T,DATA!$H:$H,LOWER($B20),DATA!$C:$C,_xlfn.NUMBERVALUE(LEFT($D$2,2)),DATA!$D:$D,_xlfn.NUMBERVALUE(MID($D$2,FIND("/",$D$2)+1,LEN($D$2))),DATA!$E:$E,$D$6,DATA!$F:$F,$D$4,DATA!$G:$G,LOWER(AG$12)))</f>
        <v>-</v>
      </c>
      <c r="AH20" s="6" t="b">
        <f t="shared" si="14"/>
        <v>0</v>
      </c>
      <c r="AI20" s="6" t="str">
        <f>IF(SUMIFS(DATA!$U:$U,DATA!$H:$H,LOWER($B20),DATA!$C:$C,_xlfn.NUMBERVALUE(LEFT($D$2,2)),DATA!$D:$D,_xlfn.NUMBERVALUE(MID($D$2,FIND("/",$D$2)+1,LEN($D$2))),DATA!$E:$E,$D$6,DATA!$F:$F,$D$4,DATA!$G:$G,LOWER(AG$12))=0,"-",SUMIFS(DATA!$U:$U,DATA!$H:$H,LOWER($B20),DATA!$C:$C,_xlfn.NUMBERVALUE(LEFT($D$2,2)),DATA!$D:$D,_xlfn.NUMBERVALUE(MID($D$2,FIND("/",$D$2)+1,LEN($D$2))),DATA!$E:$E,$D$6,DATA!$F:$F,$D$4,DATA!$G:$G,LOWER(AG$12)))</f>
        <v>-</v>
      </c>
      <c r="AJ20" s="6" t="b">
        <f t="shared" si="15"/>
        <v>0</v>
      </c>
      <c r="AK20" s="6" t="str">
        <f>IF(SUMIFS(DATA!$V:$V,DATA!$H:$H,LOWER($B20),DATA!$C:$C,_xlfn.NUMBERVALUE(LEFT($D$2,2)),DATA!$D:$D,_xlfn.NUMBERVALUE(MID($D$2,FIND("/",$D$2)+1,LEN($D$2))),DATA!$E:$E,$D$6,DATA!$F:$F,$D$4,DATA!$G:$G,LOWER(AG$12))=0,"-",SUMIFS(DATA!$V:$V,DATA!$H:$H,LOWER($B20),DATA!$C:$C,_xlfn.NUMBERVALUE(LEFT($D$2,2)),DATA!$D:$D,_xlfn.NUMBERVALUE(MID($D$2,FIND("/",$D$2)+1,LEN($D$2))),DATA!$E:$E,$D$6,DATA!$F:$F,$D$4,DATA!$G:$G,LOWER(AG$12)))</f>
        <v>-</v>
      </c>
      <c r="AL20" s="6" t="b">
        <f t="shared" si="16"/>
        <v>0</v>
      </c>
      <c r="AM20" s="6" t="str">
        <f>IF(SUMIFS(DATA!$W:$W,DATA!$H:$H,LOWER($B20),DATA!$C:$C,_xlfn.NUMBERVALUE(LEFT($D$2,2)),DATA!$D:$D,_xlfn.NUMBERVALUE(MID($D$2,FIND("/",$D$2)+1,LEN($D$2))),DATA!$E:$E,$D$6,DATA!$F:$F,$D$4,DATA!$G:$G,LOWER(AG$12))=0,"-",SUMIFS(DATA!$W:$W,DATA!$H:$H,LOWER($B20),DATA!$C:$C,_xlfn.NUMBERVALUE(LEFT($D$2,2)),DATA!$D:$D,_xlfn.NUMBERVALUE(MID($D$2,FIND("/",$D$2)+1,LEN($D$2))),DATA!$E:$E,$D$6,DATA!$F:$F,$D$4,DATA!$G:$G,LOWER(AG$12)))</f>
        <v>-</v>
      </c>
      <c r="AN20" s="6" t="b">
        <f t="shared" si="17"/>
        <v>0</v>
      </c>
      <c r="AO20" s="6" t="str">
        <f>IF(SUMIFS(DATA!$X:$X,DATA!$H:$H,LOWER($B20),DATA!$C:$C,_xlfn.NUMBERVALUE(LEFT($D$2,2)),DATA!$D:$D,_xlfn.NUMBERVALUE(MID($D$2,FIND("/",$D$2)+1,LEN($D$2))),DATA!$E:$E,$D$6,DATA!$F:$F,$D$4,DATA!$G:$G,LOWER(AG$12))=0,"-",SUMIFS(DATA!$X:$X,DATA!$H:$H,LOWER($B20),DATA!$C:$C,_xlfn.NUMBERVALUE(LEFT($D$2,2)),DATA!$D:$D,_xlfn.NUMBERVALUE(MID($D$2,FIND("/",$D$2)+1,LEN($D$2))),DATA!$E:$E,$D$6,DATA!$F:$F,$D$4,DATA!$G:$G,LOWER(AG$12)))</f>
        <v>-</v>
      </c>
      <c r="AP20" s="7" t="b">
        <f t="shared" si="18"/>
        <v>0</v>
      </c>
      <c r="AQ20" s="5" t="str">
        <f>IF(SUMIFS(DATA!$T:$T,DATA!$H:$H,LOWER($B20),DATA!$C:$C,_xlfn.NUMBERVALUE(LEFT($D$2,2)),DATA!$D:$D,_xlfn.NUMBERVALUE(MID($D$2,FIND("/",$D$2)+1,LEN($D$2))),DATA!$E:$E,$D$6,DATA!$F:$F,$D$4,DATA!$G:$G,LOWER(AQ$12))=0,"-",SUMIFS(DATA!$T:$T,DATA!$H:$H,LOWER($B20),DATA!$C:$C,_xlfn.NUMBERVALUE(LEFT($D$2,2)),DATA!$D:$D,_xlfn.NUMBERVALUE(MID($D$2,FIND("/",$D$2)+1,LEN($D$2))),DATA!$E:$E,$D$6,DATA!$F:$F,$D$4,DATA!$G:$G,LOWER(AQ$12)))</f>
        <v>-</v>
      </c>
      <c r="AR20" s="6" t="b">
        <f t="shared" si="19"/>
        <v>0</v>
      </c>
      <c r="AS20" s="6" t="str">
        <f>IF(SUMIFS(DATA!$U:$U,DATA!$H:$H,LOWER($B20),DATA!$C:$C,_xlfn.NUMBERVALUE(LEFT($D$2,2)),DATA!$D:$D,_xlfn.NUMBERVALUE(MID($D$2,FIND("/",$D$2)+1,LEN($D$2))),DATA!$E:$E,$D$6,DATA!$F:$F,$D$4,DATA!$G:$G,LOWER(AQ$12))=0,"-",SUMIFS(DATA!$U:$U,DATA!$H:$H,LOWER($B20),DATA!$C:$C,_xlfn.NUMBERVALUE(LEFT($D$2,2)),DATA!$D:$D,_xlfn.NUMBERVALUE(MID($D$2,FIND("/",$D$2)+1,LEN($D$2))),DATA!$E:$E,$D$6,DATA!$F:$F,$D$4,DATA!$G:$G,LOWER(AQ$12)))</f>
        <v>-</v>
      </c>
      <c r="AT20" s="6" t="b">
        <f t="shared" si="20"/>
        <v>0</v>
      </c>
      <c r="AU20" s="6" t="str">
        <f>IF(SUMIFS(DATA!$V:$V,DATA!$H:$H,LOWER($B20),DATA!$C:$C,_xlfn.NUMBERVALUE(LEFT($D$2,2)),DATA!$D:$D,_xlfn.NUMBERVALUE(MID($D$2,FIND("/",$D$2)+1,LEN($D$2))),DATA!$E:$E,$D$6,DATA!$F:$F,$D$4,DATA!$G:$G,LOWER(AQ$12))=0,"-",SUMIFS(DATA!$V:$V,DATA!$H:$H,LOWER($B20),DATA!$C:$C,_xlfn.NUMBERVALUE(LEFT($D$2,2)),DATA!$D:$D,_xlfn.NUMBERVALUE(MID($D$2,FIND("/",$D$2)+1,LEN($D$2))),DATA!$E:$E,$D$6,DATA!$F:$F,$D$4,DATA!$G:$G,LOWER(AQ$12)))</f>
        <v>-</v>
      </c>
      <c r="AV20" s="6" t="b">
        <f t="shared" si="21"/>
        <v>0</v>
      </c>
      <c r="AW20" s="6" t="str">
        <f>IF(SUMIFS(DATA!$W:$W,DATA!$H:$H,LOWER($B20),DATA!$C:$C,_xlfn.NUMBERVALUE(LEFT($D$2,2)),DATA!$D:$D,_xlfn.NUMBERVALUE(MID($D$2,FIND("/",$D$2)+1,LEN($D$2))),DATA!$E:$E,$D$6,DATA!$F:$F,$D$4,DATA!$G:$G,LOWER(AQ$12))=0,"-",SUMIFS(DATA!$W:$W,DATA!$H:$H,LOWER($B20),DATA!$C:$C,_xlfn.NUMBERVALUE(LEFT($D$2,2)),DATA!$D:$D,_xlfn.NUMBERVALUE(MID($D$2,FIND("/",$D$2)+1,LEN($D$2))),DATA!$E:$E,$D$6,DATA!$F:$F,$D$4,DATA!$G:$G,LOWER(AQ$12)))</f>
        <v>-</v>
      </c>
      <c r="AX20" s="6" t="b">
        <f t="shared" si="22"/>
        <v>0</v>
      </c>
      <c r="AY20" s="6" t="str">
        <f>IF(SUMIFS(DATA!$X:$X,DATA!$H:$H,LOWER($B20),DATA!$C:$C,_xlfn.NUMBERVALUE(LEFT($D$2,2)),DATA!$D:$D,_xlfn.NUMBERVALUE(MID($D$2,FIND("/",$D$2)+1,LEN($D$2))),DATA!$E:$E,$D$6,DATA!$F:$F,$D$4,DATA!$G:$G,LOWER(AQ$12))=0,"-",SUMIFS(DATA!$X:$X,DATA!$H:$H,LOWER($B20),DATA!$C:$C,_xlfn.NUMBERVALUE(LEFT($D$2,2)),DATA!$D:$D,_xlfn.NUMBERVALUE(MID($D$2,FIND("/",$D$2)+1,LEN($D$2))),DATA!$E:$E,$D$6,DATA!$F:$F,$D$4,DATA!$G:$G,LOWER(AQ$12)))</f>
        <v>-</v>
      </c>
      <c r="AZ20" s="7" t="b">
        <f t="shared" si="23"/>
        <v>0</v>
      </c>
    </row>
  </sheetData>
  <mergeCells count="7">
    <mergeCell ref="D11:F11"/>
    <mergeCell ref="B12:B13"/>
    <mergeCell ref="AQ12:AY12"/>
    <mergeCell ref="C12:L12"/>
    <mergeCell ref="M12:V12"/>
    <mergeCell ref="W12:AF12"/>
    <mergeCell ref="AG12:AP12"/>
  </mergeCells>
  <conditionalFormatting sqref="C14:C20 M14:M20 W14:W20 AG14:AG20 AQ14:AQ20">
    <cfRule type="expression" dxfId="5" priority="6">
      <formula>D14=TRUE</formula>
    </cfRule>
    <cfRule type="expression" priority="7" stopIfTrue="1">
      <formula>OR($C$10&lt;&gt;2,C14=0)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Y20">
    <cfRule type="expression" dxfId="4" priority="1">
      <formula>C14="-"</formula>
    </cfRule>
  </conditionalFormatting>
  <conditionalFormatting sqref="E14:E20 O14:O20 Y14:Y20 AI14:AI20 AS14:AS20">
    <cfRule type="expression" dxfId="3" priority="5">
      <formula>F14=TRUE</formula>
    </cfRule>
    <cfRule type="expression" priority="9" stopIfTrue="1">
      <formula>OR($C$10&lt;&gt;3,E14=0)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:G20 Q14:Q20 AA14:AA20 AK14:AK20 AU14:AU20">
    <cfRule type="expression" dxfId="2" priority="4">
      <formula>H14=TRUE</formula>
    </cfRule>
    <cfRule type="expression" priority="15" stopIfTrue="1">
      <formula>OR($C$10&lt;&gt;4,G14=0)</formula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20 S14:S20 AC14:AC20 AM14:AM20 AW14:AW20">
    <cfRule type="expression" priority="17" stopIfTrue="1">
      <formula>OR($C$10&lt;&gt;5,I14=0)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 I14:I20 S14:S20 AC14:AC20 AM14:AM20 AW14:AW20">
    <cfRule type="expression" dxfId="1" priority="3">
      <formula>J14=TRUE</formula>
    </cfRule>
  </conditionalFormatting>
  <conditionalFormatting sqref="K14:K20 U14:U20 AE14:AE20 AO14:AO20 AY14:AY20">
    <cfRule type="expression" priority="19" stopIfTrue="1">
      <formula>OR($C$10&lt;&gt;6,K14=0)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20 U14:U20 AE14:AE20 AO14:AO20">
    <cfRule type="expression" dxfId="0" priority="2">
      <formula>L14=TRUE</formula>
    </cfRule>
  </conditionalFormatting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print="0" autoLine="0" autoPict="0">
                <anchor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6</xdr:col>
                    <xdr:colOff>28575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print="0" autoLine="0" autoPict="0">
                <anchor>
                  <from>
                    <xdr:col>2</xdr:col>
                    <xdr:colOff>9525</xdr:colOff>
                    <xdr:row>3</xdr:row>
                    <xdr:rowOff>9525</xdr:rowOff>
                  </from>
                  <to>
                    <xdr:col>6</xdr:col>
                    <xdr:colOff>28575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defaultSize="0" print="0" autoLine="0" autoPict="0">
                <anchor>
                  <from>
                    <xdr:col>2</xdr:col>
                    <xdr:colOff>19050</xdr:colOff>
                    <xdr:row>5</xdr:row>
                    <xdr:rowOff>9525</xdr:rowOff>
                  </from>
                  <to>
                    <xdr:col>6</xdr:col>
                    <xdr:colOff>38100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defaultSize="0" print="0" autoLine="0" autoPict="0">
                <anchor>
                  <from>
                    <xdr:col>2</xdr:col>
                    <xdr:colOff>19050</xdr:colOff>
                    <xdr:row>7</xdr:row>
                    <xdr:rowOff>9525</xdr:rowOff>
                  </from>
                  <to>
                    <xdr:col>6</xdr:col>
                    <xdr:colOff>38100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Drop Down 6">
              <controlPr defaultSize="0" print="0" autoLine="0" autoPict="0">
                <anchor>
                  <from>
                    <xdr:col>2</xdr:col>
                    <xdr:colOff>19050</xdr:colOff>
                    <xdr:row>9</xdr:row>
                    <xdr:rowOff>9525</xdr:rowOff>
                  </from>
                  <to>
                    <xdr:col>6</xdr:col>
                    <xdr:colOff>38100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Results</vt:lpstr>
      <vt:lpstr>InputMode</vt:lpstr>
      <vt:lpstr>Target</vt:lpstr>
      <vt:lpstr>Win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Ali Hanifi</cp:lastModifiedBy>
  <dcterms:created xsi:type="dcterms:W3CDTF">2026-09-25T04:56:51Z</dcterms:created>
  <dcterms:modified xsi:type="dcterms:W3CDTF">2026-09-26T13:57:04Z</dcterms:modified>
</cp:coreProperties>
</file>