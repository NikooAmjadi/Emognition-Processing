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koo\Desktop\Thesis\Source\"/>
    </mc:Choice>
  </mc:AlternateContent>
  <xr:revisionPtr revIDLastSave="0" documentId="13_ncr:1_{2E16FA98-EBBB-42C2-94A9-230A982286D3}" xr6:coauthVersionLast="47" xr6:coauthVersionMax="47" xr10:uidLastSave="{00000000-0000-0000-0000-000000000000}"/>
  <bookViews>
    <workbookView xWindow="-108" yWindow="-108" windowWidth="23256" windowHeight="12456" xr2:uid="{8D592C9F-CC51-43DD-B2E3-0BF015735963}"/>
  </bookViews>
  <sheets>
    <sheet name="Data" sheetId="1" r:id="rId1"/>
    <sheet name="Comparison" sheetId="3" r:id="rId2"/>
  </sheets>
  <definedNames>
    <definedName name="_xlnm._FilterDatabase" localSheetId="0" hidden="1">Data!$E$1:$P$1</definedName>
    <definedName name="ClassMode">Comparison!$AE$2:$AG$4</definedName>
    <definedName name="FastMode">Comparison!$AB$2:$AD$3</definedName>
    <definedName name="FilterMode">Comparison!$Y$2:$AA$3</definedName>
    <definedName name="LabelMode">Comparison!$AH$2:$AJ$3</definedName>
    <definedName name="NormalMode">Comparison!$AK$2:$AM$3</definedName>
    <definedName name="RunMode">Comparison!$V$2:$X$3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" i="3" l="1"/>
  <c r="S9" i="3"/>
  <c r="R9" i="3"/>
  <c r="P9" i="3"/>
  <c r="O9" i="3"/>
  <c r="N9" i="3"/>
  <c r="L9" i="3"/>
  <c r="K9" i="3"/>
  <c r="J9" i="3"/>
  <c r="B7" i="3"/>
  <c r="B6" i="3"/>
  <c r="B5" i="3"/>
  <c r="B4" i="3"/>
  <c r="B3" i="3"/>
  <c r="B2" i="3"/>
  <c r="H9" i="3"/>
  <c r="G9" i="3"/>
  <c r="F9" i="3"/>
  <c r="S18" i="3" l="1"/>
  <c r="F17" i="3"/>
  <c r="G17" i="3"/>
  <c r="G18" i="3"/>
  <c r="N17" i="3"/>
  <c r="N18" i="3"/>
  <c r="O17" i="3"/>
  <c r="O18" i="3"/>
  <c r="J17" i="3"/>
  <c r="R17" i="3"/>
  <c r="G28" i="3"/>
  <c r="J18" i="3"/>
  <c r="R18" i="3"/>
  <c r="S30" i="3"/>
  <c r="K17" i="3"/>
  <c r="S17" i="3"/>
  <c r="K18" i="3"/>
  <c r="R10" i="3"/>
  <c r="G13" i="3"/>
  <c r="J19" i="3"/>
  <c r="J21" i="3"/>
  <c r="G24" i="3"/>
  <c r="G26" i="3"/>
  <c r="G30" i="3"/>
  <c r="K11" i="3"/>
  <c r="O13" i="3"/>
  <c r="O15" i="3"/>
  <c r="R20" i="3"/>
  <c r="R22" i="3"/>
  <c r="O24" i="3"/>
  <c r="O25" i="3"/>
  <c r="O26" i="3"/>
  <c r="O27" i="3"/>
  <c r="O29" i="3"/>
  <c r="O30" i="3"/>
  <c r="N11" i="3"/>
  <c r="R13" i="3"/>
  <c r="R15" i="3"/>
  <c r="R16" i="3"/>
  <c r="S20" i="3"/>
  <c r="S21" i="3"/>
  <c r="S23" i="3"/>
  <c r="R25" i="3"/>
  <c r="R26" i="3"/>
  <c r="R27" i="3"/>
  <c r="R28" i="3"/>
  <c r="R30" i="3"/>
  <c r="F10" i="3"/>
  <c r="O10" i="3"/>
  <c r="R11" i="3"/>
  <c r="S12" i="3"/>
  <c r="F14" i="3"/>
  <c r="F15" i="3"/>
  <c r="F16" i="3"/>
  <c r="G19" i="3"/>
  <c r="G20" i="3"/>
  <c r="G21" i="3"/>
  <c r="G22" i="3"/>
  <c r="G23" i="3"/>
  <c r="F24" i="3"/>
  <c r="F25" i="3"/>
  <c r="F26" i="3"/>
  <c r="F27" i="3"/>
  <c r="F28" i="3"/>
  <c r="F29" i="3"/>
  <c r="F30" i="3"/>
  <c r="S11" i="3"/>
  <c r="G15" i="3"/>
  <c r="G16" i="3"/>
  <c r="J20" i="3"/>
  <c r="J23" i="3"/>
  <c r="G25" i="3"/>
  <c r="G27" i="3"/>
  <c r="G29" i="3"/>
  <c r="F12" i="3"/>
  <c r="S10" i="3"/>
  <c r="G12" i="3"/>
  <c r="J13" i="3"/>
  <c r="J14" i="3"/>
  <c r="J15" i="3"/>
  <c r="J16" i="3"/>
  <c r="K19" i="3"/>
  <c r="K20" i="3"/>
  <c r="K21" i="3"/>
  <c r="K22" i="3"/>
  <c r="K23" i="3"/>
  <c r="J24" i="3"/>
  <c r="J25" i="3"/>
  <c r="J26" i="3"/>
  <c r="J27" i="3"/>
  <c r="J28" i="3"/>
  <c r="J29" i="3"/>
  <c r="J30" i="3"/>
  <c r="F13" i="3"/>
  <c r="G11" i="3"/>
  <c r="J12" i="3"/>
  <c r="K13" i="3"/>
  <c r="K14" i="3"/>
  <c r="K15" i="3"/>
  <c r="K16" i="3"/>
  <c r="N19" i="3"/>
  <c r="N20" i="3"/>
  <c r="N21" i="3"/>
  <c r="N22" i="3"/>
  <c r="N23" i="3"/>
  <c r="K24" i="3"/>
  <c r="K25" i="3"/>
  <c r="K26" i="3"/>
  <c r="K27" i="3"/>
  <c r="K28" i="3"/>
  <c r="K29" i="3"/>
  <c r="K30" i="3"/>
  <c r="G10" i="3"/>
  <c r="J11" i="3"/>
  <c r="K12" i="3"/>
  <c r="N13" i="3"/>
  <c r="N14" i="3"/>
  <c r="N15" i="3"/>
  <c r="N16" i="3"/>
  <c r="O19" i="3"/>
  <c r="O20" i="3"/>
  <c r="O21" i="3"/>
  <c r="O22" i="3"/>
  <c r="O23" i="3"/>
  <c r="N24" i="3"/>
  <c r="N25" i="3"/>
  <c r="N26" i="3"/>
  <c r="N27" i="3"/>
  <c r="N28" i="3"/>
  <c r="N29" i="3"/>
  <c r="N30" i="3"/>
  <c r="F11" i="3"/>
  <c r="G14" i="3"/>
  <c r="J22" i="3"/>
  <c r="J10" i="3"/>
  <c r="N12" i="3"/>
  <c r="O14" i="3"/>
  <c r="O16" i="3"/>
  <c r="R19" i="3"/>
  <c r="R21" i="3"/>
  <c r="R23" i="3"/>
  <c r="O28" i="3"/>
  <c r="K10" i="3"/>
  <c r="O12" i="3"/>
  <c r="R14" i="3"/>
  <c r="S19" i="3"/>
  <c r="S22" i="3"/>
  <c r="R24" i="3"/>
  <c r="R29" i="3"/>
  <c r="N10" i="3"/>
  <c r="O11" i="3"/>
  <c r="R12" i="3"/>
  <c r="S13" i="3"/>
  <c r="S14" i="3"/>
  <c r="S15" i="3"/>
  <c r="S16" i="3"/>
  <c r="F18" i="3"/>
  <c r="F20" i="3"/>
  <c r="F21" i="3"/>
  <c r="F22" i="3"/>
  <c r="F23" i="3"/>
  <c r="F19" i="3"/>
  <c r="S24" i="3"/>
  <c r="S25" i="3"/>
  <c r="S26" i="3"/>
  <c r="S27" i="3"/>
  <c r="S28" i="3"/>
  <c r="S29" i="3"/>
  <c r="Q13" i="3" l="1"/>
  <c r="Q12" i="3"/>
  <c r="E29" i="3"/>
  <c r="T25" i="3"/>
  <c r="M16" i="3"/>
  <c r="I24" i="3"/>
  <c r="I27" i="3"/>
  <c r="Q16" i="3"/>
  <c r="I28" i="3"/>
  <c r="M12" i="3"/>
  <c r="Q15" i="3"/>
  <c r="M27" i="3"/>
  <c r="Q25" i="3"/>
  <c r="H30" i="3"/>
  <c r="E10" i="3"/>
  <c r="P30" i="3"/>
  <c r="I10" i="3"/>
  <c r="P27" i="3"/>
  <c r="H27" i="3"/>
  <c r="I14" i="3"/>
  <c r="I30" i="3"/>
  <c r="L24" i="3"/>
  <c r="I15" i="3"/>
  <c r="E26" i="3"/>
  <c r="I13" i="3"/>
  <c r="M26" i="3"/>
  <c r="M10" i="3"/>
  <c r="I25" i="3"/>
  <c r="I29" i="3"/>
  <c r="T24" i="3"/>
  <c r="Q10" i="3"/>
  <c r="I26" i="3"/>
  <c r="M28" i="3"/>
  <c r="H21" i="3"/>
  <c r="E21" i="3"/>
  <c r="L17" i="3"/>
  <c r="I17" i="3"/>
  <c r="L20" i="3"/>
  <c r="I20" i="3"/>
  <c r="T20" i="3"/>
  <c r="Q20" i="3"/>
  <c r="T28" i="3"/>
  <c r="E28" i="3"/>
  <c r="Q27" i="3"/>
  <c r="T18" i="3"/>
  <c r="Q18" i="3"/>
  <c r="H22" i="3"/>
  <c r="E22" i="3"/>
  <c r="I11" i="3"/>
  <c r="H26" i="3"/>
  <c r="T23" i="3"/>
  <c r="Q23" i="3"/>
  <c r="H25" i="3"/>
  <c r="E25" i="3"/>
  <c r="E27" i="3"/>
  <c r="H18" i="3"/>
  <c r="E18" i="3"/>
  <c r="P20" i="3"/>
  <c r="M20" i="3"/>
  <c r="P25" i="3"/>
  <c r="M25" i="3"/>
  <c r="P19" i="3"/>
  <c r="M19" i="3"/>
  <c r="T13" i="3"/>
  <c r="L13" i="3"/>
  <c r="H13" i="3"/>
  <c r="P13" i="3"/>
  <c r="E13" i="3"/>
  <c r="L25" i="3"/>
  <c r="H14" i="3"/>
  <c r="T14" i="3"/>
  <c r="P14" i="3"/>
  <c r="E14" i="3"/>
  <c r="L14" i="3"/>
  <c r="L18" i="3"/>
  <c r="I18" i="3"/>
  <c r="Q24" i="3"/>
  <c r="P22" i="3"/>
  <c r="M22" i="3"/>
  <c r="T11" i="3"/>
  <c r="H11" i="3"/>
  <c r="L11" i="3"/>
  <c r="P11" i="3"/>
  <c r="E11" i="3"/>
  <c r="H29" i="3"/>
  <c r="T27" i="3"/>
  <c r="M29" i="3"/>
  <c r="T21" i="3"/>
  <c r="Q21" i="3"/>
  <c r="H24" i="3"/>
  <c r="E24" i="3"/>
  <c r="P23" i="3"/>
  <c r="M23" i="3"/>
  <c r="M11" i="3"/>
  <c r="Q11" i="3"/>
  <c r="Q26" i="3"/>
  <c r="P24" i="3"/>
  <c r="M24" i="3"/>
  <c r="Q14" i="3"/>
  <c r="T29" i="3"/>
  <c r="P10" i="3"/>
  <c r="L10" i="3"/>
  <c r="H10" i="3"/>
  <c r="T10" i="3"/>
  <c r="H20" i="3"/>
  <c r="E20" i="3"/>
  <c r="Q28" i="3"/>
  <c r="H19" i="3"/>
  <c r="E19" i="3"/>
  <c r="T16" i="3"/>
  <c r="H16" i="3"/>
  <c r="L16" i="3"/>
  <c r="E16" i="3"/>
  <c r="P16" i="3"/>
  <c r="P29" i="3"/>
  <c r="L28" i="3"/>
  <c r="L27" i="3"/>
  <c r="I12" i="3"/>
  <c r="I16" i="3"/>
  <c r="P28" i="3"/>
  <c r="T26" i="3"/>
  <c r="H23" i="3"/>
  <c r="E23" i="3"/>
  <c r="Q30" i="3"/>
  <c r="L22" i="3"/>
  <c r="I22" i="3"/>
  <c r="M13" i="3"/>
  <c r="L23" i="3"/>
  <c r="I23" i="3"/>
  <c r="M15" i="3"/>
  <c r="T22" i="3"/>
  <c r="Q22" i="3"/>
  <c r="L29" i="3"/>
  <c r="P17" i="3"/>
  <c r="M17" i="3"/>
  <c r="T17" i="3"/>
  <c r="Q17" i="3"/>
  <c r="P26" i="3"/>
  <c r="E12" i="3"/>
  <c r="H12" i="3"/>
  <c r="P12" i="3"/>
  <c r="T12" i="3"/>
  <c r="L12" i="3"/>
  <c r="H17" i="3"/>
  <c r="E17" i="3"/>
  <c r="P18" i="3"/>
  <c r="M18" i="3"/>
  <c r="Q29" i="3"/>
  <c r="T15" i="3"/>
  <c r="L15" i="3"/>
  <c r="E15" i="3"/>
  <c r="P15" i="3"/>
  <c r="H15" i="3"/>
  <c r="H28" i="3"/>
  <c r="L26" i="3"/>
  <c r="T19" i="3"/>
  <c r="Q19" i="3"/>
  <c r="M14" i="3"/>
  <c r="P21" i="3"/>
  <c r="M21" i="3"/>
  <c r="L21" i="3"/>
  <c r="I21" i="3"/>
  <c r="T30" i="3"/>
  <c r="L30" i="3"/>
  <c r="E30" i="3"/>
  <c r="L19" i="3"/>
  <c r="I19" i="3"/>
  <c r="M30" i="3"/>
</calcChain>
</file>

<file path=xl/sharedStrings.xml><?xml version="1.0" encoding="utf-8"?>
<sst xmlns="http://schemas.openxmlformats.org/spreadsheetml/2006/main" count="2768" uniqueCount="64">
  <si>
    <t>Model</t>
  </si>
  <si>
    <t>Data Type</t>
  </si>
  <si>
    <t>SVM</t>
  </si>
  <si>
    <t>XGBoost</t>
  </si>
  <si>
    <t>Random Forest</t>
  </si>
  <si>
    <t>KNN</t>
  </si>
  <si>
    <t>Accuracy (±std)</t>
  </si>
  <si>
    <t>F1 Score (±std)</t>
  </si>
  <si>
    <t>Precision (±std)</t>
  </si>
  <si>
    <t>Recall (±std)</t>
  </si>
  <si>
    <t>Raw Features</t>
  </si>
  <si>
    <t>Run Mode</t>
  </si>
  <si>
    <t>Windowed</t>
  </si>
  <si>
    <t>Aggregated</t>
  </si>
  <si>
    <t>Filter Mode:</t>
  </si>
  <si>
    <t>Fast Mode:</t>
  </si>
  <si>
    <t>Classification:</t>
  </si>
  <si>
    <t>All</t>
  </si>
  <si>
    <t>Yes</t>
  </si>
  <si>
    <t>No</t>
  </si>
  <si>
    <t>Binary</t>
  </si>
  <si>
    <t>Ternary</t>
  </si>
  <si>
    <t>Regression</t>
  </si>
  <si>
    <t>Run Mode:</t>
  </si>
  <si>
    <t>NoBaseline/Neutral</t>
  </si>
  <si>
    <t xml:space="preserve">                              Model
                               Name
     Metric</t>
  </si>
  <si>
    <t>MAE (±std)</t>
  </si>
  <si>
    <t>RMSE (±std)</t>
  </si>
  <si>
    <t>R2 (±std)</t>
  </si>
  <si>
    <t>Label:</t>
  </si>
  <si>
    <t>Valence</t>
  </si>
  <si>
    <t>Arousal</t>
  </si>
  <si>
    <t>Label</t>
  </si>
  <si>
    <t>Classification</t>
  </si>
  <si>
    <t>Normalized:</t>
  </si>
  <si>
    <t>Normalized</t>
  </si>
  <si>
    <t>Filter</t>
  </si>
  <si>
    <t>Fast Mode</t>
  </si>
  <si>
    <t>c1_mean</t>
  </si>
  <si>
    <t>c1_std</t>
  </si>
  <si>
    <t>c2_mean</t>
  </si>
  <si>
    <t>c2_std</t>
  </si>
  <si>
    <t>c3_mean</t>
  </si>
  <si>
    <t>c3_std</t>
  </si>
  <si>
    <t>c4_mean</t>
  </si>
  <si>
    <t>c4_std</t>
  </si>
  <si>
    <t>arousal</t>
  </si>
  <si>
    <t>aggregated</t>
  </si>
  <si>
    <t>binary</t>
  </si>
  <si>
    <t>normalized</t>
  </si>
  <si>
    <t>noBaselineNeutral</t>
  </si>
  <si>
    <t>fast</t>
  </si>
  <si>
    <t>raw</t>
  </si>
  <si>
    <t>windowed</t>
  </si>
  <si>
    <t>noFilter</t>
  </si>
  <si>
    <t>gridsearch</t>
  </si>
  <si>
    <t>ternary</t>
  </si>
  <si>
    <t>regression</t>
  </si>
  <si>
    <t>valence</t>
  </si>
  <si>
    <t>notNormalized</t>
  </si>
  <si>
    <t>vg</t>
  </si>
  <si>
    <t>VG Features</t>
  </si>
  <si>
    <t>Raw + VG Features</t>
  </si>
  <si>
    <t>rawvg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</si>
</sst>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/>
      <diagonal style="thin">
        <color auto="1"/>
      </diagonal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0" xfId="0" applyFont="1"/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 textRotation="90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5" borderId="1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8" xfId="0" applyFill="1" applyBorder="1" applyAlignment="1">
      <alignment horizontal="center" vertical="center" textRotation="90" wrapText="1"/>
    </xf>
    <xf numFmtId="0" fontId="0" fillId="2" borderId="5" xfId="0" applyFill="1" applyBorder="1" applyAlignment="1">
      <alignment horizontal="center" vertical="center" textRotation="90" wrapText="1"/>
    </xf>
    <xf numFmtId="0" fontId="0" fillId="4" borderId="2" xfId="0" applyFill="1" applyBorder="1" applyAlignment="1">
      <alignment horizontal="center" vertical="center" textRotation="90" wrapText="1"/>
    </xf>
    <xf numFmtId="0" fontId="0" fillId="4" borderId="8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3" borderId="16" xfId="0" applyFill="1" applyBorder="1" applyAlignment="1">
      <alignment horizontal="center" vertical="center" textRotation="90" wrapText="1"/>
    </xf>
    <xf numFmtId="0" fontId="0" fillId="3" borderId="17" xfId="0" applyFill="1" applyBorder="1" applyAlignment="1">
      <alignment horizontal="center" vertical="center" textRotation="90" wrapText="1"/>
    </xf>
    <xf numFmtId="0" fontId="0" fillId="3" borderId="18" xfId="0" applyFill="1" applyBorder="1" applyAlignment="1">
      <alignment horizontal="center" vertical="center" textRotation="90" wrapText="1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" dropStyle="combo" dx="26" fmlaLink="$D$2" fmlaRange="$Z$2:$Z$3" sel="1" val="0"/>
</file>

<file path=xl/ctrlProps/ctrlProp2.xml><?xml version="1.0" encoding="utf-8"?>
<formControlPr xmlns="http://schemas.microsoft.com/office/spreadsheetml/2009/9/main" objectType="Drop" dropLines="2" dropStyle="combo" dx="26" fmlaLink="$D$3" fmlaRange="$AC$2:$AC$3" sel="1" val="0"/>
</file>

<file path=xl/ctrlProps/ctrlProp3.xml><?xml version="1.0" encoding="utf-8"?>
<formControlPr xmlns="http://schemas.microsoft.com/office/spreadsheetml/2009/9/main" objectType="Drop" dropLines="3" dropStyle="combo" dx="26" fmlaLink="$D$4" fmlaRange="$AF$2:$AF$4" sel="2" val="0"/>
</file>

<file path=xl/ctrlProps/ctrlProp4.xml><?xml version="1.0" encoding="utf-8"?>
<formControlPr xmlns="http://schemas.microsoft.com/office/spreadsheetml/2009/9/main" objectType="Drop" dropLines="2" dropStyle="combo" dx="26" fmlaLink="$D$5" fmlaRange="$W$2:$W$3" sel="2" val="0"/>
</file>

<file path=xl/ctrlProps/ctrlProp5.xml><?xml version="1.0" encoding="utf-8"?>
<formControlPr xmlns="http://schemas.microsoft.com/office/spreadsheetml/2009/9/main" objectType="Drop" dropLines="2" dropStyle="combo" dx="26" fmlaLink="$D$6" fmlaRange="$AI$2:$AI$3" sel="2" val="0"/>
</file>

<file path=xl/ctrlProps/ctrlProp6.xml><?xml version="1.0" encoding="utf-8"?>
<formControlPr xmlns="http://schemas.microsoft.com/office/spreadsheetml/2009/9/main" objectType="Drop" dropLines="2" dropStyle="combo" dx="26" fmlaLink="$D$7" fmlaRange="$AL$2:$AL$3" sel="1" val="0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</xdr:row>
          <xdr:rowOff>38100</xdr:rowOff>
        </xdr:from>
        <xdr:to>
          <xdr:col>3</xdr:col>
          <xdr:colOff>1158240</xdr:colOff>
          <xdr:row>1</xdr:row>
          <xdr:rowOff>243840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2</xdr:row>
          <xdr:rowOff>22860</xdr:rowOff>
        </xdr:from>
        <xdr:to>
          <xdr:col>3</xdr:col>
          <xdr:colOff>1158240</xdr:colOff>
          <xdr:row>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</xdr:row>
          <xdr:rowOff>22860</xdr:rowOff>
        </xdr:from>
        <xdr:to>
          <xdr:col>3</xdr:col>
          <xdr:colOff>1158240</xdr:colOff>
          <xdr:row>3</xdr:row>
          <xdr:rowOff>228600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30480</xdr:rowOff>
        </xdr:from>
        <xdr:to>
          <xdr:col>3</xdr:col>
          <xdr:colOff>1158240</xdr:colOff>
          <xdr:row>4</xdr:row>
          <xdr:rowOff>236220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38100</xdr:rowOff>
        </xdr:from>
        <xdr:to>
          <xdr:col>3</xdr:col>
          <xdr:colOff>1158240</xdr:colOff>
          <xdr:row>5</xdr:row>
          <xdr:rowOff>243840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6</xdr:row>
          <xdr:rowOff>45720</xdr:rowOff>
        </xdr:from>
        <xdr:to>
          <xdr:col>3</xdr:col>
          <xdr:colOff>1158240</xdr:colOff>
          <xdr:row>6</xdr:row>
          <xdr:rowOff>251460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7620</xdr:rowOff>
        </xdr:from>
        <xdr:to>
          <xdr:col>8</xdr:col>
          <xdr:colOff>320040</xdr:colOff>
          <xdr:row>2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A1F-9449-4A91-8C37-2E569624DE33}">
  <sheetPr codeName="Sheet1"/>
  <dimension ref="A1:P337"/>
  <sheetViews>
    <sheetView tabSelected="1" topLeftCell="A52" zoomScaleNormal="100" workbookViewId="0">
      <selection activeCell="H41" sqref="H41"/>
    </sheetView>
  </sheetViews>
  <sheetFormatPr defaultRowHeight="14.4" x14ac:dyDescent="0.3"/>
  <cols>
    <col min="2" max="2" width="9.88671875" bestFit="1" customWidth="1"/>
    <col min="4" max="4" width="11.88671875" bestFit="1" customWidth="1"/>
    <col min="5" max="5" width="8.88671875" bestFit="1" customWidth="1"/>
    <col min="6" max="6" width="9.5546875" bestFit="1" customWidth="1"/>
    <col min="7" max="7" width="9.5546875" customWidth="1"/>
    <col min="8" max="8" width="14.44140625" bestFit="1" customWidth="1"/>
    <col min="9" max="11" width="12" bestFit="1" customWidth="1"/>
    <col min="12" max="12" width="12" customWidth="1"/>
    <col min="13" max="16" width="12" bestFit="1" customWidth="1"/>
  </cols>
  <sheetData>
    <row r="1" spans="1:16" x14ac:dyDescent="0.3">
      <c r="A1" t="s">
        <v>32</v>
      </c>
      <c r="B1" t="s">
        <v>1</v>
      </c>
      <c r="C1" t="s">
        <v>11</v>
      </c>
      <c r="D1" t="s">
        <v>33</v>
      </c>
      <c r="E1" s="1" t="s">
        <v>35</v>
      </c>
      <c r="F1" s="1" t="s">
        <v>36</v>
      </c>
      <c r="G1" s="1" t="s">
        <v>37</v>
      </c>
      <c r="H1" s="1" t="s">
        <v>0</v>
      </c>
      <c r="I1" s="1" t="s">
        <v>38</v>
      </c>
      <c r="J1" s="1" t="s">
        <v>39</v>
      </c>
      <c r="K1" s="1" t="s">
        <v>40</v>
      </c>
      <c r="L1" s="1" t="s">
        <v>41</v>
      </c>
      <c r="M1" s="1" t="s">
        <v>42</v>
      </c>
      <c r="N1" s="1" t="s">
        <v>43</v>
      </c>
      <c r="O1" s="1" t="s">
        <v>44</v>
      </c>
      <c r="P1" s="1" t="s">
        <v>45</v>
      </c>
    </row>
    <row r="2" spans="1:16" x14ac:dyDescent="0.3">
      <c r="A2" t="s">
        <v>46</v>
      </c>
      <c r="B2" t="s">
        <v>63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t="s">
        <v>4</v>
      </c>
      <c r="I2">
        <v>0.51937984496124001</v>
      </c>
      <c r="J2">
        <v>0.189305010540122</v>
      </c>
      <c r="K2">
        <v>0.48128867256774199</v>
      </c>
      <c r="L2">
        <v>0.20139798546153001</v>
      </c>
      <c r="M2">
        <v>0.52212070874861505</v>
      </c>
      <c r="N2">
        <v>0.23147527780400001</v>
      </c>
      <c r="O2">
        <v>0.517331118493909</v>
      </c>
      <c r="P2">
        <v>0.20406977307586299</v>
      </c>
    </row>
    <row r="3" spans="1:16" x14ac:dyDescent="0.3">
      <c r="A3" t="s">
        <v>46</v>
      </c>
      <c r="B3" t="s">
        <v>63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3</v>
      </c>
      <c r="I3">
        <v>0.49875415282391999</v>
      </c>
      <c r="J3">
        <v>0.212352692906635</v>
      </c>
      <c r="K3">
        <v>0.46281922212154702</v>
      </c>
      <c r="L3">
        <v>0.21394967117217301</v>
      </c>
      <c r="M3">
        <v>0.49327242524916898</v>
      </c>
      <c r="N3">
        <v>0.230912402454929</v>
      </c>
      <c r="O3">
        <v>0.49138981173864799</v>
      </c>
      <c r="P3">
        <v>0.212889328248105</v>
      </c>
    </row>
    <row r="4" spans="1:16" x14ac:dyDescent="0.3">
      <c r="A4" t="s">
        <v>46</v>
      </c>
      <c r="B4" t="s">
        <v>63</v>
      </c>
      <c r="C4" t="s">
        <v>47</v>
      </c>
      <c r="D4" t="s">
        <v>48</v>
      </c>
      <c r="E4" t="s">
        <v>49</v>
      </c>
      <c r="F4" t="s">
        <v>50</v>
      </c>
      <c r="G4" t="s">
        <v>51</v>
      </c>
      <c r="H4" t="s">
        <v>5</v>
      </c>
      <c r="I4">
        <v>0.48158914728682101</v>
      </c>
      <c r="J4">
        <v>0.185305003196333</v>
      </c>
      <c r="K4">
        <v>0.43796771703748399</v>
      </c>
      <c r="L4">
        <v>0.18780250025439599</v>
      </c>
      <c r="M4">
        <v>0.45200719822812802</v>
      </c>
      <c r="N4">
        <v>0.20984721369706399</v>
      </c>
      <c r="O4">
        <v>0.466583610188261</v>
      </c>
      <c r="P4">
        <v>0.18756467979465899</v>
      </c>
    </row>
    <row r="5" spans="1:16" x14ac:dyDescent="0.3">
      <c r="A5" t="s">
        <v>46</v>
      </c>
      <c r="B5" t="s">
        <v>63</v>
      </c>
      <c r="C5" t="s">
        <v>47</v>
      </c>
      <c r="D5" t="s">
        <v>48</v>
      </c>
      <c r="E5" t="s">
        <v>49</v>
      </c>
      <c r="F5" t="s">
        <v>50</v>
      </c>
      <c r="G5" t="s">
        <v>51</v>
      </c>
      <c r="H5" t="s">
        <v>2</v>
      </c>
      <c r="I5">
        <v>0.47176079734219201</v>
      </c>
      <c r="J5">
        <v>0.18191359741762</v>
      </c>
      <c r="K5">
        <v>0.435727321773833</v>
      </c>
      <c r="L5">
        <v>0.18697376677615801</v>
      </c>
      <c r="M5">
        <v>0.456132336655592</v>
      </c>
      <c r="N5">
        <v>0.21023136873479001</v>
      </c>
      <c r="O5">
        <v>0.481506090808416</v>
      </c>
      <c r="P5">
        <v>0.179692558264892</v>
      </c>
    </row>
    <row r="6" spans="1:16" x14ac:dyDescent="0.3">
      <c r="A6" t="s">
        <v>46</v>
      </c>
      <c r="B6" t="s">
        <v>63</v>
      </c>
      <c r="C6" t="s">
        <v>47</v>
      </c>
      <c r="D6" t="s">
        <v>48</v>
      </c>
      <c r="E6" t="s">
        <v>49</v>
      </c>
      <c r="F6" t="s">
        <v>50</v>
      </c>
      <c r="G6" t="s">
        <v>55</v>
      </c>
      <c r="H6" t="s">
        <v>4</v>
      </c>
      <c r="I6">
        <v>0.53142303433001103</v>
      </c>
      <c r="J6">
        <v>0.16762462779185</v>
      </c>
      <c r="K6">
        <v>0.474402148239357</v>
      </c>
      <c r="L6">
        <v>0.18692827102043</v>
      </c>
      <c r="M6">
        <v>0.51447951273532599</v>
      </c>
      <c r="N6">
        <v>0.227121841058015</v>
      </c>
      <c r="O6">
        <v>0.52065337763012098</v>
      </c>
      <c r="P6">
        <v>0.17362072068512999</v>
      </c>
    </row>
    <row r="7" spans="1:16" x14ac:dyDescent="0.3">
      <c r="A7" t="s">
        <v>46</v>
      </c>
      <c r="B7" t="s">
        <v>63</v>
      </c>
      <c r="C7" t="s">
        <v>47</v>
      </c>
      <c r="D7" t="s">
        <v>48</v>
      </c>
      <c r="E7" t="s">
        <v>49</v>
      </c>
      <c r="F7" t="s">
        <v>50</v>
      </c>
      <c r="G7" t="s">
        <v>55</v>
      </c>
      <c r="H7" t="s">
        <v>3</v>
      </c>
      <c r="I7">
        <v>0.51245847176079695</v>
      </c>
      <c r="J7">
        <v>0.18367034592866199</v>
      </c>
      <c r="K7">
        <v>0.47083039699318702</v>
      </c>
      <c r="L7">
        <v>0.192400375765686</v>
      </c>
      <c r="M7">
        <v>0.492940199335548</v>
      </c>
      <c r="N7">
        <v>0.21007167425906201</v>
      </c>
      <c r="O7">
        <v>0.50301771871539303</v>
      </c>
      <c r="P7">
        <v>0.19208988183805201</v>
      </c>
    </row>
    <row r="8" spans="1:16" x14ac:dyDescent="0.3">
      <c r="A8" t="s">
        <v>46</v>
      </c>
      <c r="B8" t="s">
        <v>63</v>
      </c>
      <c r="C8" t="s">
        <v>47</v>
      </c>
      <c r="D8" t="s">
        <v>48</v>
      </c>
      <c r="E8" t="s">
        <v>49</v>
      </c>
      <c r="F8" t="s">
        <v>50</v>
      </c>
      <c r="G8" t="s">
        <v>55</v>
      </c>
      <c r="H8" t="s">
        <v>5</v>
      </c>
      <c r="I8">
        <v>0.49543189368770701</v>
      </c>
      <c r="J8">
        <v>0.20657116317737001</v>
      </c>
      <c r="K8">
        <v>0.46059921990154501</v>
      </c>
      <c r="L8">
        <v>0.20996850770160699</v>
      </c>
      <c r="M8">
        <v>0.47311738648947899</v>
      </c>
      <c r="N8">
        <v>0.2185979049989</v>
      </c>
      <c r="O8">
        <v>0.48701550387596898</v>
      </c>
      <c r="P8">
        <v>0.21539729745710601</v>
      </c>
    </row>
    <row r="9" spans="1:16" x14ac:dyDescent="0.3">
      <c r="A9" t="s">
        <v>46</v>
      </c>
      <c r="B9" t="s">
        <v>63</v>
      </c>
      <c r="C9" t="s">
        <v>47</v>
      </c>
      <c r="D9" t="s">
        <v>48</v>
      </c>
      <c r="E9" t="s">
        <v>49</v>
      </c>
      <c r="F9" t="s">
        <v>50</v>
      </c>
      <c r="G9" t="s">
        <v>55</v>
      </c>
      <c r="H9" t="s">
        <v>2</v>
      </c>
      <c r="I9">
        <v>0.47909745293466199</v>
      </c>
      <c r="J9">
        <v>0.200134806372536</v>
      </c>
      <c r="K9">
        <v>0.43846902451553599</v>
      </c>
      <c r="L9">
        <v>0.20939138130394899</v>
      </c>
      <c r="M9">
        <v>0.46056201550387599</v>
      </c>
      <c r="N9">
        <v>0.234128469430228</v>
      </c>
      <c r="O9">
        <v>0.47790697674418597</v>
      </c>
      <c r="P9">
        <v>0.198656581765153</v>
      </c>
    </row>
    <row r="10" spans="1:16" x14ac:dyDescent="0.3">
      <c r="A10" t="s">
        <v>46</v>
      </c>
      <c r="B10" t="s">
        <v>63</v>
      </c>
      <c r="C10" t="s">
        <v>47</v>
      </c>
      <c r="D10" t="s">
        <v>48</v>
      </c>
      <c r="E10" t="s">
        <v>49</v>
      </c>
      <c r="F10" t="s">
        <v>54</v>
      </c>
      <c r="G10" t="s">
        <v>51</v>
      </c>
      <c r="H10" t="s">
        <v>4</v>
      </c>
      <c r="I10">
        <v>0.69257105943152397</v>
      </c>
      <c r="J10">
        <v>0.16844307503448</v>
      </c>
      <c r="K10">
        <v>0.62834238454963398</v>
      </c>
      <c r="L10">
        <v>0.17545918372368899</v>
      </c>
      <c r="M10">
        <v>0.72612126245847097</v>
      </c>
      <c r="N10">
        <v>0.18122570983913899</v>
      </c>
      <c r="O10">
        <v>0.65495570321151697</v>
      </c>
      <c r="P10">
        <v>0.155949618767977</v>
      </c>
    </row>
    <row r="11" spans="1:16" x14ac:dyDescent="0.3">
      <c r="A11" t="s">
        <v>46</v>
      </c>
      <c r="B11" t="s">
        <v>63</v>
      </c>
      <c r="C11" t="s">
        <v>47</v>
      </c>
      <c r="D11" t="s">
        <v>48</v>
      </c>
      <c r="E11" t="s">
        <v>49</v>
      </c>
      <c r="F11" t="s">
        <v>54</v>
      </c>
      <c r="G11" t="s">
        <v>51</v>
      </c>
      <c r="H11" t="s">
        <v>3</v>
      </c>
      <c r="I11">
        <v>0.65968992248061997</v>
      </c>
      <c r="J11">
        <v>0.186849044286129</v>
      </c>
      <c r="K11">
        <v>0.61115576170295705</v>
      </c>
      <c r="L11">
        <v>0.19307887889613001</v>
      </c>
      <c r="M11">
        <v>0.65724898486526295</v>
      </c>
      <c r="N11">
        <v>0.20138727889075</v>
      </c>
      <c r="O11">
        <v>0.63230897009966702</v>
      </c>
      <c r="P11">
        <v>0.177785151823903</v>
      </c>
    </row>
    <row r="12" spans="1:16" x14ac:dyDescent="0.3">
      <c r="A12" t="s">
        <v>46</v>
      </c>
      <c r="B12" t="s">
        <v>63</v>
      </c>
      <c r="C12" t="s">
        <v>47</v>
      </c>
      <c r="D12" t="s">
        <v>48</v>
      </c>
      <c r="E12" t="s">
        <v>49</v>
      </c>
      <c r="F12" t="s">
        <v>54</v>
      </c>
      <c r="G12" t="s">
        <v>51</v>
      </c>
      <c r="H12" t="s">
        <v>5</v>
      </c>
      <c r="I12">
        <v>0.59328165374677</v>
      </c>
      <c r="J12">
        <v>0.17131568587135801</v>
      </c>
      <c r="K12">
        <v>0.55917503039595995</v>
      </c>
      <c r="L12">
        <v>0.17122583159084101</v>
      </c>
      <c r="M12">
        <v>0.57947582133628595</v>
      </c>
      <c r="N12">
        <v>0.16976505457943999</v>
      </c>
      <c r="O12">
        <v>0.59133444075304498</v>
      </c>
      <c r="P12">
        <v>0.17300189064694499</v>
      </c>
    </row>
    <row r="13" spans="1:16" x14ac:dyDescent="0.3">
      <c r="A13" t="s">
        <v>46</v>
      </c>
      <c r="B13" t="s">
        <v>63</v>
      </c>
      <c r="C13" t="s">
        <v>47</v>
      </c>
      <c r="D13" t="s">
        <v>48</v>
      </c>
      <c r="E13" t="s">
        <v>49</v>
      </c>
      <c r="F13" t="s">
        <v>54</v>
      </c>
      <c r="G13" t="s">
        <v>51</v>
      </c>
      <c r="H13" t="s">
        <v>2</v>
      </c>
      <c r="I13">
        <v>0.60691214470284205</v>
      </c>
      <c r="J13">
        <v>0.164598900083747</v>
      </c>
      <c r="K13">
        <v>0.55375809590925795</v>
      </c>
      <c r="L13">
        <v>0.15782615812671599</v>
      </c>
      <c r="M13">
        <v>0.60599390919158302</v>
      </c>
      <c r="N13">
        <v>0.179038566823054</v>
      </c>
      <c r="O13">
        <v>0.58254429678848196</v>
      </c>
      <c r="P13">
        <v>0.14882196630873501</v>
      </c>
    </row>
    <row r="14" spans="1:16" x14ac:dyDescent="0.3">
      <c r="A14" t="s">
        <v>46</v>
      </c>
      <c r="B14" t="s">
        <v>63</v>
      </c>
      <c r="C14" t="s">
        <v>47</v>
      </c>
      <c r="D14" t="s">
        <v>48</v>
      </c>
      <c r="E14" t="s">
        <v>59</v>
      </c>
      <c r="F14" t="s">
        <v>50</v>
      </c>
      <c r="G14" t="s">
        <v>51</v>
      </c>
      <c r="H14" t="s">
        <v>2</v>
      </c>
      <c r="I14">
        <v>0.551910299003322</v>
      </c>
      <c r="J14">
        <v>0.249043434365428</v>
      </c>
      <c r="K14">
        <v>0.42978836409068899</v>
      </c>
      <c r="L14">
        <v>0.22100072505910701</v>
      </c>
      <c r="M14">
        <v>0.48452380952380902</v>
      </c>
      <c r="N14">
        <v>0.21252130590430299</v>
      </c>
      <c r="O14">
        <v>0.46864617940199299</v>
      </c>
      <c r="P14">
        <v>0.247455566752457</v>
      </c>
    </row>
    <row r="15" spans="1:16" x14ac:dyDescent="0.3">
      <c r="A15" t="s">
        <v>46</v>
      </c>
      <c r="B15" t="s">
        <v>63</v>
      </c>
      <c r="C15" t="s">
        <v>47</v>
      </c>
      <c r="D15" t="s">
        <v>48</v>
      </c>
      <c r="E15" t="s">
        <v>59</v>
      </c>
      <c r="F15" t="s">
        <v>50</v>
      </c>
      <c r="G15" t="s">
        <v>51</v>
      </c>
      <c r="H15" t="s">
        <v>3</v>
      </c>
      <c r="I15">
        <v>0.57281284606866001</v>
      </c>
      <c r="J15">
        <v>0.255518500911185</v>
      </c>
      <c r="K15">
        <v>0.426500437546949</v>
      </c>
      <c r="L15">
        <v>0.21173925307209299</v>
      </c>
      <c r="M15">
        <v>0.49062846068659999</v>
      </c>
      <c r="N15">
        <v>0.21284515217028599</v>
      </c>
      <c r="O15">
        <v>0.45741971207087401</v>
      </c>
      <c r="P15">
        <v>0.230182695715207</v>
      </c>
    </row>
    <row r="16" spans="1:16" x14ac:dyDescent="0.3">
      <c r="A16" t="s">
        <v>46</v>
      </c>
      <c r="B16" t="s">
        <v>63</v>
      </c>
      <c r="C16" t="s">
        <v>47</v>
      </c>
      <c r="D16" t="s">
        <v>48</v>
      </c>
      <c r="E16" t="s">
        <v>59</v>
      </c>
      <c r="F16" t="s">
        <v>50</v>
      </c>
      <c r="G16" t="s">
        <v>51</v>
      </c>
      <c r="H16" t="s">
        <v>5</v>
      </c>
      <c r="I16">
        <v>0.55758582502768494</v>
      </c>
      <c r="J16">
        <v>0.26007908725697598</v>
      </c>
      <c r="K16">
        <v>0.42098695877765602</v>
      </c>
      <c r="L16">
        <v>0.227237661091613</v>
      </c>
      <c r="M16">
        <v>0.46584994462901402</v>
      </c>
      <c r="N16">
        <v>0.22938511698009201</v>
      </c>
      <c r="O16">
        <v>0.47443244739756302</v>
      </c>
      <c r="P16">
        <v>0.24212842165071299</v>
      </c>
    </row>
    <row r="17" spans="1:16" x14ac:dyDescent="0.3">
      <c r="A17" t="s">
        <v>46</v>
      </c>
      <c r="B17" t="s">
        <v>63</v>
      </c>
      <c r="C17" t="s">
        <v>47</v>
      </c>
      <c r="D17" t="s">
        <v>48</v>
      </c>
      <c r="E17" t="s">
        <v>59</v>
      </c>
      <c r="F17" t="s">
        <v>50</v>
      </c>
      <c r="G17" t="s">
        <v>51</v>
      </c>
      <c r="H17" t="s">
        <v>4</v>
      </c>
      <c r="I17">
        <v>0.57392026578073096</v>
      </c>
      <c r="J17">
        <v>0.27312324486215001</v>
      </c>
      <c r="K17">
        <v>0.41452578429322601</v>
      </c>
      <c r="L17">
        <v>0.22601320821823201</v>
      </c>
      <c r="M17">
        <v>0.43752768549280102</v>
      </c>
      <c r="N17">
        <v>0.25542378112914399</v>
      </c>
      <c r="O17">
        <v>0.47356035437430699</v>
      </c>
      <c r="P17">
        <v>0.21961197073702299</v>
      </c>
    </row>
    <row r="18" spans="1:16" x14ac:dyDescent="0.3">
      <c r="A18" t="s">
        <v>46</v>
      </c>
      <c r="B18" t="s">
        <v>63</v>
      </c>
      <c r="C18" t="s">
        <v>47</v>
      </c>
      <c r="D18" t="s">
        <v>48</v>
      </c>
      <c r="E18" t="s">
        <v>59</v>
      </c>
      <c r="F18" t="s">
        <v>50</v>
      </c>
      <c r="G18" t="s">
        <v>55</v>
      </c>
      <c r="H18" t="s">
        <v>3</v>
      </c>
      <c r="I18">
        <v>0.58194905869324398</v>
      </c>
      <c r="J18">
        <v>0.254723987075959</v>
      </c>
      <c r="K18">
        <v>0.45814185814185798</v>
      </c>
      <c r="L18">
        <v>0.23488128675855799</v>
      </c>
      <c r="M18">
        <v>0.50762735326688802</v>
      </c>
      <c r="N18">
        <v>0.23507778756150599</v>
      </c>
      <c r="O18">
        <v>0.49969545957917999</v>
      </c>
      <c r="P18">
        <v>0.24534815303740201</v>
      </c>
    </row>
    <row r="19" spans="1:16" x14ac:dyDescent="0.3">
      <c r="A19" t="s">
        <v>46</v>
      </c>
      <c r="B19" t="s">
        <v>63</v>
      </c>
      <c r="C19" t="s">
        <v>47</v>
      </c>
      <c r="D19" t="s">
        <v>48</v>
      </c>
      <c r="E19" t="s">
        <v>59</v>
      </c>
      <c r="F19" t="s">
        <v>50</v>
      </c>
      <c r="G19" t="s">
        <v>55</v>
      </c>
      <c r="H19" t="s">
        <v>2</v>
      </c>
      <c r="I19">
        <v>0.54028239202657802</v>
      </c>
      <c r="J19">
        <v>0.24827636187052901</v>
      </c>
      <c r="K19">
        <v>0.40937286227983899</v>
      </c>
      <c r="L19">
        <v>0.20902264985605801</v>
      </c>
      <c r="M19">
        <v>0.46378737541528198</v>
      </c>
      <c r="N19">
        <v>0.20455206072408</v>
      </c>
      <c r="O19">
        <v>0.44635935769656698</v>
      </c>
      <c r="P19">
        <v>0.24047026986417699</v>
      </c>
    </row>
    <row r="20" spans="1:16" x14ac:dyDescent="0.3">
      <c r="A20" t="s">
        <v>46</v>
      </c>
      <c r="B20" t="s">
        <v>63</v>
      </c>
      <c r="C20" t="s">
        <v>47</v>
      </c>
      <c r="D20" t="s">
        <v>48</v>
      </c>
      <c r="E20" t="s">
        <v>59</v>
      </c>
      <c r="F20" t="s">
        <v>50</v>
      </c>
      <c r="G20" t="s">
        <v>55</v>
      </c>
      <c r="H20" t="s">
        <v>4</v>
      </c>
      <c r="I20">
        <v>0.53612956810631196</v>
      </c>
      <c r="J20">
        <v>0.26448565807244001</v>
      </c>
      <c r="K20">
        <v>0.40899985027892</v>
      </c>
      <c r="L20">
        <v>0.22735141893604399</v>
      </c>
      <c r="M20">
        <v>0.46040974529346601</v>
      </c>
      <c r="N20">
        <v>0.24368133426430599</v>
      </c>
      <c r="O20">
        <v>0.461710963455149</v>
      </c>
      <c r="P20">
        <v>0.239748644533268</v>
      </c>
    </row>
    <row r="21" spans="1:16" x14ac:dyDescent="0.3">
      <c r="A21" t="s">
        <v>46</v>
      </c>
      <c r="B21" t="s">
        <v>63</v>
      </c>
      <c r="C21" t="s">
        <v>47</v>
      </c>
      <c r="D21" t="s">
        <v>48</v>
      </c>
      <c r="E21" t="s">
        <v>59</v>
      </c>
      <c r="F21" t="s">
        <v>50</v>
      </c>
      <c r="G21" t="s">
        <v>55</v>
      </c>
      <c r="H21" t="s">
        <v>5</v>
      </c>
      <c r="I21">
        <v>0.525193798449612</v>
      </c>
      <c r="J21">
        <v>0.28233115264671399</v>
      </c>
      <c r="K21">
        <v>0.406417613394357</v>
      </c>
      <c r="L21">
        <v>0.249289338374484</v>
      </c>
      <c r="M21">
        <v>0.45989756367663298</v>
      </c>
      <c r="N21">
        <v>0.25273666346684098</v>
      </c>
      <c r="O21">
        <v>0.45787652270210399</v>
      </c>
      <c r="P21">
        <v>0.26385814001544999</v>
      </c>
    </row>
    <row r="22" spans="1:16" x14ac:dyDescent="0.3">
      <c r="A22" t="s">
        <v>46</v>
      </c>
      <c r="B22" t="s">
        <v>63</v>
      </c>
      <c r="C22" t="s">
        <v>47</v>
      </c>
      <c r="D22" t="s">
        <v>48</v>
      </c>
      <c r="E22" t="s">
        <v>59</v>
      </c>
      <c r="F22" t="s">
        <v>54</v>
      </c>
      <c r="G22" t="s">
        <v>51</v>
      </c>
      <c r="H22" t="s">
        <v>4</v>
      </c>
      <c r="I22">
        <v>0.67693798449612397</v>
      </c>
      <c r="J22">
        <v>0.24931612958920699</v>
      </c>
      <c r="K22">
        <v>0.48202753279072602</v>
      </c>
      <c r="L22">
        <v>0.23297501130352999</v>
      </c>
      <c r="M22">
        <v>0.49748523440383802</v>
      </c>
      <c r="N22">
        <v>0.27119180482934102</v>
      </c>
      <c r="O22">
        <v>0.563035252860834</v>
      </c>
      <c r="P22">
        <v>0.17838723291504599</v>
      </c>
    </row>
    <row r="23" spans="1:16" x14ac:dyDescent="0.3">
      <c r="A23" t="s">
        <v>46</v>
      </c>
      <c r="B23" t="s">
        <v>63</v>
      </c>
      <c r="C23" t="s">
        <v>47</v>
      </c>
      <c r="D23" t="s">
        <v>48</v>
      </c>
      <c r="E23" t="s">
        <v>59</v>
      </c>
      <c r="F23" t="s">
        <v>54</v>
      </c>
      <c r="G23" t="s">
        <v>51</v>
      </c>
      <c r="H23" t="s">
        <v>5</v>
      </c>
      <c r="I23">
        <v>0.65342377260981899</v>
      </c>
      <c r="J23">
        <v>0.234814296429178</v>
      </c>
      <c r="K23">
        <v>0.46940700448422301</v>
      </c>
      <c r="L23">
        <v>0.219565952922952</v>
      </c>
      <c r="M23">
        <v>0.48636028054632702</v>
      </c>
      <c r="N23">
        <v>0.25530193295196202</v>
      </c>
      <c r="O23">
        <v>0.54101605758582505</v>
      </c>
      <c r="P23">
        <v>0.17639172709921799</v>
      </c>
    </row>
    <row r="24" spans="1:16" x14ac:dyDescent="0.3">
      <c r="A24" t="s">
        <v>46</v>
      </c>
      <c r="B24" t="s">
        <v>63</v>
      </c>
      <c r="C24" t="s">
        <v>47</v>
      </c>
      <c r="D24" t="s">
        <v>48</v>
      </c>
      <c r="E24" t="s">
        <v>59</v>
      </c>
      <c r="F24" t="s">
        <v>54</v>
      </c>
      <c r="G24" t="s">
        <v>51</v>
      </c>
      <c r="H24" t="s">
        <v>2</v>
      </c>
      <c r="I24">
        <v>0.60626614987080096</v>
      </c>
      <c r="J24">
        <v>0.20484643820203999</v>
      </c>
      <c r="K24">
        <v>0.44644785768786699</v>
      </c>
      <c r="L24">
        <v>0.168605881152188</v>
      </c>
      <c r="M24">
        <v>0.49686692506459901</v>
      </c>
      <c r="N24">
        <v>0.17404916553021799</v>
      </c>
      <c r="O24">
        <v>0.51115263935031297</v>
      </c>
      <c r="P24">
        <v>0.17235418042605299</v>
      </c>
    </row>
    <row r="25" spans="1:16" x14ac:dyDescent="0.3">
      <c r="A25" t="s">
        <v>46</v>
      </c>
      <c r="B25" t="s">
        <v>63</v>
      </c>
      <c r="C25" t="s">
        <v>47</v>
      </c>
      <c r="D25" t="s">
        <v>48</v>
      </c>
      <c r="E25" t="s">
        <v>59</v>
      </c>
      <c r="F25" t="s">
        <v>54</v>
      </c>
      <c r="G25" t="s">
        <v>51</v>
      </c>
      <c r="H25" t="s">
        <v>3</v>
      </c>
      <c r="I25">
        <v>0.626873385012919</v>
      </c>
      <c r="J25">
        <v>0.21255770604410901</v>
      </c>
      <c r="K25">
        <v>0.44021532413155201</v>
      </c>
      <c r="L25">
        <v>0.17016937507258401</v>
      </c>
      <c r="M25">
        <v>0.471008674787744</v>
      </c>
      <c r="N25">
        <v>0.19790232535925001</v>
      </c>
      <c r="O25">
        <v>0.50354374307862604</v>
      </c>
      <c r="P25">
        <v>0.16147117468192199</v>
      </c>
    </row>
    <row r="26" spans="1:16" x14ac:dyDescent="0.3">
      <c r="A26" t="s">
        <v>46</v>
      </c>
      <c r="B26" t="s">
        <v>63</v>
      </c>
      <c r="C26" t="s">
        <v>47</v>
      </c>
      <c r="D26" t="s">
        <v>57</v>
      </c>
      <c r="E26" t="s">
        <v>49</v>
      </c>
      <c r="F26" t="s">
        <v>50</v>
      </c>
      <c r="G26" t="s">
        <v>51</v>
      </c>
      <c r="H26" t="s">
        <v>2</v>
      </c>
      <c r="I26">
        <v>0.873085815276746</v>
      </c>
      <c r="J26">
        <v>0.21529721818231801</v>
      </c>
      <c r="K26">
        <v>1.0383454425742999</v>
      </c>
      <c r="L26">
        <v>0.23865567918633701</v>
      </c>
    </row>
    <row r="27" spans="1:16" x14ac:dyDescent="0.3">
      <c r="A27" t="s">
        <v>46</v>
      </c>
      <c r="B27" t="s">
        <v>63</v>
      </c>
      <c r="C27" t="s">
        <v>47</v>
      </c>
      <c r="D27" t="s">
        <v>57</v>
      </c>
      <c r="E27" t="s">
        <v>49</v>
      </c>
      <c r="F27" t="s">
        <v>50</v>
      </c>
      <c r="G27" t="s">
        <v>51</v>
      </c>
      <c r="H27" t="s">
        <v>4</v>
      </c>
      <c r="I27">
        <v>0.82023683317333995</v>
      </c>
      <c r="J27">
        <v>0.158513842803997</v>
      </c>
      <c r="K27">
        <v>0.97836775994200498</v>
      </c>
      <c r="L27">
        <v>0.17443739082323401</v>
      </c>
    </row>
    <row r="28" spans="1:16" x14ac:dyDescent="0.3">
      <c r="A28" t="s">
        <v>46</v>
      </c>
      <c r="B28" t="s">
        <v>63</v>
      </c>
      <c r="C28" t="s">
        <v>47</v>
      </c>
      <c r="D28" t="s">
        <v>57</v>
      </c>
      <c r="E28" t="s">
        <v>49</v>
      </c>
      <c r="F28" t="s">
        <v>50</v>
      </c>
      <c r="G28" t="s">
        <v>51</v>
      </c>
      <c r="H28" t="s">
        <v>5</v>
      </c>
      <c r="I28">
        <v>0.87120880405790102</v>
      </c>
      <c r="J28">
        <v>0.213940675934323</v>
      </c>
      <c r="K28">
        <v>1.0609165142599299</v>
      </c>
      <c r="L28">
        <v>0.25075381687064302</v>
      </c>
    </row>
    <row r="29" spans="1:16" x14ac:dyDescent="0.3">
      <c r="A29" t="s">
        <v>46</v>
      </c>
      <c r="B29" t="s">
        <v>63</v>
      </c>
      <c r="C29" t="s">
        <v>47</v>
      </c>
      <c r="D29" t="s">
        <v>57</v>
      </c>
      <c r="E29" t="s">
        <v>49</v>
      </c>
      <c r="F29" t="s">
        <v>50</v>
      </c>
      <c r="G29" t="s">
        <v>51</v>
      </c>
      <c r="H29" t="s">
        <v>3</v>
      </c>
      <c r="I29">
        <v>0.84602939960725898</v>
      </c>
      <c r="J29">
        <v>0.136757881460216</v>
      </c>
      <c r="K29">
        <v>1.01823410515851</v>
      </c>
      <c r="L29">
        <v>0.14623980835800801</v>
      </c>
    </row>
    <row r="30" spans="1:16" x14ac:dyDescent="0.3">
      <c r="A30" t="s">
        <v>46</v>
      </c>
      <c r="B30" t="s">
        <v>63</v>
      </c>
      <c r="C30" t="s">
        <v>47</v>
      </c>
      <c r="D30" t="s">
        <v>57</v>
      </c>
      <c r="E30" t="s">
        <v>49</v>
      </c>
      <c r="F30" t="s">
        <v>54</v>
      </c>
      <c r="G30" t="s">
        <v>51</v>
      </c>
      <c r="H30" t="s">
        <v>2</v>
      </c>
      <c r="I30">
        <v>0.77840856397418801</v>
      </c>
      <c r="J30">
        <v>0.182576740478049</v>
      </c>
      <c r="K30">
        <v>0.925186327210888</v>
      </c>
      <c r="L30">
        <v>0.196372881582666</v>
      </c>
      <c r="M30">
        <v>3.7140824299590001E-2</v>
      </c>
      <c r="N30">
        <v>0.26992925270951701</v>
      </c>
    </row>
    <row r="31" spans="1:16" x14ac:dyDescent="0.3">
      <c r="A31" t="s">
        <v>46</v>
      </c>
      <c r="B31" t="s">
        <v>63</v>
      </c>
      <c r="C31" t="s">
        <v>47</v>
      </c>
      <c r="D31" t="s">
        <v>57</v>
      </c>
      <c r="E31" t="s">
        <v>49</v>
      </c>
      <c r="F31" t="s">
        <v>54</v>
      </c>
      <c r="G31" t="s">
        <v>51</v>
      </c>
      <c r="H31" t="s">
        <v>4</v>
      </c>
      <c r="I31">
        <v>0.739932800587768</v>
      </c>
      <c r="J31">
        <v>0.151463307237826</v>
      </c>
      <c r="K31">
        <v>0.88411263677852703</v>
      </c>
      <c r="L31">
        <v>0.17374313918324399</v>
      </c>
      <c r="M31">
        <v>0.12657582882923299</v>
      </c>
      <c r="N31">
        <v>0.18617915372121899</v>
      </c>
    </row>
    <row r="32" spans="1:16" x14ac:dyDescent="0.3">
      <c r="A32" t="s">
        <v>46</v>
      </c>
      <c r="B32" t="s">
        <v>63</v>
      </c>
      <c r="C32" t="s">
        <v>47</v>
      </c>
      <c r="D32" t="s">
        <v>57</v>
      </c>
      <c r="E32" t="s">
        <v>49</v>
      </c>
      <c r="F32" t="s">
        <v>54</v>
      </c>
      <c r="G32" t="s">
        <v>51</v>
      </c>
      <c r="H32" t="s">
        <v>5</v>
      </c>
      <c r="I32">
        <v>0.813005974884357</v>
      </c>
      <c r="J32">
        <v>0.20019111833393799</v>
      </c>
      <c r="K32">
        <v>0.98513465381563803</v>
      </c>
      <c r="L32">
        <v>0.21443118073869</v>
      </c>
      <c r="M32">
        <v>-0.10273671882553601</v>
      </c>
      <c r="N32">
        <v>0.33677254978319399</v>
      </c>
    </row>
    <row r="33" spans="1:16" x14ac:dyDescent="0.3">
      <c r="A33" t="s">
        <v>46</v>
      </c>
      <c r="B33" t="s">
        <v>63</v>
      </c>
      <c r="C33" t="s">
        <v>47</v>
      </c>
      <c r="D33" t="s">
        <v>57</v>
      </c>
      <c r="E33" t="s">
        <v>49</v>
      </c>
      <c r="F33" t="s">
        <v>54</v>
      </c>
      <c r="G33" t="s">
        <v>51</v>
      </c>
      <c r="H33" t="s">
        <v>3</v>
      </c>
      <c r="I33">
        <v>0.76141243354430699</v>
      </c>
      <c r="J33">
        <v>0.17847447054518201</v>
      </c>
      <c r="K33">
        <v>0.900723565812663</v>
      </c>
      <c r="L33">
        <v>0.19146048037407601</v>
      </c>
      <c r="M33">
        <v>7.9207420861133304E-2</v>
      </c>
      <c r="N33">
        <v>0.28082474049325101</v>
      </c>
    </row>
    <row r="34" spans="1:16" x14ac:dyDescent="0.3">
      <c r="A34" t="s">
        <v>46</v>
      </c>
      <c r="B34" t="s">
        <v>63</v>
      </c>
      <c r="C34" t="s">
        <v>47</v>
      </c>
      <c r="D34" t="s">
        <v>57</v>
      </c>
      <c r="E34" t="s">
        <v>59</v>
      </c>
      <c r="F34" t="s">
        <v>50</v>
      </c>
      <c r="G34" t="s">
        <v>51</v>
      </c>
      <c r="H34" t="s">
        <v>2</v>
      </c>
      <c r="I34">
        <v>1.8617981073203</v>
      </c>
      <c r="J34">
        <v>0.51340582012266101</v>
      </c>
      <c r="K34">
        <v>2.12570634545586</v>
      </c>
      <c r="L34">
        <v>0.50423513844543399</v>
      </c>
    </row>
    <row r="35" spans="1:16" x14ac:dyDescent="0.3">
      <c r="A35" t="s">
        <v>46</v>
      </c>
      <c r="B35" t="s">
        <v>63</v>
      </c>
      <c r="C35" t="s">
        <v>47</v>
      </c>
      <c r="D35" t="s">
        <v>57</v>
      </c>
      <c r="E35" t="s">
        <v>59</v>
      </c>
      <c r="F35" t="s">
        <v>50</v>
      </c>
      <c r="G35" t="s">
        <v>51</v>
      </c>
      <c r="H35" t="s">
        <v>4</v>
      </c>
      <c r="I35">
        <v>1.73871901549476</v>
      </c>
      <c r="J35">
        <v>0.527837289712626</v>
      </c>
      <c r="K35">
        <v>1.97762499835427</v>
      </c>
      <c r="L35">
        <v>0.50931169204143401</v>
      </c>
    </row>
    <row r="36" spans="1:16" x14ac:dyDescent="0.3">
      <c r="A36" t="s">
        <v>46</v>
      </c>
      <c r="B36" t="s">
        <v>63</v>
      </c>
      <c r="C36" t="s">
        <v>47</v>
      </c>
      <c r="D36" t="s">
        <v>57</v>
      </c>
      <c r="E36" t="s">
        <v>59</v>
      </c>
      <c r="F36" t="s">
        <v>50</v>
      </c>
      <c r="G36" t="s">
        <v>51</v>
      </c>
      <c r="H36" t="s">
        <v>5</v>
      </c>
      <c r="I36">
        <v>1.8535560105197499</v>
      </c>
      <c r="J36">
        <v>0.58875562117548397</v>
      </c>
      <c r="K36">
        <v>2.1444652659441701</v>
      </c>
      <c r="L36">
        <v>0.560027239620563</v>
      </c>
    </row>
    <row r="37" spans="1:16" x14ac:dyDescent="0.3">
      <c r="A37" t="s">
        <v>46</v>
      </c>
      <c r="B37" t="s">
        <v>63</v>
      </c>
      <c r="C37" t="s">
        <v>47</v>
      </c>
      <c r="D37" t="s">
        <v>57</v>
      </c>
      <c r="E37" t="s">
        <v>59</v>
      </c>
      <c r="F37" t="s">
        <v>50</v>
      </c>
      <c r="G37" t="s">
        <v>51</v>
      </c>
      <c r="H37" t="s">
        <v>3</v>
      </c>
      <c r="I37">
        <v>1.80121725569927</v>
      </c>
      <c r="J37">
        <v>0.56402055710807497</v>
      </c>
      <c r="K37">
        <v>2.0721416610801602</v>
      </c>
      <c r="L37">
        <v>0.56384643016047298</v>
      </c>
    </row>
    <row r="38" spans="1:16" x14ac:dyDescent="0.3">
      <c r="A38" t="s">
        <v>46</v>
      </c>
      <c r="B38" t="s">
        <v>63</v>
      </c>
      <c r="C38" t="s">
        <v>47</v>
      </c>
      <c r="D38" t="s">
        <v>57</v>
      </c>
      <c r="E38" t="s">
        <v>59</v>
      </c>
      <c r="F38" t="s">
        <v>54</v>
      </c>
      <c r="G38" t="s">
        <v>51</v>
      </c>
      <c r="H38" t="s">
        <v>2</v>
      </c>
      <c r="I38">
        <v>1.8925930883403199</v>
      </c>
      <c r="J38">
        <v>0.521753712893824</v>
      </c>
      <c r="K38">
        <v>2.1965145258776602</v>
      </c>
      <c r="L38">
        <v>0.50287907158869205</v>
      </c>
      <c r="M38">
        <v>-1.24389348776151</v>
      </c>
      <c r="N38">
        <v>1.87376313799606</v>
      </c>
    </row>
    <row r="39" spans="1:16" x14ac:dyDescent="0.3">
      <c r="A39" t="s">
        <v>46</v>
      </c>
      <c r="B39" t="s">
        <v>63</v>
      </c>
      <c r="C39" t="s">
        <v>47</v>
      </c>
      <c r="D39" t="s">
        <v>57</v>
      </c>
      <c r="E39" t="s">
        <v>59</v>
      </c>
      <c r="F39" t="s">
        <v>54</v>
      </c>
      <c r="G39" t="s">
        <v>51</v>
      </c>
      <c r="H39" t="s">
        <v>4</v>
      </c>
      <c r="I39">
        <v>1.7900413096927901</v>
      </c>
      <c r="J39">
        <v>0.47931810465899999</v>
      </c>
      <c r="K39">
        <v>2.0426452595401399</v>
      </c>
      <c r="L39">
        <v>0.47954505374845802</v>
      </c>
      <c r="M39">
        <v>-0.95620308766192197</v>
      </c>
      <c r="N39">
        <v>1.7743526886968199</v>
      </c>
    </row>
    <row r="40" spans="1:16" x14ac:dyDescent="0.3">
      <c r="A40" t="s">
        <v>46</v>
      </c>
      <c r="B40" t="s">
        <v>63</v>
      </c>
      <c r="C40" t="s">
        <v>47</v>
      </c>
      <c r="D40" t="s">
        <v>57</v>
      </c>
      <c r="E40" t="s">
        <v>59</v>
      </c>
      <c r="F40" t="s">
        <v>54</v>
      </c>
      <c r="G40" t="s">
        <v>51</v>
      </c>
      <c r="H40" t="s">
        <v>5</v>
      </c>
      <c r="I40">
        <v>1.9373276549444201</v>
      </c>
      <c r="J40">
        <v>0.58862866897773203</v>
      </c>
      <c r="K40">
        <v>2.2497825580653199</v>
      </c>
      <c r="L40">
        <v>0.60896176421322101</v>
      </c>
      <c r="M40">
        <v>-1.2891205202240099</v>
      </c>
      <c r="N40">
        <v>2.0582347503222902</v>
      </c>
    </row>
    <row r="41" spans="1:16" x14ac:dyDescent="0.3">
      <c r="A41" t="s">
        <v>46</v>
      </c>
      <c r="B41" t="s">
        <v>63</v>
      </c>
      <c r="C41" t="s">
        <v>47</v>
      </c>
      <c r="D41" t="s">
        <v>57</v>
      </c>
      <c r="E41" t="s">
        <v>59</v>
      </c>
      <c r="F41" t="s">
        <v>54</v>
      </c>
      <c r="G41" t="s">
        <v>51</v>
      </c>
      <c r="H41" t="s">
        <v>3</v>
      </c>
      <c r="I41">
        <v>1.81854857161679</v>
      </c>
      <c r="J41">
        <v>0.52887621780817995</v>
      </c>
      <c r="K41">
        <v>2.1241710275221299</v>
      </c>
      <c r="L41">
        <v>0.53342560181399701</v>
      </c>
      <c r="M41">
        <v>-1.1785595247943299</v>
      </c>
      <c r="N41">
        <v>2.0248806687152698</v>
      </c>
    </row>
    <row r="42" spans="1:16" x14ac:dyDescent="0.3">
      <c r="A42" t="s">
        <v>46</v>
      </c>
      <c r="B42" t="s">
        <v>63</v>
      </c>
      <c r="C42" t="s">
        <v>47</v>
      </c>
      <c r="D42" t="s">
        <v>56</v>
      </c>
      <c r="E42" t="s">
        <v>49</v>
      </c>
      <c r="F42" t="s">
        <v>50</v>
      </c>
      <c r="G42" t="s">
        <v>51</v>
      </c>
      <c r="H42" t="s">
        <v>2</v>
      </c>
      <c r="I42">
        <v>0.65780730897009898</v>
      </c>
      <c r="J42">
        <v>0.16170010645291</v>
      </c>
      <c r="K42">
        <v>0.36399672678742401</v>
      </c>
      <c r="L42">
        <v>0.191355664540583</v>
      </c>
      <c r="M42">
        <v>0.341269841269841</v>
      </c>
      <c r="N42">
        <v>0.208242786489439</v>
      </c>
      <c r="O42">
        <v>0.41306755260243599</v>
      </c>
      <c r="P42">
        <v>0.17384734800821</v>
      </c>
    </row>
    <row r="43" spans="1:16" x14ac:dyDescent="0.3">
      <c r="A43" t="s">
        <v>46</v>
      </c>
      <c r="B43" t="s">
        <v>63</v>
      </c>
      <c r="C43" t="s">
        <v>47</v>
      </c>
      <c r="D43" t="s">
        <v>56</v>
      </c>
      <c r="E43" t="s">
        <v>49</v>
      </c>
      <c r="F43" t="s">
        <v>50</v>
      </c>
      <c r="G43" t="s">
        <v>51</v>
      </c>
      <c r="H43" t="s">
        <v>4</v>
      </c>
      <c r="I43">
        <v>0.66943521594684396</v>
      </c>
      <c r="J43">
        <v>0.14199135970253199</v>
      </c>
      <c r="K43">
        <v>0.33139805930503602</v>
      </c>
      <c r="L43">
        <v>0.14267390600496299</v>
      </c>
      <c r="M43">
        <v>0.29865725359911399</v>
      </c>
      <c r="N43">
        <v>0.16285068951125201</v>
      </c>
      <c r="O43">
        <v>0.39510889627168599</v>
      </c>
      <c r="P43">
        <v>0.12038232114925899</v>
      </c>
    </row>
    <row r="44" spans="1:16" x14ac:dyDescent="0.3">
      <c r="A44" t="s">
        <v>46</v>
      </c>
      <c r="B44" t="s">
        <v>63</v>
      </c>
      <c r="C44" t="s">
        <v>47</v>
      </c>
      <c r="D44" t="s">
        <v>56</v>
      </c>
      <c r="E44" t="s">
        <v>49</v>
      </c>
      <c r="F44" t="s">
        <v>50</v>
      </c>
      <c r="G44" t="s">
        <v>51</v>
      </c>
      <c r="H44" t="s">
        <v>3</v>
      </c>
      <c r="I44">
        <v>0.640365448504983</v>
      </c>
      <c r="J44">
        <v>0.15517786632376701</v>
      </c>
      <c r="K44">
        <v>0.31992297108576101</v>
      </c>
      <c r="L44">
        <v>0.15435910953641199</v>
      </c>
      <c r="M44">
        <v>0.28753229974160199</v>
      </c>
      <c r="N44">
        <v>0.167951086510361</v>
      </c>
      <c r="O44">
        <v>0.37593207825765901</v>
      </c>
      <c r="P44">
        <v>0.136755349472092</v>
      </c>
    </row>
    <row r="45" spans="1:16" x14ac:dyDescent="0.3">
      <c r="A45" t="s">
        <v>46</v>
      </c>
      <c r="B45" t="s">
        <v>63</v>
      </c>
      <c r="C45" t="s">
        <v>47</v>
      </c>
      <c r="D45" t="s">
        <v>56</v>
      </c>
      <c r="E45" t="s">
        <v>49</v>
      </c>
      <c r="F45" t="s">
        <v>50</v>
      </c>
      <c r="G45" t="s">
        <v>51</v>
      </c>
      <c r="H45" t="s">
        <v>5</v>
      </c>
      <c r="I45">
        <v>0.59343853820598003</v>
      </c>
      <c r="J45">
        <v>0.161833368911249</v>
      </c>
      <c r="K45">
        <v>0.318987644569039</v>
      </c>
      <c r="L45">
        <v>0.16201029800114</v>
      </c>
      <c r="M45">
        <v>0.30546788482834902</v>
      </c>
      <c r="N45">
        <v>0.18231207975684199</v>
      </c>
      <c r="O45">
        <v>0.35420819490586902</v>
      </c>
      <c r="P45">
        <v>0.15113234823861901</v>
      </c>
    </row>
    <row r="46" spans="1:16" x14ac:dyDescent="0.3">
      <c r="A46" t="s">
        <v>46</v>
      </c>
      <c r="B46" t="s">
        <v>63</v>
      </c>
      <c r="C46" t="s">
        <v>47</v>
      </c>
      <c r="D46" t="s">
        <v>56</v>
      </c>
      <c r="E46" t="s">
        <v>49</v>
      </c>
      <c r="F46" t="s">
        <v>54</v>
      </c>
      <c r="G46" t="s">
        <v>51</v>
      </c>
      <c r="H46" t="s">
        <v>2</v>
      </c>
      <c r="I46">
        <v>0.57642118863049097</v>
      </c>
      <c r="J46">
        <v>0.14308565335652099</v>
      </c>
      <c r="K46">
        <v>0.357594736544804</v>
      </c>
      <c r="L46">
        <v>0.165723253210875</v>
      </c>
      <c r="M46">
        <v>0.34399532422788198</v>
      </c>
      <c r="N46">
        <v>0.179520680133612</v>
      </c>
      <c r="O46">
        <v>0.40279469669004497</v>
      </c>
      <c r="P46">
        <v>0.16965399789007701</v>
      </c>
    </row>
    <row r="47" spans="1:16" x14ac:dyDescent="0.3">
      <c r="A47" t="s">
        <v>46</v>
      </c>
      <c r="B47" t="s">
        <v>63</v>
      </c>
      <c r="C47" t="s">
        <v>47</v>
      </c>
      <c r="D47" t="s">
        <v>56</v>
      </c>
      <c r="E47" t="s">
        <v>49</v>
      </c>
      <c r="F47" t="s">
        <v>54</v>
      </c>
      <c r="G47" t="s">
        <v>51</v>
      </c>
      <c r="H47" t="s">
        <v>4</v>
      </c>
      <c r="I47">
        <v>0.64670542635658901</v>
      </c>
      <c r="J47">
        <v>0.13024835457499001</v>
      </c>
      <c r="K47">
        <v>0.34614644804453198</v>
      </c>
      <c r="L47">
        <v>0.13088161312256999</v>
      </c>
      <c r="M47">
        <v>0.324041774332472</v>
      </c>
      <c r="N47">
        <v>0.17451312888857601</v>
      </c>
      <c r="O47">
        <v>0.41422726713424302</v>
      </c>
      <c r="P47">
        <v>0.121884333404727</v>
      </c>
    </row>
    <row r="48" spans="1:16" x14ac:dyDescent="0.3">
      <c r="A48" t="s">
        <v>46</v>
      </c>
      <c r="B48" t="s">
        <v>63</v>
      </c>
      <c r="C48" t="s">
        <v>47</v>
      </c>
      <c r="D48" t="s">
        <v>56</v>
      </c>
      <c r="E48" t="s">
        <v>49</v>
      </c>
      <c r="F48" t="s">
        <v>54</v>
      </c>
      <c r="G48" t="s">
        <v>51</v>
      </c>
      <c r="H48" t="s">
        <v>3</v>
      </c>
      <c r="I48">
        <v>0.622674418604651</v>
      </c>
      <c r="J48">
        <v>0.12664639303585201</v>
      </c>
      <c r="K48">
        <v>0.33952287832246703</v>
      </c>
      <c r="L48">
        <v>0.123548759327874</v>
      </c>
      <c r="M48">
        <v>0.32849913867355701</v>
      </c>
      <c r="N48">
        <v>0.16486689452664599</v>
      </c>
      <c r="O48">
        <v>0.392798695705672</v>
      </c>
      <c r="P48">
        <v>0.11405504428329</v>
      </c>
    </row>
    <row r="49" spans="1:16" x14ac:dyDescent="0.3">
      <c r="A49" t="s">
        <v>46</v>
      </c>
      <c r="B49" t="s">
        <v>63</v>
      </c>
      <c r="C49" t="s">
        <v>47</v>
      </c>
      <c r="D49" t="s">
        <v>56</v>
      </c>
      <c r="E49" t="s">
        <v>49</v>
      </c>
      <c r="F49" t="s">
        <v>54</v>
      </c>
      <c r="G49" t="s">
        <v>51</v>
      </c>
      <c r="H49" t="s">
        <v>5</v>
      </c>
      <c r="I49">
        <v>0.56711886304909498</v>
      </c>
      <c r="J49">
        <v>0.16508283862702999</v>
      </c>
      <c r="K49">
        <v>0.32797655933770797</v>
      </c>
      <c r="L49">
        <v>0.141551522837642</v>
      </c>
      <c r="M49">
        <v>0.32928663713547401</v>
      </c>
      <c r="N49">
        <v>0.17419016311298199</v>
      </c>
      <c r="O49">
        <v>0.368583118001722</v>
      </c>
      <c r="P49">
        <v>0.15153945072266201</v>
      </c>
    </row>
    <row r="50" spans="1:16" x14ac:dyDescent="0.3">
      <c r="A50" t="s">
        <v>46</v>
      </c>
      <c r="B50" t="s">
        <v>63</v>
      </c>
      <c r="C50" t="s">
        <v>47</v>
      </c>
      <c r="D50" t="s">
        <v>56</v>
      </c>
      <c r="E50" t="s">
        <v>59</v>
      </c>
      <c r="F50" t="s">
        <v>50</v>
      </c>
      <c r="G50" t="s">
        <v>51</v>
      </c>
      <c r="H50" t="s">
        <v>5</v>
      </c>
      <c r="I50">
        <v>0.35645071982281201</v>
      </c>
      <c r="J50">
        <v>0.18903546224245099</v>
      </c>
      <c r="K50">
        <v>0.25812387440294399</v>
      </c>
      <c r="L50">
        <v>0.14988505773869801</v>
      </c>
      <c r="M50">
        <v>0.299409376153562</v>
      </c>
      <c r="N50">
        <v>0.17516912564811299</v>
      </c>
      <c r="O50">
        <v>0.28922111480251</v>
      </c>
      <c r="P50">
        <v>0.19289917788489999</v>
      </c>
    </row>
    <row r="51" spans="1:16" x14ac:dyDescent="0.3">
      <c r="A51" t="s">
        <v>46</v>
      </c>
      <c r="B51" t="s">
        <v>63</v>
      </c>
      <c r="C51" t="s">
        <v>47</v>
      </c>
      <c r="D51" t="s">
        <v>56</v>
      </c>
      <c r="E51" t="s">
        <v>59</v>
      </c>
      <c r="F51" t="s">
        <v>50</v>
      </c>
      <c r="G51" t="s">
        <v>51</v>
      </c>
      <c r="H51" t="s">
        <v>4</v>
      </c>
      <c r="I51">
        <v>0.36960132890365399</v>
      </c>
      <c r="J51">
        <v>0.210004819611879</v>
      </c>
      <c r="K51">
        <v>0.24453987012126499</v>
      </c>
      <c r="L51">
        <v>0.150279160095419</v>
      </c>
      <c r="M51">
        <v>0.25264396456256899</v>
      </c>
      <c r="N51">
        <v>0.18913634387356201</v>
      </c>
      <c r="O51">
        <v>0.32821151716500502</v>
      </c>
      <c r="P51">
        <v>0.192265855907857</v>
      </c>
    </row>
    <row r="52" spans="1:16" x14ac:dyDescent="0.3">
      <c r="A52" t="s">
        <v>46</v>
      </c>
      <c r="B52" t="s">
        <v>63</v>
      </c>
      <c r="C52" t="s">
        <v>47</v>
      </c>
      <c r="D52" t="s">
        <v>56</v>
      </c>
      <c r="E52" t="s">
        <v>59</v>
      </c>
      <c r="F52" t="s">
        <v>50</v>
      </c>
      <c r="G52" t="s">
        <v>51</v>
      </c>
      <c r="H52" t="s">
        <v>3</v>
      </c>
      <c r="I52">
        <v>0.377768549280177</v>
      </c>
      <c r="J52">
        <v>0.21225873494809799</v>
      </c>
      <c r="K52">
        <v>0.24146972751623899</v>
      </c>
      <c r="L52">
        <v>0.14506948352364299</v>
      </c>
      <c r="M52">
        <v>0.27404485049833799</v>
      </c>
      <c r="N52">
        <v>0.17822159374862201</v>
      </c>
      <c r="O52">
        <v>0.28143226282761102</v>
      </c>
      <c r="P52">
        <v>0.15388878175783399</v>
      </c>
    </row>
    <row r="53" spans="1:16" x14ac:dyDescent="0.3">
      <c r="A53" t="s">
        <v>46</v>
      </c>
      <c r="B53" t="s">
        <v>63</v>
      </c>
      <c r="C53" t="s">
        <v>47</v>
      </c>
      <c r="D53" t="s">
        <v>56</v>
      </c>
      <c r="E53" t="s">
        <v>59</v>
      </c>
      <c r="F53" t="s">
        <v>50</v>
      </c>
      <c r="G53" t="s">
        <v>51</v>
      </c>
      <c r="H53" t="s">
        <v>2</v>
      </c>
      <c r="I53">
        <v>0.32212070874861498</v>
      </c>
      <c r="J53">
        <v>0.18664036934479</v>
      </c>
      <c r="K53">
        <v>0.22815074675539701</v>
      </c>
      <c r="L53">
        <v>0.149967359420523</v>
      </c>
      <c r="M53">
        <v>0.254466592838685</v>
      </c>
      <c r="N53">
        <v>0.18658438175227299</v>
      </c>
      <c r="O53">
        <v>0.26799557032115101</v>
      </c>
      <c r="P53">
        <v>0.178886250594295</v>
      </c>
    </row>
    <row r="54" spans="1:16" x14ac:dyDescent="0.3">
      <c r="A54" t="s">
        <v>46</v>
      </c>
      <c r="B54" t="s">
        <v>63</v>
      </c>
      <c r="C54" t="s">
        <v>47</v>
      </c>
      <c r="D54" t="s">
        <v>56</v>
      </c>
      <c r="E54" t="s">
        <v>59</v>
      </c>
      <c r="F54" t="s">
        <v>54</v>
      </c>
      <c r="G54" t="s">
        <v>51</v>
      </c>
      <c r="H54" t="s">
        <v>3</v>
      </c>
      <c r="I54">
        <v>0.43475452196382403</v>
      </c>
      <c r="J54">
        <v>0.164137104651111</v>
      </c>
      <c r="K54">
        <v>0.32174494452196201</v>
      </c>
      <c r="L54">
        <v>0.125111183140826</v>
      </c>
      <c r="M54">
        <v>0.36272917435708102</v>
      </c>
      <c r="N54">
        <v>0.17472028792803401</v>
      </c>
      <c r="O54">
        <v>0.38716008367171101</v>
      </c>
      <c r="P54">
        <v>0.14969933683303199</v>
      </c>
    </row>
    <row r="55" spans="1:16" x14ac:dyDescent="0.3">
      <c r="A55" t="s">
        <v>46</v>
      </c>
      <c r="B55" t="s">
        <v>63</v>
      </c>
      <c r="C55" t="s">
        <v>47</v>
      </c>
      <c r="D55" t="s">
        <v>56</v>
      </c>
      <c r="E55" t="s">
        <v>59</v>
      </c>
      <c r="F55" t="s">
        <v>54</v>
      </c>
      <c r="G55" t="s">
        <v>51</v>
      </c>
      <c r="H55" t="s">
        <v>4</v>
      </c>
      <c r="I55">
        <v>0.43042635658914702</v>
      </c>
      <c r="J55">
        <v>0.203222807721189</v>
      </c>
      <c r="K55">
        <v>0.320210432522334</v>
      </c>
      <c r="L55">
        <v>0.18280386482383801</v>
      </c>
      <c r="M55">
        <v>0.31979512735326598</v>
      </c>
      <c r="N55">
        <v>0.19626024729482799</v>
      </c>
      <c r="O55">
        <v>0.40417743324720001</v>
      </c>
      <c r="P55">
        <v>0.18672317497208801</v>
      </c>
    </row>
    <row r="56" spans="1:16" x14ac:dyDescent="0.3">
      <c r="A56" t="s">
        <v>46</v>
      </c>
      <c r="B56" t="s">
        <v>63</v>
      </c>
      <c r="C56" t="s">
        <v>47</v>
      </c>
      <c r="D56" t="s">
        <v>56</v>
      </c>
      <c r="E56" t="s">
        <v>59</v>
      </c>
      <c r="F56" t="s">
        <v>54</v>
      </c>
      <c r="G56" t="s">
        <v>51</v>
      </c>
      <c r="H56" t="s">
        <v>5</v>
      </c>
      <c r="I56">
        <v>0.40807493540051598</v>
      </c>
      <c r="J56">
        <v>0.18074360506766701</v>
      </c>
      <c r="K56">
        <v>0.30209123348658201</v>
      </c>
      <c r="L56">
        <v>0.15569809408007701</v>
      </c>
      <c r="M56">
        <v>0.33189676387350803</v>
      </c>
      <c r="N56">
        <v>0.17734898600705701</v>
      </c>
      <c r="O56">
        <v>0.353748308108773</v>
      </c>
      <c r="P56">
        <v>0.18060374504979301</v>
      </c>
    </row>
    <row r="57" spans="1:16" x14ac:dyDescent="0.3">
      <c r="A57" t="s">
        <v>46</v>
      </c>
      <c r="B57" t="s">
        <v>63</v>
      </c>
      <c r="C57" t="s">
        <v>47</v>
      </c>
      <c r="D57" t="s">
        <v>56</v>
      </c>
      <c r="E57" t="s">
        <v>59</v>
      </c>
      <c r="F57" t="s">
        <v>54</v>
      </c>
      <c r="G57" t="s">
        <v>51</v>
      </c>
      <c r="H57" t="s">
        <v>2</v>
      </c>
      <c r="I57">
        <v>0.35781653746769998</v>
      </c>
      <c r="J57">
        <v>0.166884284944462</v>
      </c>
      <c r="K57">
        <v>0.27100311402636901</v>
      </c>
      <c r="L57">
        <v>0.140806383784115</v>
      </c>
      <c r="M57">
        <v>0.30643226282761099</v>
      </c>
      <c r="N57">
        <v>0.18211844840595601</v>
      </c>
      <c r="O57">
        <v>0.33078934416143702</v>
      </c>
      <c r="P57">
        <v>0.17367181396350401</v>
      </c>
    </row>
    <row r="58" spans="1:16" x14ac:dyDescent="0.3">
      <c r="A58" t="s">
        <v>46</v>
      </c>
      <c r="B58" t="s">
        <v>63</v>
      </c>
      <c r="C58" t="s">
        <v>53</v>
      </c>
      <c r="D58" t="s">
        <v>48</v>
      </c>
      <c r="E58" t="s">
        <v>49</v>
      </c>
      <c r="F58" t="s">
        <v>50</v>
      </c>
      <c r="G58" t="s">
        <v>51</v>
      </c>
      <c r="H58" t="s">
        <v>2</v>
      </c>
      <c r="I58">
        <v>0.55339464427141705</v>
      </c>
      <c r="J58">
        <v>0.13594847032523</v>
      </c>
      <c r="K58">
        <v>0.52706639396009003</v>
      </c>
      <c r="L58">
        <v>0.134857868344916</v>
      </c>
      <c r="M58">
        <v>0.56379449248122204</v>
      </c>
      <c r="N58">
        <v>0.13720339030894599</v>
      </c>
      <c r="O58">
        <v>0.55423907487860902</v>
      </c>
      <c r="P58">
        <v>0.13230873759808601</v>
      </c>
    </row>
    <row r="59" spans="1:16" x14ac:dyDescent="0.3">
      <c r="A59" t="s">
        <v>46</v>
      </c>
      <c r="B59" t="s">
        <v>63</v>
      </c>
      <c r="C59" t="s">
        <v>53</v>
      </c>
      <c r="D59" t="s">
        <v>48</v>
      </c>
      <c r="E59" t="s">
        <v>49</v>
      </c>
      <c r="F59" t="s">
        <v>50</v>
      </c>
      <c r="G59" t="s">
        <v>51</v>
      </c>
      <c r="H59" t="s">
        <v>4</v>
      </c>
      <c r="I59">
        <v>0.553967468260253</v>
      </c>
      <c r="J59">
        <v>0.107064549718743</v>
      </c>
      <c r="K59">
        <v>0.51917816819546203</v>
      </c>
      <c r="L59">
        <v>0.119333690450265</v>
      </c>
      <c r="M59">
        <v>0.54994740401717102</v>
      </c>
      <c r="N59">
        <v>0.12483227746751099</v>
      </c>
      <c r="O59">
        <v>0.54132780440919903</v>
      </c>
      <c r="P59">
        <v>0.12776321256600501</v>
      </c>
    </row>
    <row r="60" spans="1:16" x14ac:dyDescent="0.3">
      <c r="A60" t="s">
        <v>46</v>
      </c>
      <c r="B60" t="s">
        <v>63</v>
      </c>
      <c r="C60" t="s">
        <v>53</v>
      </c>
      <c r="D60" t="s">
        <v>48</v>
      </c>
      <c r="E60" t="s">
        <v>49</v>
      </c>
      <c r="F60" t="s">
        <v>50</v>
      </c>
      <c r="G60" t="s">
        <v>51</v>
      </c>
      <c r="H60" t="s">
        <v>3</v>
      </c>
      <c r="I60">
        <v>0.54230021874110701</v>
      </c>
      <c r="J60">
        <v>0.144043982786216</v>
      </c>
      <c r="K60">
        <v>0.50799796930667296</v>
      </c>
      <c r="L60">
        <v>0.14700342122633001</v>
      </c>
      <c r="M60">
        <v>0.531912508086548</v>
      </c>
      <c r="N60">
        <v>0.15521261333094399</v>
      </c>
      <c r="O60">
        <v>0.53374992793597398</v>
      </c>
      <c r="P60">
        <v>0.14195898493137701</v>
      </c>
    </row>
    <row r="61" spans="1:16" x14ac:dyDescent="0.3">
      <c r="A61" t="s">
        <v>46</v>
      </c>
      <c r="B61" t="s">
        <v>63</v>
      </c>
      <c r="C61" t="s">
        <v>53</v>
      </c>
      <c r="D61" t="s">
        <v>48</v>
      </c>
      <c r="E61" t="s">
        <v>49</v>
      </c>
      <c r="F61" t="s">
        <v>50</v>
      </c>
      <c r="G61" t="s">
        <v>51</v>
      </c>
      <c r="H61" t="s">
        <v>5</v>
      </c>
      <c r="I61">
        <v>0.47623831866487898</v>
      </c>
      <c r="J61">
        <v>0.13476744496476001</v>
      </c>
      <c r="K61">
        <v>0.45262191028269</v>
      </c>
      <c r="L61">
        <v>0.13171691852459</v>
      </c>
      <c r="M61">
        <v>0.47513413588994902</v>
      </c>
      <c r="N61">
        <v>0.135426979837244</v>
      </c>
      <c r="O61">
        <v>0.47080678795795</v>
      </c>
      <c r="P61">
        <v>0.13597101235880499</v>
      </c>
    </row>
    <row r="62" spans="1:16" x14ac:dyDescent="0.3">
      <c r="A62" t="s">
        <v>46</v>
      </c>
      <c r="B62" t="s">
        <v>63</v>
      </c>
      <c r="C62" t="s">
        <v>53</v>
      </c>
      <c r="D62" t="s">
        <v>48</v>
      </c>
      <c r="E62" t="s">
        <v>49</v>
      </c>
      <c r="F62" t="s">
        <v>50</v>
      </c>
      <c r="G62" t="s">
        <v>55</v>
      </c>
      <c r="H62" t="s">
        <v>4</v>
      </c>
      <c r="I62">
        <v>0.574624045864775</v>
      </c>
      <c r="J62">
        <v>0.12932640031782799</v>
      </c>
      <c r="K62">
        <v>0.53993700466391503</v>
      </c>
      <c r="L62">
        <v>0.134233411214324</v>
      </c>
      <c r="M62">
        <v>0.58192588685064695</v>
      </c>
      <c r="N62">
        <v>0.13864172254583401</v>
      </c>
      <c r="O62">
        <v>0.56210037808875002</v>
      </c>
      <c r="P62">
        <v>0.13650218228748001</v>
      </c>
    </row>
    <row r="63" spans="1:16" x14ac:dyDescent="0.3">
      <c r="A63" t="s">
        <v>46</v>
      </c>
      <c r="B63" t="s">
        <v>63</v>
      </c>
      <c r="C63" t="s">
        <v>53</v>
      </c>
      <c r="D63" t="s">
        <v>48</v>
      </c>
      <c r="E63" t="s">
        <v>49</v>
      </c>
      <c r="F63" t="s">
        <v>50</v>
      </c>
      <c r="G63" t="s">
        <v>55</v>
      </c>
      <c r="H63" t="s">
        <v>2</v>
      </c>
      <c r="I63">
        <v>0.55223063929774197</v>
      </c>
      <c r="J63">
        <v>0.13124780584704299</v>
      </c>
      <c r="K63">
        <v>0.519979452318452</v>
      </c>
      <c r="L63">
        <v>0.13778064323123801</v>
      </c>
      <c r="M63">
        <v>0.55760345495223196</v>
      </c>
      <c r="N63">
        <v>0.135074359842489</v>
      </c>
      <c r="O63">
        <v>0.54814212488631098</v>
      </c>
      <c r="P63">
        <v>0.13525466688226501</v>
      </c>
    </row>
    <row r="64" spans="1:16" x14ac:dyDescent="0.3">
      <c r="A64" t="s">
        <v>46</v>
      </c>
      <c r="B64" t="s">
        <v>63</v>
      </c>
      <c r="C64" t="s">
        <v>53</v>
      </c>
      <c r="D64" t="s">
        <v>48</v>
      </c>
      <c r="E64" t="s">
        <v>49</v>
      </c>
      <c r="F64" t="s">
        <v>50</v>
      </c>
      <c r="G64" t="s">
        <v>55</v>
      </c>
      <c r="H64" t="s">
        <v>3</v>
      </c>
      <c r="I64">
        <v>0.53691420468636197</v>
      </c>
      <c r="J64">
        <v>0.14800588443464299</v>
      </c>
      <c r="K64">
        <v>0.51141161549782699</v>
      </c>
      <c r="L64">
        <v>0.14818206374387699</v>
      </c>
      <c r="M64">
        <v>0.53958583406257798</v>
      </c>
      <c r="N64">
        <v>0.14848688401156199</v>
      </c>
      <c r="O64">
        <v>0.53730996608903503</v>
      </c>
      <c r="P64">
        <v>0.146045850353033</v>
      </c>
    </row>
    <row r="65" spans="1:16" x14ac:dyDescent="0.3">
      <c r="A65" t="s">
        <v>46</v>
      </c>
      <c r="B65" t="s">
        <v>63</v>
      </c>
      <c r="C65" t="s">
        <v>53</v>
      </c>
      <c r="D65" t="s">
        <v>48</v>
      </c>
      <c r="E65" t="s">
        <v>49</v>
      </c>
      <c r="F65" t="s">
        <v>50</v>
      </c>
      <c r="G65" t="s">
        <v>55</v>
      </c>
      <c r="H65" t="s">
        <v>5</v>
      </c>
      <c r="I65">
        <v>0.52057804966131704</v>
      </c>
      <c r="J65">
        <v>0.149652335849943</v>
      </c>
      <c r="K65">
        <v>0.494664500449708</v>
      </c>
      <c r="L65">
        <v>0.14936461766023201</v>
      </c>
      <c r="M65">
        <v>0.51432325938994805</v>
      </c>
      <c r="N65">
        <v>0.154383610255446</v>
      </c>
      <c r="O65">
        <v>0.51686083081431899</v>
      </c>
      <c r="P65">
        <v>0.156621809468761</v>
      </c>
    </row>
    <row r="66" spans="1:16" x14ac:dyDescent="0.3">
      <c r="A66" t="s">
        <v>46</v>
      </c>
      <c r="B66" t="s">
        <v>63</v>
      </c>
      <c r="C66" t="s">
        <v>53</v>
      </c>
      <c r="D66" t="s">
        <v>48</v>
      </c>
      <c r="E66" t="s">
        <v>49</v>
      </c>
      <c r="F66" t="s">
        <v>54</v>
      </c>
      <c r="G66" t="s">
        <v>51</v>
      </c>
      <c r="H66" t="s">
        <v>3</v>
      </c>
      <c r="I66">
        <v>0.54324964428604705</v>
      </c>
      <c r="J66">
        <v>0.12138984751929301</v>
      </c>
      <c r="K66">
        <v>0.52461005762184798</v>
      </c>
      <c r="L66">
        <v>0.122782029608672</v>
      </c>
      <c r="M66">
        <v>0.55350847564978101</v>
      </c>
      <c r="N66">
        <v>0.133074741865087</v>
      </c>
      <c r="O66">
        <v>0.55390667713819097</v>
      </c>
      <c r="P66">
        <v>0.110408080818143</v>
      </c>
    </row>
    <row r="67" spans="1:16" x14ac:dyDescent="0.3">
      <c r="A67" t="s">
        <v>46</v>
      </c>
      <c r="B67" t="s">
        <v>63</v>
      </c>
      <c r="C67" t="s">
        <v>53</v>
      </c>
      <c r="D67" t="s">
        <v>48</v>
      </c>
      <c r="E67" t="s">
        <v>49</v>
      </c>
      <c r="F67" t="s">
        <v>54</v>
      </c>
      <c r="G67" t="s">
        <v>51</v>
      </c>
      <c r="H67" t="s">
        <v>4</v>
      </c>
      <c r="I67">
        <v>0.551505174819647</v>
      </c>
      <c r="J67">
        <v>0.14189933839136701</v>
      </c>
      <c r="K67">
        <v>0.52223466628626003</v>
      </c>
      <c r="L67">
        <v>0.137910574538818</v>
      </c>
      <c r="M67">
        <v>0.55839454576274306</v>
      </c>
      <c r="N67">
        <v>0.15210224613163101</v>
      </c>
      <c r="O67">
        <v>0.55352937830842996</v>
      </c>
      <c r="P67">
        <v>0.122951829223844</v>
      </c>
    </row>
    <row r="68" spans="1:16" x14ac:dyDescent="0.3">
      <c r="A68" t="s">
        <v>46</v>
      </c>
      <c r="B68" t="s">
        <v>63</v>
      </c>
      <c r="C68" t="s">
        <v>53</v>
      </c>
      <c r="D68" t="s">
        <v>48</v>
      </c>
      <c r="E68" t="s">
        <v>49</v>
      </c>
      <c r="F68" t="s">
        <v>54</v>
      </c>
      <c r="G68" t="s">
        <v>51</v>
      </c>
      <c r="H68" t="s">
        <v>2</v>
      </c>
      <c r="I68">
        <v>0.51820751038621005</v>
      </c>
      <c r="J68">
        <v>0.104896480979256</v>
      </c>
      <c r="K68">
        <v>0.50222634563295598</v>
      </c>
      <c r="L68">
        <v>0.104882483748358</v>
      </c>
      <c r="M68">
        <v>0.52572633034094696</v>
      </c>
      <c r="N68">
        <v>0.103226083241509</v>
      </c>
      <c r="O68">
        <v>0.52446442693693196</v>
      </c>
      <c r="P68">
        <v>9.8565758933243097E-2</v>
      </c>
    </row>
    <row r="69" spans="1:16" x14ac:dyDescent="0.3">
      <c r="A69" t="s">
        <v>46</v>
      </c>
      <c r="B69" t="s">
        <v>63</v>
      </c>
      <c r="C69" t="s">
        <v>53</v>
      </c>
      <c r="D69" t="s">
        <v>48</v>
      </c>
      <c r="E69" t="s">
        <v>49</v>
      </c>
      <c r="F69" t="s">
        <v>54</v>
      </c>
      <c r="G69" t="s">
        <v>51</v>
      </c>
      <c r="H69" t="s">
        <v>5</v>
      </c>
      <c r="I69">
        <v>0.50925149500581501</v>
      </c>
      <c r="J69">
        <v>9.7060824872109305E-2</v>
      </c>
      <c r="K69">
        <v>0.49445166519192701</v>
      </c>
      <c r="L69">
        <v>9.5814012319119499E-2</v>
      </c>
      <c r="M69">
        <v>0.51898557132048495</v>
      </c>
      <c r="N69">
        <v>9.8450552000806602E-2</v>
      </c>
      <c r="O69">
        <v>0.51309077132278003</v>
      </c>
      <c r="P69">
        <v>9.0724326837199706E-2</v>
      </c>
    </row>
    <row r="70" spans="1:16" x14ac:dyDescent="0.3">
      <c r="A70" t="s">
        <v>46</v>
      </c>
      <c r="B70" t="s">
        <v>63</v>
      </c>
      <c r="C70" t="s">
        <v>53</v>
      </c>
      <c r="D70" t="s">
        <v>48</v>
      </c>
      <c r="E70" t="s">
        <v>59</v>
      </c>
      <c r="F70" t="s">
        <v>50</v>
      </c>
      <c r="G70" t="s">
        <v>51</v>
      </c>
      <c r="H70" t="s">
        <v>3</v>
      </c>
      <c r="I70">
        <v>0.60733179848846897</v>
      </c>
      <c r="J70">
        <v>0.25058470661392701</v>
      </c>
      <c r="K70">
        <v>0.43820947242500702</v>
      </c>
      <c r="L70">
        <v>0.196593216490314</v>
      </c>
      <c r="M70">
        <v>0.478738259204815</v>
      </c>
      <c r="N70">
        <v>0.21617381894664101</v>
      </c>
      <c r="O70">
        <v>0.47513332305928901</v>
      </c>
      <c r="P70">
        <v>0.18776286033758499</v>
      </c>
    </row>
    <row r="71" spans="1:16" x14ac:dyDescent="0.3">
      <c r="A71" t="s">
        <v>46</v>
      </c>
      <c r="B71" t="s">
        <v>63</v>
      </c>
      <c r="C71" t="s">
        <v>53</v>
      </c>
      <c r="D71" t="s">
        <v>48</v>
      </c>
      <c r="E71" t="s">
        <v>59</v>
      </c>
      <c r="F71" t="s">
        <v>50</v>
      </c>
      <c r="G71" t="s">
        <v>51</v>
      </c>
      <c r="H71" t="s">
        <v>4</v>
      </c>
      <c r="I71">
        <v>0.56762064474912699</v>
      </c>
      <c r="J71">
        <v>0.26223907778341099</v>
      </c>
      <c r="K71">
        <v>0.41133184634115499</v>
      </c>
      <c r="L71">
        <v>0.178026266895709</v>
      </c>
      <c r="M71">
        <v>0.460211952270415</v>
      </c>
      <c r="N71">
        <v>0.19934642564583499</v>
      </c>
      <c r="O71">
        <v>0.46425119907731999</v>
      </c>
      <c r="P71">
        <v>0.18674928749380301</v>
      </c>
    </row>
    <row r="72" spans="1:16" x14ac:dyDescent="0.3">
      <c r="A72" t="s">
        <v>46</v>
      </c>
      <c r="B72" t="s">
        <v>63</v>
      </c>
      <c r="C72" t="s">
        <v>53</v>
      </c>
      <c r="D72" t="s">
        <v>48</v>
      </c>
      <c r="E72" t="s">
        <v>59</v>
      </c>
      <c r="F72" t="s">
        <v>50</v>
      </c>
      <c r="G72" t="s">
        <v>51</v>
      </c>
      <c r="H72" t="s">
        <v>5</v>
      </c>
      <c r="I72">
        <v>0.52819674585460397</v>
      </c>
      <c r="J72">
        <v>0.18412513450490101</v>
      </c>
      <c r="K72">
        <v>0.39664518297791501</v>
      </c>
      <c r="L72">
        <v>0.122728873760269</v>
      </c>
      <c r="M72">
        <v>0.50082423371581997</v>
      </c>
      <c r="N72">
        <v>0.12355817290432899</v>
      </c>
      <c r="O72">
        <v>0.41232483098843098</v>
      </c>
      <c r="P72">
        <v>0.15535003555194499</v>
      </c>
    </row>
    <row r="73" spans="1:16" x14ac:dyDescent="0.3">
      <c r="A73" t="s">
        <v>46</v>
      </c>
      <c r="B73" t="s">
        <v>63</v>
      </c>
      <c r="C73" t="s">
        <v>53</v>
      </c>
      <c r="D73" t="s">
        <v>48</v>
      </c>
      <c r="E73" t="s">
        <v>59</v>
      </c>
      <c r="F73" t="s">
        <v>50</v>
      </c>
      <c r="G73" t="s">
        <v>51</v>
      </c>
      <c r="H73" t="s">
        <v>2</v>
      </c>
      <c r="I73">
        <v>0.50422772332107002</v>
      </c>
      <c r="J73">
        <v>0.221440754782289</v>
      </c>
      <c r="K73">
        <v>0.3834973637563</v>
      </c>
      <c r="L73">
        <v>0.15221342474628899</v>
      </c>
      <c r="M73">
        <v>0.46107476207703402</v>
      </c>
      <c r="N73">
        <v>0.13968039391606499</v>
      </c>
      <c r="O73">
        <v>0.41111477583370798</v>
      </c>
      <c r="P73">
        <v>0.17832312013624099</v>
      </c>
    </row>
    <row r="74" spans="1:16" x14ac:dyDescent="0.3">
      <c r="A74" t="s">
        <v>46</v>
      </c>
      <c r="B74" t="s">
        <v>63</v>
      </c>
      <c r="C74" t="s">
        <v>53</v>
      </c>
      <c r="D74" t="s">
        <v>48</v>
      </c>
      <c r="E74" t="s">
        <v>59</v>
      </c>
      <c r="F74" t="s">
        <v>50</v>
      </c>
      <c r="G74" t="s">
        <v>55</v>
      </c>
      <c r="H74" t="s">
        <v>3</v>
      </c>
      <c r="I74">
        <v>0.61488216665695195</v>
      </c>
      <c r="J74">
        <v>0.25515888805708897</v>
      </c>
      <c r="K74">
        <v>0.44554181597396603</v>
      </c>
      <c r="L74">
        <v>0.197429133365601</v>
      </c>
      <c r="M74">
        <v>0.48852890735315602</v>
      </c>
      <c r="N74">
        <v>0.208082394726683</v>
      </c>
      <c r="O74">
        <v>0.48773975259413299</v>
      </c>
      <c r="P74">
        <v>0.18559230507775001</v>
      </c>
    </row>
    <row r="75" spans="1:16" x14ac:dyDescent="0.3">
      <c r="A75" t="s">
        <v>46</v>
      </c>
      <c r="B75" t="s">
        <v>63</v>
      </c>
      <c r="C75" t="s">
        <v>53</v>
      </c>
      <c r="D75" t="s">
        <v>48</v>
      </c>
      <c r="E75" t="s">
        <v>59</v>
      </c>
      <c r="F75" t="s">
        <v>50</v>
      </c>
      <c r="G75" t="s">
        <v>55</v>
      </c>
      <c r="H75" t="s">
        <v>5</v>
      </c>
      <c r="I75">
        <v>0.53209020042125299</v>
      </c>
      <c r="J75">
        <v>0.17748907070797801</v>
      </c>
      <c r="K75">
        <v>0.40934177892273899</v>
      </c>
      <c r="L75">
        <v>0.134544067280401</v>
      </c>
      <c r="M75">
        <v>0.50729320933664301</v>
      </c>
      <c r="N75">
        <v>0.119269854809887</v>
      </c>
      <c r="O75">
        <v>0.43055967405407602</v>
      </c>
      <c r="P75">
        <v>0.17764475577817301</v>
      </c>
    </row>
    <row r="76" spans="1:16" x14ac:dyDescent="0.3">
      <c r="A76" t="s">
        <v>46</v>
      </c>
      <c r="B76" t="s">
        <v>63</v>
      </c>
      <c r="C76" t="s">
        <v>53</v>
      </c>
      <c r="D76" t="s">
        <v>48</v>
      </c>
      <c r="E76" t="s">
        <v>59</v>
      </c>
      <c r="F76" t="s">
        <v>50</v>
      </c>
      <c r="G76" t="s">
        <v>55</v>
      </c>
      <c r="H76" t="s">
        <v>4</v>
      </c>
      <c r="I76">
        <v>0.52342799829029896</v>
      </c>
      <c r="J76">
        <v>0.248849048834002</v>
      </c>
      <c r="K76">
        <v>0.39744749870662899</v>
      </c>
      <c r="L76">
        <v>0.194921807042819</v>
      </c>
      <c r="M76">
        <v>0.45987664256528099</v>
      </c>
      <c r="N76">
        <v>0.20182780944429099</v>
      </c>
      <c r="O76">
        <v>0.44062237770163099</v>
      </c>
      <c r="P76">
        <v>0.19766787679186801</v>
      </c>
    </row>
    <row r="77" spans="1:16" x14ac:dyDescent="0.3">
      <c r="A77" t="s">
        <v>46</v>
      </c>
      <c r="B77" t="s">
        <v>63</v>
      </c>
      <c r="C77" t="s">
        <v>53</v>
      </c>
      <c r="D77" t="s">
        <v>48</v>
      </c>
      <c r="E77" t="s">
        <v>59</v>
      </c>
      <c r="F77" t="s">
        <v>50</v>
      </c>
      <c r="G77" t="s">
        <v>55</v>
      </c>
      <c r="H77" t="s">
        <v>2</v>
      </c>
      <c r="I77">
        <v>0.48949664116972702</v>
      </c>
      <c r="J77">
        <v>0.209860277698241</v>
      </c>
      <c r="K77">
        <v>0.37228086313418102</v>
      </c>
      <c r="L77">
        <v>0.14290646115494299</v>
      </c>
      <c r="M77">
        <v>0.46248205861086999</v>
      </c>
      <c r="N77">
        <v>0.13396885013138299</v>
      </c>
      <c r="O77">
        <v>0.38881225295518901</v>
      </c>
      <c r="P77">
        <v>0.16576555605635501</v>
      </c>
    </row>
    <row r="78" spans="1:16" x14ac:dyDescent="0.3">
      <c r="A78" t="s">
        <v>46</v>
      </c>
      <c r="B78" t="s">
        <v>63</v>
      </c>
      <c r="C78" t="s">
        <v>53</v>
      </c>
      <c r="D78" t="s">
        <v>48</v>
      </c>
      <c r="E78" t="s">
        <v>59</v>
      </c>
      <c r="F78" t="s">
        <v>54</v>
      </c>
      <c r="G78" t="s">
        <v>51</v>
      </c>
      <c r="H78" t="s">
        <v>3</v>
      </c>
      <c r="I78">
        <v>0.71941055984086599</v>
      </c>
      <c r="J78">
        <v>0.22466941832236001</v>
      </c>
      <c r="K78">
        <v>0.48044362779065303</v>
      </c>
      <c r="L78">
        <v>0.18294064053415299</v>
      </c>
      <c r="M78">
        <v>0.49412175356835603</v>
      </c>
      <c r="N78">
        <v>0.20734169340947001</v>
      </c>
      <c r="O78">
        <v>0.53758312388500096</v>
      </c>
      <c r="P78">
        <v>0.15327147543728001</v>
      </c>
    </row>
    <row r="79" spans="1:16" x14ac:dyDescent="0.3">
      <c r="A79" t="s">
        <v>46</v>
      </c>
      <c r="B79" t="s">
        <v>63</v>
      </c>
      <c r="C79" t="s">
        <v>53</v>
      </c>
      <c r="D79" t="s">
        <v>48</v>
      </c>
      <c r="E79" t="s">
        <v>59</v>
      </c>
      <c r="F79" t="s">
        <v>54</v>
      </c>
      <c r="G79" t="s">
        <v>51</v>
      </c>
      <c r="H79" t="s">
        <v>4</v>
      </c>
      <c r="I79">
        <v>0.72711554487490704</v>
      </c>
      <c r="J79">
        <v>0.22811665912144199</v>
      </c>
      <c r="K79">
        <v>0.47517149320863</v>
      </c>
      <c r="L79">
        <v>0.19494931935756099</v>
      </c>
      <c r="M79">
        <v>0.460992885967486</v>
      </c>
      <c r="N79">
        <v>0.220041302824941</v>
      </c>
      <c r="O79">
        <v>0.54309416088617402</v>
      </c>
      <c r="P79">
        <v>0.15307033238485701</v>
      </c>
    </row>
    <row r="80" spans="1:16" x14ac:dyDescent="0.3">
      <c r="A80" t="s">
        <v>46</v>
      </c>
      <c r="B80" t="s">
        <v>63</v>
      </c>
      <c r="C80" t="s">
        <v>53</v>
      </c>
      <c r="D80" t="s">
        <v>48</v>
      </c>
      <c r="E80" t="s">
        <v>59</v>
      </c>
      <c r="F80" t="s">
        <v>54</v>
      </c>
      <c r="G80" t="s">
        <v>51</v>
      </c>
      <c r="H80" t="s">
        <v>2</v>
      </c>
      <c r="I80">
        <v>0.68689218498984295</v>
      </c>
      <c r="J80">
        <v>0.20544214649131101</v>
      </c>
      <c r="K80">
        <v>0.44730898336571601</v>
      </c>
      <c r="L80">
        <v>0.14056708825197001</v>
      </c>
      <c r="M80">
        <v>0.47608300470912202</v>
      </c>
      <c r="N80">
        <v>0.16778981708586799</v>
      </c>
      <c r="O80">
        <v>0.49254403231397798</v>
      </c>
      <c r="P80">
        <v>0.11997173247180801</v>
      </c>
    </row>
    <row r="81" spans="1:16" x14ac:dyDescent="0.3">
      <c r="A81" t="s">
        <v>46</v>
      </c>
      <c r="B81" t="s">
        <v>63</v>
      </c>
      <c r="C81" t="s">
        <v>53</v>
      </c>
      <c r="D81" t="s">
        <v>48</v>
      </c>
      <c r="E81" t="s">
        <v>59</v>
      </c>
      <c r="F81" t="s">
        <v>54</v>
      </c>
      <c r="G81" t="s">
        <v>51</v>
      </c>
      <c r="H81" t="s">
        <v>5</v>
      </c>
      <c r="I81">
        <v>0.67391887348958601</v>
      </c>
      <c r="J81">
        <v>0.20104342251358301</v>
      </c>
      <c r="K81">
        <v>0.43538059185773798</v>
      </c>
      <c r="L81">
        <v>0.122116209022651</v>
      </c>
      <c r="M81">
        <v>0.49734009376906602</v>
      </c>
      <c r="N81">
        <v>0.16321356750492499</v>
      </c>
      <c r="O81">
        <v>0.476396803032337</v>
      </c>
      <c r="P81">
        <v>0.10365436410569399</v>
      </c>
    </row>
    <row r="82" spans="1:16" x14ac:dyDescent="0.3">
      <c r="A82" t="s">
        <v>46</v>
      </c>
      <c r="B82" t="s">
        <v>63</v>
      </c>
      <c r="C82" t="s">
        <v>53</v>
      </c>
      <c r="D82" t="s">
        <v>57</v>
      </c>
      <c r="E82" t="s">
        <v>49</v>
      </c>
      <c r="F82" t="s">
        <v>50</v>
      </c>
      <c r="G82" t="s">
        <v>51</v>
      </c>
      <c r="H82" t="s">
        <v>2</v>
      </c>
      <c r="I82">
        <v>0.83058671124424399</v>
      </c>
      <c r="J82">
        <v>0.143407707060066</v>
      </c>
      <c r="K82">
        <v>1.0225218689867199</v>
      </c>
      <c r="L82">
        <v>0.16018036548156001</v>
      </c>
      <c r="M82">
        <v>-0.15247364889863299</v>
      </c>
      <c r="N82">
        <v>0.253386085501834</v>
      </c>
    </row>
    <row r="83" spans="1:16" x14ac:dyDescent="0.3">
      <c r="A83" t="s">
        <v>46</v>
      </c>
      <c r="B83" t="s">
        <v>63</v>
      </c>
      <c r="C83" t="s">
        <v>53</v>
      </c>
      <c r="D83" t="s">
        <v>57</v>
      </c>
      <c r="E83" t="s">
        <v>49</v>
      </c>
      <c r="F83" t="s">
        <v>50</v>
      </c>
      <c r="G83" t="s">
        <v>51</v>
      </c>
      <c r="H83" t="s">
        <v>4</v>
      </c>
      <c r="I83">
        <v>0.78041698233564905</v>
      </c>
      <c r="J83">
        <v>0.121101109242367</v>
      </c>
      <c r="K83">
        <v>0.94237182316535295</v>
      </c>
      <c r="L83">
        <v>0.13016703920721401</v>
      </c>
      <c r="M83">
        <v>2.1633256286833501E-2</v>
      </c>
      <c r="N83">
        <v>8.45884566489844E-2</v>
      </c>
    </row>
    <row r="84" spans="1:16" x14ac:dyDescent="0.3">
      <c r="A84" t="s">
        <v>46</v>
      </c>
      <c r="B84" t="s">
        <v>63</v>
      </c>
      <c r="C84" t="s">
        <v>53</v>
      </c>
      <c r="D84" t="s">
        <v>57</v>
      </c>
      <c r="E84" t="s">
        <v>49</v>
      </c>
      <c r="F84" t="s">
        <v>50</v>
      </c>
      <c r="G84" t="s">
        <v>51</v>
      </c>
      <c r="H84" t="s">
        <v>5</v>
      </c>
      <c r="I84">
        <v>0.87094529915094898</v>
      </c>
      <c r="J84">
        <v>0.11511521142486</v>
      </c>
      <c r="K84">
        <v>1.0493737671614001</v>
      </c>
      <c r="L84">
        <v>0.11764987934386099</v>
      </c>
      <c r="M84">
        <v>-0.19361508426214399</v>
      </c>
      <c r="N84">
        <v>0.199764627646317</v>
      </c>
    </row>
    <row r="85" spans="1:16" x14ac:dyDescent="0.3">
      <c r="A85" t="s">
        <v>46</v>
      </c>
      <c r="B85" t="s">
        <v>63</v>
      </c>
      <c r="C85" t="s">
        <v>53</v>
      </c>
      <c r="D85" t="s">
        <v>57</v>
      </c>
      <c r="E85" t="s">
        <v>49</v>
      </c>
      <c r="F85" t="s">
        <v>50</v>
      </c>
      <c r="G85" t="s">
        <v>51</v>
      </c>
      <c r="H85" t="s">
        <v>3</v>
      </c>
      <c r="I85">
        <v>0.77952628238074295</v>
      </c>
      <c r="J85">
        <v>0.14023386364167301</v>
      </c>
      <c r="K85">
        <v>0.95055327929319999</v>
      </c>
      <c r="L85">
        <v>0.15169768998326799</v>
      </c>
      <c r="M85">
        <v>-1.5175456013891901E-3</v>
      </c>
      <c r="N85">
        <v>0.144708772161563</v>
      </c>
    </row>
    <row r="86" spans="1:16" x14ac:dyDescent="0.3">
      <c r="A86" t="s">
        <v>46</v>
      </c>
      <c r="B86" t="s">
        <v>63</v>
      </c>
      <c r="C86" t="s">
        <v>53</v>
      </c>
      <c r="D86" t="s">
        <v>57</v>
      </c>
      <c r="E86" t="s">
        <v>49</v>
      </c>
      <c r="F86" t="s">
        <v>54</v>
      </c>
      <c r="G86" t="s">
        <v>51</v>
      </c>
      <c r="H86" t="s">
        <v>2</v>
      </c>
      <c r="I86">
        <v>0.88703856739821896</v>
      </c>
      <c r="J86">
        <v>9.2561083212755593E-2</v>
      </c>
      <c r="K86">
        <v>1.0741113175005701</v>
      </c>
      <c r="L86">
        <v>9.5967925922163494E-2</v>
      </c>
      <c r="M86">
        <v>-0.20378261698931199</v>
      </c>
      <c r="N86">
        <v>0.21479005411875901</v>
      </c>
    </row>
    <row r="87" spans="1:16" x14ac:dyDescent="0.3">
      <c r="A87" t="s">
        <v>46</v>
      </c>
      <c r="B87" t="s">
        <v>63</v>
      </c>
      <c r="C87" t="s">
        <v>53</v>
      </c>
      <c r="D87" t="s">
        <v>57</v>
      </c>
      <c r="E87" t="s">
        <v>49</v>
      </c>
      <c r="F87" t="s">
        <v>54</v>
      </c>
      <c r="G87" t="s">
        <v>51</v>
      </c>
      <c r="H87" t="s">
        <v>4</v>
      </c>
      <c r="I87">
        <v>0.82542442391147997</v>
      </c>
      <c r="J87">
        <v>7.8689128735313293E-2</v>
      </c>
      <c r="K87">
        <v>0.96742700281648097</v>
      </c>
      <c r="L87">
        <v>5.2283186901239502E-2</v>
      </c>
      <c r="M87">
        <v>2.8806705659543901E-2</v>
      </c>
      <c r="N87">
        <v>0.10300042804394401</v>
      </c>
    </row>
    <row r="88" spans="1:16" x14ac:dyDescent="0.3">
      <c r="A88" t="s">
        <v>46</v>
      </c>
      <c r="B88" t="s">
        <v>63</v>
      </c>
      <c r="C88" t="s">
        <v>53</v>
      </c>
      <c r="D88" t="s">
        <v>57</v>
      </c>
      <c r="E88" t="s">
        <v>49</v>
      </c>
      <c r="F88" t="s">
        <v>54</v>
      </c>
      <c r="G88" t="s">
        <v>51</v>
      </c>
      <c r="H88" t="s">
        <v>5</v>
      </c>
      <c r="I88">
        <v>0.88725868576172195</v>
      </c>
      <c r="J88">
        <v>0.10340142104715699</v>
      </c>
      <c r="K88">
        <v>1.0618132180465301</v>
      </c>
      <c r="L88">
        <v>8.7461498625172301E-2</v>
      </c>
      <c r="M88">
        <v>-0.17471339455827301</v>
      </c>
      <c r="N88">
        <v>0.19195140647801701</v>
      </c>
    </row>
    <row r="89" spans="1:16" x14ac:dyDescent="0.3">
      <c r="A89" t="s">
        <v>46</v>
      </c>
      <c r="B89" t="s">
        <v>63</v>
      </c>
      <c r="C89" t="s">
        <v>53</v>
      </c>
      <c r="D89" t="s">
        <v>57</v>
      </c>
      <c r="E89" t="s">
        <v>49</v>
      </c>
      <c r="F89" t="s">
        <v>54</v>
      </c>
      <c r="G89" t="s">
        <v>51</v>
      </c>
      <c r="H89" t="s">
        <v>3</v>
      </c>
      <c r="I89">
        <v>0.816365613793547</v>
      </c>
      <c r="J89">
        <v>8.3576323090161497E-2</v>
      </c>
      <c r="K89">
        <v>0.96888864725850499</v>
      </c>
      <c r="L89">
        <v>6.5748723800831493E-2</v>
      </c>
      <c r="M89">
        <v>2.4184684270799998E-2</v>
      </c>
      <c r="N89">
        <v>0.1331413595716</v>
      </c>
    </row>
    <row r="90" spans="1:16" x14ac:dyDescent="0.3">
      <c r="A90" t="s">
        <v>46</v>
      </c>
      <c r="B90" t="s">
        <v>63</v>
      </c>
      <c r="C90" t="s">
        <v>53</v>
      </c>
      <c r="D90" t="s">
        <v>57</v>
      </c>
      <c r="E90" t="s">
        <v>59</v>
      </c>
      <c r="F90" t="s">
        <v>50</v>
      </c>
      <c r="G90" t="s">
        <v>51</v>
      </c>
      <c r="H90" t="s">
        <v>2</v>
      </c>
      <c r="I90">
        <v>1.8516617445168599</v>
      </c>
      <c r="J90">
        <v>0.51748383549758503</v>
      </c>
      <c r="K90">
        <v>2.1556350992411502</v>
      </c>
      <c r="L90">
        <v>0.52781910214894101</v>
      </c>
      <c r="M90">
        <v>-3.97482473627332</v>
      </c>
      <c r="N90">
        <v>5.4413916226418504</v>
      </c>
    </row>
    <row r="91" spans="1:16" x14ac:dyDescent="0.3">
      <c r="A91" t="s">
        <v>46</v>
      </c>
      <c r="B91" t="s">
        <v>63</v>
      </c>
      <c r="C91" t="s">
        <v>53</v>
      </c>
      <c r="D91" t="s">
        <v>57</v>
      </c>
      <c r="E91" t="s">
        <v>59</v>
      </c>
      <c r="F91" t="s">
        <v>50</v>
      </c>
      <c r="G91" t="s">
        <v>51</v>
      </c>
      <c r="H91" t="s">
        <v>4</v>
      </c>
      <c r="I91">
        <v>1.73666626933206</v>
      </c>
      <c r="J91">
        <v>0.50951024180464999</v>
      </c>
      <c r="K91">
        <v>1.9816995739827401</v>
      </c>
      <c r="L91">
        <v>0.492388960500724</v>
      </c>
      <c r="M91">
        <v>-2.98436645284924</v>
      </c>
      <c r="N91">
        <v>4.2614928681016302</v>
      </c>
    </row>
    <row r="92" spans="1:16" x14ac:dyDescent="0.3">
      <c r="A92" t="s">
        <v>46</v>
      </c>
      <c r="B92" t="s">
        <v>63</v>
      </c>
      <c r="C92" t="s">
        <v>53</v>
      </c>
      <c r="D92" t="s">
        <v>57</v>
      </c>
      <c r="E92" t="s">
        <v>59</v>
      </c>
      <c r="F92" t="s">
        <v>50</v>
      </c>
      <c r="G92" t="s">
        <v>51</v>
      </c>
      <c r="H92" t="s">
        <v>5</v>
      </c>
      <c r="I92">
        <v>1.8849033180491901</v>
      </c>
      <c r="J92">
        <v>0.46066053452213201</v>
      </c>
      <c r="K92">
        <v>2.2029333408400902</v>
      </c>
      <c r="L92">
        <v>0.44983670723323999</v>
      </c>
      <c r="M92">
        <v>-3.6541823164863101</v>
      </c>
      <c r="N92">
        <v>4.5272032669457598</v>
      </c>
    </row>
    <row r="93" spans="1:16" x14ac:dyDescent="0.3">
      <c r="A93" t="s">
        <v>46</v>
      </c>
      <c r="B93" t="s">
        <v>63</v>
      </c>
      <c r="C93" t="s">
        <v>53</v>
      </c>
      <c r="D93" t="s">
        <v>57</v>
      </c>
      <c r="E93" t="s">
        <v>59</v>
      </c>
      <c r="F93" t="s">
        <v>50</v>
      </c>
      <c r="G93" t="s">
        <v>51</v>
      </c>
      <c r="H93" t="s">
        <v>3</v>
      </c>
      <c r="I93">
        <v>1.7812252938453801</v>
      </c>
      <c r="J93">
        <v>0.593358896537312</v>
      </c>
      <c r="K93">
        <v>2.03492629454027</v>
      </c>
      <c r="L93">
        <v>0.58423570360167998</v>
      </c>
      <c r="M93">
        <v>-3.2676662141680999</v>
      </c>
      <c r="N93">
        <v>5.0951323387824301</v>
      </c>
    </row>
    <row r="94" spans="1:16" x14ac:dyDescent="0.3">
      <c r="A94" t="s">
        <v>46</v>
      </c>
      <c r="B94" t="s">
        <v>63</v>
      </c>
      <c r="C94" t="s">
        <v>53</v>
      </c>
      <c r="D94" t="s">
        <v>57</v>
      </c>
      <c r="E94" t="s">
        <v>59</v>
      </c>
      <c r="F94" t="s">
        <v>54</v>
      </c>
      <c r="G94" t="s">
        <v>51</v>
      </c>
      <c r="H94" t="s">
        <v>2</v>
      </c>
      <c r="I94">
        <v>2.0289946062777098</v>
      </c>
      <c r="J94">
        <v>0.64232029925253697</v>
      </c>
      <c r="K94">
        <v>2.36049267545157</v>
      </c>
      <c r="L94">
        <v>0.66090883160271696</v>
      </c>
      <c r="M94">
        <v>-1.4361010317456899</v>
      </c>
      <c r="N94">
        <v>2.8697928299948501</v>
      </c>
    </row>
    <row r="95" spans="1:16" x14ac:dyDescent="0.3">
      <c r="A95" t="s">
        <v>46</v>
      </c>
      <c r="B95" t="s">
        <v>63</v>
      </c>
      <c r="C95" t="s">
        <v>53</v>
      </c>
      <c r="D95" t="s">
        <v>57</v>
      </c>
      <c r="E95" t="s">
        <v>59</v>
      </c>
      <c r="F95" t="s">
        <v>54</v>
      </c>
      <c r="G95" t="s">
        <v>51</v>
      </c>
      <c r="H95" t="s">
        <v>4</v>
      </c>
      <c r="I95">
        <v>1.94198303263174</v>
      </c>
      <c r="J95">
        <v>0.53581108790504295</v>
      </c>
      <c r="K95">
        <v>2.19928941529799</v>
      </c>
      <c r="L95">
        <v>0.55156527866847305</v>
      </c>
      <c r="M95">
        <v>-1.18434460515189</v>
      </c>
      <c r="N95">
        <v>2.4794946944502598</v>
      </c>
    </row>
    <row r="96" spans="1:16" x14ac:dyDescent="0.3">
      <c r="A96" t="s">
        <v>46</v>
      </c>
      <c r="B96" t="s">
        <v>63</v>
      </c>
      <c r="C96" t="s">
        <v>53</v>
      </c>
      <c r="D96" t="s">
        <v>57</v>
      </c>
      <c r="E96" t="s">
        <v>59</v>
      </c>
      <c r="F96" t="s">
        <v>54</v>
      </c>
      <c r="G96" t="s">
        <v>51</v>
      </c>
      <c r="H96" t="s">
        <v>5</v>
      </c>
      <c r="I96">
        <v>2.0554506560700299</v>
      </c>
      <c r="J96">
        <v>0.55156890537779601</v>
      </c>
      <c r="K96">
        <v>2.4059626472111599</v>
      </c>
      <c r="L96">
        <v>0.54762891406480696</v>
      </c>
      <c r="M96">
        <v>-1.4752062023060599</v>
      </c>
      <c r="N96">
        <v>2.4476309409047499</v>
      </c>
    </row>
    <row r="97" spans="1:16" x14ac:dyDescent="0.3">
      <c r="A97" t="s">
        <v>46</v>
      </c>
      <c r="B97" t="s">
        <v>63</v>
      </c>
      <c r="C97" t="s">
        <v>53</v>
      </c>
      <c r="D97" t="s">
        <v>57</v>
      </c>
      <c r="E97" t="s">
        <v>59</v>
      </c>
      <c r="F97" t="s">
        <v>54</v>
      </c>
      <c r="G97" t="s">
        <v>51</v>
      </c>
      <c r="H97" t="s">
        <v>3</v>
      </c>
      <c r="I97">
        <v>2.01110360305759</v>
      </c>
      <c r="J97">
        <v>0.53727804620707897</v>
      </c>
      <c r="K97">
        <v>2.3070568654668699</v>
      </c>
      <c r="L97">
        <v>0.54842698046484295</v>
      </c>
      <c r="M97">
        <v>-1.5118001697124199</v>
      </c>
      <c r="N97">
        <v>2.8160819561036199</v>
      </c>
    </row>
    <row r="98" spans="1:16" x14ac:dyDescent="0.3">
      <c r="A98" t="s">
        <v>46</v>
      </c>
      <c r="B98" t="s">
        <v>63</v>
      </c>
      <c r="C98" t="s">
        <v>53</v>
      </c>
      <c r="D98" t="s">
        <v>56</v>
      </c>
      <c r="E98" t="s">
        <v>49</v>
      </c>
      <c r="F98" t="s">
        <v>50</v>
      </c>
      <c r="G98" t="s">
        <v>51</v>
      </c>
      <c r="H98" t="s">
        <v>5</v>
      </c>
      <c r="I98">
        <v>0.62938619348187996</v>
      </c>
      <c r="J98">
        <v>0.122402098875751</v>
      </c>
      <c r="K98">
        <v>0.33946142142925101</v>
      </c>
      <c r="L98">
        <v>0.14011718410985599</v>
      </c>
      <c r="M98">
        <v>0.35113030050035199</v>
      </c>
      <c r="N98">
        <v>0.18157738166442899</v>
      </c>
      <c r="O98">
        <v>0.36792310284672303</v>
      </c>
      <c r="P98">
        <v>0.13010612092087501</v>
      </c>
    </row>
    <row r="99" spans="1:16" x14ac:dyDescent="0.3">
      <c r="A99" t="s">
        <v>46</v>
      </c>
      <c r="B99" t="s">
        <v>63</v>
      </c>
      <c r="C99" t="s">
        <v>53</v>
      </c>
      <c r="D99" t="s">
        <v>56</v>
      </c>
      <c r="E99" t="s">
        <v>49</v>
      </c>
      <c r="F99" t="s">
        <v>50</v>
      </c>
      <c r="G99" t="s">
        <v>51</v>
      </c>
      <c r="H99" t="s">
        <v>4</v>
      </c>
      <c r="I99">
        <v>0.68393317139177101</v>
      </c>
      <c r="J99">
        <v>0.123862238353427</v>
      </c>
      <c r="K99">
        <v>0.33032241674280399</v>
      </c>
      <c r="L99">
        <v>0.13690562673359</v>
      </c>
      <c r="M99">
        <v>0.29637240997310099</v>
      </c>
      <c r="N99">
        <v>0.15318365277995699</v>
      </c>
      <c r="O99">
        <v>0.39189730603034201</v>
      </c>
      <c r="P99">
        <v>0.1177589752024</v>
      </c>
    </row>
    <row r="100" spans="1:16" x14ac:dyDescent="0.3">
      <c r="A100" t="s">
        <v>46</v>
      </c>
      <c r="B100" t="s">
        <v>63</v>
      </c>
      <c r="C100" t="s">
        <v>53</v>
      </c>
      <c r="D100" t="s">
        <v>56</v>
      </c>
      <c r="E100" t="s">
        <v>49</v>
      </c>
      <c r="F100" t="s">
        <v>50</v>
      </c>
      <c r="G100" t="s">
        <v>51</v>
      </c>
      <c r="H100" t="s">
        <v>3</v>
      </c>
      <c r="I100">
        <v>0.66732964707710896</v>
      </c>
      <c r="J100">
        <v>0.13450636810202801</v>
      </c>
      <c r="K100">
        <v>0.32405746257966001</v>
      </c>
      <c r="L100">
        <v>0.140255057005652</v>
      </c>
      <c r="M100">
        <v>0.30514813224151499</v>
      </c>
      <c r="N100">
        <v>0.178383618727914</v>
      </c>
      <c r="O100">
        <v>0.37622130596936698</v>
      </c>
      <c r="P100">
        <v>0.12272641727231801</v>
      </c>
    </row>
    <row r="101" spans="1:16" x14ac:dyDescent="0.3">
      <c r="A101" t="s">
        <v>46</v>
      </c>
      <c r="B101" t="s">
        <v>63</v>
      </c>
      <c r="C101" t="s">
        <v>53</v>
      </c>
      <c r="D101" t="s">
        <v>56</v>
      </c>
      <c r="E101" t="s">
        <v>49</v>
      </c>
      <c r="F101" t="s">
        <v>50</v>
      </c>
      <c r="G101" t="s">
        <v>51</v>
      </c>
      <c r="H101" t="s">
        <v>2</v>
      </c>
      <c r="I101">
        <v>0.63381975801336399</v>
      </c>
      <c r="J101">
        <v>0.131040477373255</v>
      </c>
      <c r="K101">
        <v>0.30646577544521603</v>
      </c>
      <c r="L101">
        <v>0.13161702255955501</v>
      </c>
      <c r="M101">
        <v>0.28299495855115397</v>
      </c>
      <c r="N101">
        <v>0.147268338972605</v>
      </c>
      <c r="O101">
        <v>0.35091890722305602</v>
      </c>
      <c r="P101">
        <v>0.120459107140768</v>
      </c>
    </row>
    <row r="102" spans="1:16" x14ac:dyDescent="0.3">
      <c r="A102" t="s">
        <v>46</v>
      </c>
      <c r="B102" t="s">
        <v>63</v>
      </c>
      <c r="C102" t="s">
        <v>53</v>
      </c>
      <c r="D102" t="s">
        <v>56</v>
      </c>
      <c r="E102" t="s">
        <v>49</v>
      </c>
      <c r="F102" t="s">
        <v>54</v>
      </c>
      <c r="G102" t="s">
        <v>51</v>
      </c>
      <c r="H102" t="s">
        <v>3</v>
      </c>
      <c r="I102">
        <v>0.60527543180250698</v>
      </c>
      <c r="J102">
        <v>0.15491990853926901</v>
      </c>
      <c r="K102">
        <v>0.31232159575212398</v>
      </c>
      <c r="L102">
        <v>9.4110504518298804E-2</v>
      </c>
      <c r="M102">
        <v>0.33434601746936499</v>
      </c>
      <c r="N102">
        <v>0.154828632413295</v>
      </c>
      <c r="O102">
        <v>0.36694300039802502</v>
      </c>
      <c r="P102">
        <v>8.9662381154668902E-2</v>
      </c>
    </row>
    <row r="103" spans="1:16" x14ac:dyDescent="0.3">
      <c r="A103" t="s">
        <v>46</v>
      </c>
      <c r="B103" t="s">
        <v>63</v>
      </c>
      <c r="C103" t="s">
        <v>53</v>
      </c>
      <c r="D103" t="s">
        <v>56</v>
      </c>
      <c r="E103" t="s">
        <v>49</v>
      </c>
      <c r="F103" t="s">
        <v>54</v>
      </c>
      <c r="G103" t="s">
        <v>51</v>
      </c>
      <c r="H103" t="s">
        <v>4</v>
      </c>
      <c r="I103">
        <v>0.59132641297807798</v>
      </c>
      <c r="J103">
        <v>0.152651382615764</v>
      </c>
      <c r="K103">
        <v>0.30901988757079402</v>
      </c>
      <c r="L103">
        <v>8.2385213655060893E-2</v>
      </c>
      <c r="M103">
        <v>0.31321932386475698</v>
      </c>
      <c r="N103">
        <v>0.119476704751962</v>
      </c>
      <c r="O103">
        <v>0.35894871175304999</v>
      </c>
      <c r="P103">
        <v>7.9180888694060703E-2</v>
      </c>
    </row>
    <row r="104" spans="1:16" x14ac:dyDescent="0.3">
      <c r="A104" t="s">
        <v>46</v>
      </c>
      <c r="B104" t="s">
        <v>63</v>
      </c>
      <c r="C104" t="s">
        <v>53</v>
      </c>
      <c r="D104" t="s">
        <v>56</v>
      </c>
      <c r="E104" t="s">
        <v>49</v>
      </c>
      <c r="F104" t="s">
        <v>54</v>
      </c>
      <c r="G104" t="s">
        <v>51</v>
      </c>
      <c r="H104" t="s">
        <v>2</v>
      </c>
      <c r="I104">
        <v>0.55851432566189296</v>
      </c>
      <c r="J104">
        <v>0.15200752143256399</v>
      </c>
      <c r="K104">
        <v>0.30793240870516603</v>
      </c>
      <c r="L104">
        <v>9.09188616819009E-2</v>
      </c>
      <c r="M104">
        <v>0.32143952544287302</v>
      </c>
      <c r="N104">
        <v>0.11815776171342</v>
      </c>
      <c r="O104">
        <v>0.34460796658383402</v>
      </c>
      <c r="P104">
        <v>8.7482854544713995E-2</v>
      </c>
    </row>
    <row r="105" spans="1:16" x14ac:dyDescent="0.3">
      <c r="A105" t="s">
        <v>46</v>
      </c>
      <c r="B105" t="s">
        <v>63</v>
      </c>
      <c r="C105" t="s">
        <v>53</v>
      </c>
      <c r="D105" t="s">
        <v>56</v>
      </c>
      <c r="E105" t="s">
        <v>49</v>
      </c>
      <c r="F105" t="s">
        <v>54</v>
      </c>
      <c r="G105" t="s">
        <v>51</v>
      </c>
      <c r="H105" t="s">
        <v>5</v>
      </c>
      <c r="I105">
        <v>0.53474098832551398</v>
      </c>
      <c r="J105">
        <v>0.13112360880565199</v>
      </c>
      <c r="K105">
        <v>0.29519186959555999</v>
      </c>
      <c r="L105">
        <v>6.4520437695181898E-2</v>
      </c>
      <c r="M105">
        <v>0.31661846378279601</v>
      </c>
      <c r="N105">
        <v>9.3995797666528699E-2</v>
      </c>
      <c r="O105">
        <v>0.31473742068871302</v>
      </c>
      <c r="P105">
        <v>6.1833457374664898E-2</v>
      </c>
    </row>
    <row r="106" spans="1:16" x14ac:dyDescent="0.3">
      <c r="A106" t="s">
        <v>46</v>
      </c>
      <c r="B106" t="s">
        <v>63</v>
      </c>
      <c r="C106" t="s">
        <v>53</v>
      </c>
      <c r="D106" t="s">
        <v>56</v>
      </c>
      <c r="E106" t="s">
        <v>59</v>
      </c>
      <c r="F106" t="s">
        <v>50</v>
      </c>
      <c r="G106" t="s">
        <v>51</v>
      </c>
      <c r="H106" t="s">
        <v>5</v>
      </c>
      <c r="I106">
        <v>0.35269463558577202</v>
      </c>
      <c r="J106">
        <v>0.14317340068593701</v>
      </c>
      <c r="K106">
        <v>0.25041245580579702</v>
      </c>
      <c r="L106">
        <v>0.104791194076734</v>
      </c>
      <c r="M106">
        <v>0.33297272279830398</v>
      </c>
      <c r="N106">
        <v>0.11921465048852301</v>
      </c>
      <c r="O106">
        <v>0.26099454574326703</v>
      </c>
      <c r="P106">
        <v>0.137131914453061</v>
      </c>
    </row>
    <row r="107" spans="1:16" x14ac:dyDescent="0.3">
      <c r="A107" t="s">
        <v>46</v>
      </c>
      <c r="B107" t="s">
        <v>63</v>
      </c>
      <c r="C107" t="s">
        <v>53</v>
      </c>
      <c r="D107" t="s">
        <v>56</v>
      </c>
      <c r="E107" t="s">
        <v>59</v>
      </c>
      <c r="F107" t="s">
        <v>50</v>
      </c>
      <c r="G107" t="s">
        <v>51</v>
      </c>
      <c r="H107" t="s">
        <v>2</v>
      </c>
      <c r="I107">
        <v>0.34583644759413301</v>
      </c>
      <c r="J107">
        <v>0.14457026908409301</v>
      </c>
      <c r="K107">
        <v>0.237155377180573</v>
      </c>
      <c r="L107">
        <v>0.113252871476597</v>
      </c>
      <c r="M107">
        <v>0.29411222632296802</v>
      </c>
      <c r="N107">
        <v>0.15341434658334399</v>
      </c>
      <c r="O107">
        <v>0.262441839692721</v>
      </c>
      <c r="P107">
        <v>0.132699976672988</v>
      </c>
    </row>
    <row r="108" spans="1:16" x14ac:dyDescent="0.3">
      <c r="A108" t="s">
        <v>46</v>
      </c>
      <c r="B108" t="s">
        <v>63</v>
      </c>
      <c r="C108" t="s">
        <v>53</v>
      </c>
      <c r="D108" t="s">
        <v>56</v>
      </c>
      <c r="E108" t="s">
        <v>59</v>
      </c>
      <c r="F108" t="s">
        <v>50</v>
      </c>
      <c r="G108" t="s">
        <v>51</v>
      </c>
      <c r="H108" t="s">
        <v>4</v>
      </c>
      <c r="I108">
        <v>0.36133903785912502</v>
      </c>
      <c r="J108">
        <v>0.172741442491226</v>
      </c>
      <c r="K108">
        <v>0.230943830824626</v>
      </c>
      <c r="L108">
        <v>0.115309448202173</v>
      </c>
      <c r="M108">
        <v>0.266922518832303</v>
      </c>
      <c r="N108">
        <v>0.161197427285865</v>
      </c>
      <c r="O108">
        <v>0.29001040021316798</v>
      </c>
      <c r="P108">
        <v>0.135991272033338</v>
      </c>
    </row>
    <row r="109" spans="1:16" x14ac:dyDescent="0.3">
      <c r="A109" t="s">
        <v>46</v>
      </c>
      <c r="B109" t="s">
        <v>63</v>
      </c>
      <c r="C109" t="s">
        <v>53</v>
      </c>
      <c r="D109" t="s">
        <v>56</v>
      </c>
      <c r="E109" t="s">
        <v>59</v>
      </c>
      <c r="F109" t="s">
        <v>50</v>
      </c>
      <c r="G109" t="s">
        <v>51</v>
      </c>
      <c r="H109" t="s">
        <v>3</v>
      </c>
      <c r="I109">
        <v>0.34527902348209699</v>
      </c>
      <c r="J109">
        <v>0.19386993496139801</v>
      </c>
      <c r="K109">
        <v>0.22948569654208201</v>
      </c>
      <c r="L109">
        <v>0.138143187499364</v>
      </c>
      <c r="M109">
        <v>0.263677784284019</v>
      </c>
      <c r="N109">
        <v>0.17204198125616099</v>
      </c>
      <c r="O109">
        <v>0.298998309761773</v>
      </c>
      <c r="P109">
        <v>0.15959592378859799</v>
      </c>
    </row>
    <row r="110" spans="1:16" x14ac:dyDescent="0.3">
      <c r="A110" t="s">
        <v>46</v>
      </c>
      <c r="B110" t="s">
        <v>63</v>
      </c>
      <c r="C110" t="s">
        <v>53</v>
      </c>
      <c r="D110" t="s">
        <v>56</v>
      </c>
      <c r="E110" t="s">
        <v>59</v>
      </c>
      <c r="F110" t="s">
        <v>54</v>
      </c>
      <c r="G110" t="s">
        <v>51</v>
      </c>
      <c r="H110" t="s">
        <v>4</v>
      </c>
      <c r="I110">
        <v>0.49641556465664599</v>
      </c>
      <c r="J110">
        <v>0.21606505576879301</v>
      </c>
      <c r="K110">
        <v>0.30420499827722403</v>
      </c>
      <c r="L110">
        <v>0.159159782990937</v>
      </c>
      <c r="M110">
        <v>0.32253551912885797</v>
      </c>
      <c r="N110">
        <v>0.17458960453911099</v>
      </c>
      <c r="O110">
        <v>0.37742483712776798</v>
      </c>
      <c r="P110">
        <v>0.15268285659677</v>
      </c>
    </row>
    <row r="111" spans="1:16" x14ac:dyDescent="0.3">
      <c r="A111" t="s">
        <v>46</v>
      </c>
      <c r="B111" t="s">
        <v>63</v>
      </c>
      <c r="C111" t="s">
        <v>53</v>
      </c>
      <c r="D111" t="s">
        <v>56</v>
      </c>
      <c r="E111" t="s">
        <v>59</v>
      </c>
      <c r="F111" t="s">
        <v>54</v>
      </c>
      <c r="G111" t="s">
        <v>51</v>
      </c>
      <c r="H111" t="s">
        <v>2</v>
      </c>
      <c r="I111">
        <v>0.45310490033144202</v>
      </c>
      <c r="J111">
        <v>0.191917297961019</v>
      </c>
      <c r="K111">
        <v>0.29722836346485898</v>
      </c>
      <c r="L111">
        <v>0.12554866528245101</v>
      </c>
      <c r="M111">
        <v>0.354691244733019</v>
      </c>
      <c r="N111">
        <v>0.150171352398387</v>
      </c>
      <c r="O111">
        <v>0.32905556204514902</v>
      </c>
      <c r="P111">
        <v>0.12724991510463701</v>
      </c>
    </row>
    <row r="112" spans="1:16" x14ac:dyDescent="0.3">
      <c r="A112" t="s">
        <v>46</v>
      </c>
      <c r="B112" t="s">
        <v>63</v>
      </c>
      <c r="C112" t="s">
        <v>53</v>
      </c>
      <c r="D112" t="s">
        <v>56</v>
      </c>
      <c r="E112" t="s">
        <v>59</v>
      </c>
      <c r="F112" t="s">
        <v>54</v>
      </c>
      <c r="G112" t="s">
        <v>51</v>
      </c>
      <c r="H112" t="s">
        <v>3</v>
      </c>
      <c r="I112">
        <v>0.46659710326217202</v>
      </c>
      <c r="J112">
        <v>0.18633338984084699</v>
      </c>
      <c r="K112">
        <v>0.292516119301588</v>
      </c>
      <c r="L112">
        <v>0.114672721499848</v>
      </c>
      <c r="M112">
        <v>0.33920377281008202</v>
      </c>
      <c r="N112">
        <v>0.154461353643948</v>
      </c>
      <c r="O112">
        <v>0.36267547476658901</v>
      </c>
      <c r="P112">
        <v>0.112352782131556</v>
      </c>
    </row>
    <row r="113" spans="1:16" x14ac:dyDescent="0.3">
      <c r="A113" t="s">
        <v>46</v>
      </c>
      <c r="B113" t="s">
        <v>63</v>
      </c>
      <c r="C113" t="s">
        <v>53</v>
      </c>
      <c r="D113" t="s">
        <v>56</v>
      </c>
      <c r="E113" t="s">
        <v>59</v>
      </c>
      <c r="F113" t="s">
        <v>54</v>
      </c>
      <c r="G113" t="s">
        <v>51</v>
      </c>
      <c r="H113" t="s">
        <v>5</v>
      </c>
      <c r="I113">
        <v>0.44555805053457198</v>
      </c>
      <c r="J113">
        <v>0.17514829321650199</v>
      </c>
      <c r="K113">
        <v>0.28379181453812502</v>
      </c>
      <c r="L113">
        <v>0.10132256499850199</v>
      </c>
      <c r="M113">
        <v>0.32219283512436198</v>
      </c>
      <c r="N113">
        <v>0.10109251156667499</v>
      </c>
      <c r="O113">
        <v>0.30851147480284702</v>
      </c>
      <c r="P113">
        <v>0.101566309638125</v>
      </c>
    </row>
    <row r="114" spans="1:16" x14ac:dyDescent="0.3">
      <c r="A114" t="s">
        <v>46</v>
      </c>
      <c r="B114" t="s">
        <v>52</v>
      </c>
      <c r="C114" t="s">
        <v>47</v>
      </c>
      <c r="D114" t="s">
        <v>48</v>
      </c>
      <c r="E114" t="s">
        <v>49</v>
      </c>
      <c r="F114" t="s">
        <v>50</v>
      </c>
      <c r="G114" t="s">
        <v>51</v>
      </c>
      <c r="H114" t="s">
        <v>5</v>
      </c>
      <c r="I114">
        <v>0.56339977851605705</v>
      </c>
      <c r="J114">
        <v>0.169824943180375</v>
      </c>
      <c r="K114">
        <v>0.53201578782974102</v>
      </c>
      <c r="L114">
        <v>0.17949108446415499</v>
      </c>
      <c r="M114">
        <v>0.56738648947951198</v>
      </c>
      <c r="N114">
        <v>0.19478720243616199</v>
      </c>
      <c r="O114">
        <v>0.57165005537098501</v>
      </c>
      <c r="P114">
        <v>0.17663872072991199</v>
      </c>
    </row>
    <row r="115" spans="1:16" x14ac:dyDescent="0.3">
      <c r="A115" t="s">
        <v>46</v>
      </c>
      <c r="B115" t="s">
        <v>52</v>
      </c>
      <c r="C115" t="s">
        <v>47</v>
      </c>
      <c r="D115" t="s">
        <v>48</v>
      </c>
      <c r="E115" t="s">
        <v>49</v>
      </c>
      <c r="F115" t="s">
        <v>50</v>
      </c>
      <c r="G115" t="s">
        <v>51</v>
      </c>
      <c r="H115" t="s">
        <v>3</v>
      </c>
      <c r="I115">
        <v>0.55107973421926904</v>
      </c>
      <c r="J115">
        <v>0.18176469583879601</v>
      </c>
      <c r="K115">
        <v>0.51825816302560401</v>
      </c>
      <c r="L115">
        <v>0.18378414807746701</v>
      </c>
      <c r="M115">
        <v>0.54551495016611296</v>
      </c>
      <c r="N115">
        <v>0.192554045420296</v>
      </c>
      <c r="O115">
        <v>0.54626245847176003</v>
      </c>
      <c r="P115">
        <v>0.18344109196578401</v>
      </c>
    </row>
    <row r="116" spans="1:16" x14ac:dyDescent="0.3">
      <c r="A116" t="s">
        <v>46</v>
      </c>
      <c r="B116" t="s">
        <v>52</v>
      </c>
      <c r="C116" t="s">
        <v>47</v>
      </c>
      <c r="D116" t="s">
        <v>48</v>
      </c>
      <c r="E116" t="s">
        <v>49</v>
      </c>
      <c r="F116" t="s">
        <v>50</v>
      </c>
      <c r="G116" t="s">
        <v>51</v>
      </c>
      <c r="H116" t="s">
        <v>2</v>
      </c>
      <c r="I116">
        <v>0.54692691029900298</v>
      </c>
      <c r="J116">
        <v>0.17218751815049699</v>
      </c>
      <c r="K116">
        <v>0.50137511067743601</v>
      </c>
      <c r="L116">
        <v>0.19068044721267199</v>
      </c>
      <c r="M116">
        <v>0.53193521594684301</v>
      </c>
      <c r="N116">
        <v>0.22021927143078801</v>
      </c>
      <c r="O116">
        <v>0.55739202657807296</v>
      </c>
      <c r="P116">
        <v>0.17805491155983699</v>
      </c>
    </row>
    <row r="117" spans="1:16" x14ac:dyDescent="0.3">
      <c r="A117" t="s">
        <v>46</v>
      </c>
      <c r="B117" t="s">
        <v>52</v>
      </c>
      <c r="C117" t="s">
        <v>47</v>
      </c>
      <c r="D117" t="s">
        <v>48</v>
      </c>
      <c r="E117" t="s">
        <v>49</v>
      </c>
      <c r="F117" t="s">
        <v>50</v>
      </c>
      <c r="G117" t="s">
        <v>51</v>
      </c>
      <c r="H117" t="s">
        <v>4</v>
      </c>
      <c r="I117">
        <v>0.54457364341085202</v>
      </c>
      <c r="J117">
        <v>0.18379393433780999</v>
      </c>
      <c r="K117">
        <v>0.49169686902245002</v>
      </c>
      <c r="L117">
        <v>0.192677970330807</v>
      </c>
      <c r="M117">
        <v>0.51381506090808404</v>
      </c>
      <c r="N117">
        <v>0.22656903385309099</v>
      </c>
      <c r="O117">
        <v>0.53607419712070803</v>
      </c>
      <c r="P117">
        <v>0.183897059212766</v>
      </c>
    </row>
    <row r="118" spans="1:16" x14ac:dyDescent="0.3">
      <c r="A118" t="s">
        <v>46</v>
      </c>
      <c r="B118" t="s">
        <v>52</v>
      </c>
      <c r="C118" t="s">
        <v>47</v>
      </c>
      <c r="D118" t="s">
        <v>48</v>
      </c>
      <c r="E118" t="s">
        <v>49</v>
      </c>
      <c r="F118" t="s">
        <v>50</v>
      </c>
      <c r="G118" t="s">
        <v>55</v>
      </c>
      <c r="H118" t="s">
        <v>3</v>
      </c>
      <c r="I118">
        <v>0.54831118493909103</v>
      </c>
      <c r="J118">
        <v>0.201394120752136</v>
      </c>
      <c r="K118">
        <v>0.51252855671460296</v>
      </c>
      <c r="L118">
        <v>0.20184964205675901</v>
      </c>
      <c r="M118">
        <v>0.53491140642303403</v>
      </c>
      <c r="N118">
        <v>0.210261206640248</v>
      </c>
      <c r="O118">
        <v>0.54363233665559196</v>
      </c>
      <c r="P118">
        <v>0.203640611721603</v>
      </c>
    </row>
    <row r="119" spans="1:16" x14ac:dyDescent="0.3">
      <c r="A119" t="s">
        <v>46</v>
      </c>
      <c r="B119" t="s">
        <v>52</v>
      </c>
      <c r="C119" t="s">
        <v>47</v>
      </c>
      <c r="D119" t="s">
        <v>48</v>
      </c>
      <c r="E119" t="s">
        <v>49</v>
      </c>
      <c r="F119" t="s">
        <v>50</v>
      </c>
      <c r="G119" t="s">
        <v>55</v>
      </c>
      <c r="H119" t="s">
        <v>5</v>
      </c>
      <c r="I119">
        <v>0.54692691029900298</v>
      </c>
      <c r="J119">
        <v>0.17840620495085699</v>
      </c>
      <c r="K119">
        <v>0.50891769728978997</v>
      </c>
      <c r="L119">
        <v>0.18683665724614501</v>
      </c>
      <c r="M119">
        <v>0.54559800664451796</v>
      </c>
      <c r="N119">
        <v>0.213163131732688</v>
      </c>
      <c r="O119">
        <v>0.54800664451827197</v>
      </c>
      <c r="P119">
        <v>0.18794233116023701</v>
      </c>
    </row>
    <row r="120" spans="1:16" x14ac:dyDescent="0.3">
      <c r="A120" t="s">
        <v>46</v>
      </c>
      <c r="B120" t="s">
        <v>52</v>
      </c>
      <c r="C120" t="s">
        <v>47</v>
      </c>
      <c r="D120" t="s">
        <v>48</v>
      </c>
      <c r="E120" t="s">
        <v>49</v>
      </c>
      <c r="F120" t="s">
        <v>50</v>
      </c>
      <c r="G120" t="s">
        <v>55</v>
      </c>
      <c r="H120" t="s">
        <v>4</v>
      </c>
      <c r="I120">
        <v>0.55454042081948995</v>
      </c>
      <c r="J120">
        <v>0.18878562755491701</v>
      </c>
      <c r="K120">
        <v>0.50138846941172499</v>
      </c>
      <c r="L120">
        <v>0.19717365416371699</v>
      </c>
      <c r="M120">
        <v>0.52441860465116197</v>
      </c>
      <c r="N120">
        <v>0.227396008165661</v>
      </c>
      <c r="O120">
        <v>0.54847729789590205</v>
      </c>
      <c r="P120">
        <v>0.18687792543181</v>
      </c>
    </row>
    <row r="121" spans="1:16" x14ac:dyDescent="0.3">
      <c r="A121" t="s">
        <v>46</v>
      </c>
      <c r="B121" t="s">
        <v>52</v>
      </c>
      <c r="C121" t="s">
        <v>47</v>
      </c>
      <c r="D121" t="s">
        <v>48</v>
      </c>
      <c r="E121" t="s">
        <v>49</v>
      </c>
      <c r="F121" t="s">
        <v>50</v>
      </c>
      <c r="G121" t="s">
        <v>55</v>
      </c>
      <c r="H121" t="s">
        <v>2</v>
      </c>
      <c r="I121">
        <v>0.53419158361018804</v>
      </c>
      <c r="J121">
        <v>0.19758540948106601</v>
      </c>
      <c r="K121">
        <v>0.487228598275109</v>
      </c>
      <c r="L121">
        <v>0.218326719329377</v>
      </c>
      <c r="M121">
        <v>0.50412513842746398</v>
      </c>
      <c r="N121">
        <v>0.251656053081797</v>
      </c>
      <c r="O121">
        <v>0.53576965669988896</v>
      </c>
      <c r="P121">
        <v>0.20613257045108899</v>
      </c>
    </row>
    <row r="122" spans="1:16" x14ac:dyDescent="0.3">
      <c r="A122" t="s">
        <v>46</v>
      </c>
      <c r="B122" t="s">
        <v>52</v>
      </c>
      <c r="C122" t="s">
        <v>47</v>
      </c>
      <c r="D122" t="s">
        <v>48</v>
      </c>
      <c r="E122" t="s">
        <v>49</v>
      </c>
      <c r="F122" t="s">
        <v>54</v>
      </c>
      <c r="G122" t="s">
        <v>51</v>
      </c>
      <c r="H122" t="s">
        <v>2</v>
      </c>
      <c r="I122">
        <v>0.66156330749353998</v>
      </c>
      <c r="J122">
        <v>0.14817282472308799</v>
      </c>
      <c r="K122">
        <v>0.61033579963128504</v>
      </c>
      <c r="L122">
        <v>0.14630506816746799</v>
      </c>
      <c r="M122">
        <v>0.66025747508305599</v>
      </c>
      <c r="N122">
        <v>0.16924712463725</v>
      </c>
      <c r="O122">
        <v>0.63056478405315597</v>
      </c>
      <c r="P122">
        <v>0.14403331132787101</v>
      </c>
    </row>
    <row r="123" spans="1:16" x14ac:dyDescent="0.3">
      <c r="A123" t="s">
        <v>46</v>
      </c>
      <c r="B123" t="s">
        <v>52</v>
      </c>
      <c r="C123" t="s">
        <v>47</v>
      </c>
      <c r="D123" t="s">
        <v>48</v>
      </c>
      <c r="E123" t="s">
        <v>49</v>
      </c>
      <c r="F123" t="s">
        <v>54</v>
      </c>
      <c r="G123" t="s">
        <v>51</v>
      </c>
      <c r="H123" t="s">
        <v>4</v>
      </c>
      <c r="I123">
        <v>0.66854005167958597</v>
      </c>
      <c r="J123">
        <v>0.159580991295597</v>
      </c>
      <c r="K123">
        <v>0.59039795323995004</v>
      </c>
      <c r="L123">
        <v>0.17175271822740401</v>
      </c>
      <c r="M123">
        <v>0.66448412698412596</v>
      </c>
      <c r="N123">
        <v>0.216921070035824</v>
      </c>
      <c r="O123">
        <v>0.63120155038759596</v>
      </c>
      <c r="P123">
        <v>0.14682403183086901</v>
      </c>
    </row>
    <row r="124" spans="1:16" x14ac:dyDescent="0.3">
      <c r="A124" t="s">
        <v>46</v>
      </c>
      <c r="B124" t="s">
        <v>52</v>
      </c>
      <c r="C124" t="s">
        <v>47</v>
      </c>
      <c r="D124" t="s">
        <v>48</v>
      </c>
      <c r="E124" t="s">
        <v>49</v>
      </c>
      <c r="F124" t="s">
        <v>54</v>
      </c>
      <c r="G124" t="s">
        <v>51</v>
      </c>
      <c r="H124" t="s">
        <v>3</v>
      </c>
      <c r="I124">
        <v>0.62810077519379803</v>
      </c>
      <c r="J124">
        <v>0.184280508095826</v>
      </c>
      <c r="K124">
        <v>0.57868353716506904</v>
      </c>
      <c r="L124">
        <v>0.18216170411837401</v>
      </c>
      <c r="M124">
        <v>0.61791712809154598</v>
      </c>
      <c r="N124">
        <v>0.21075870962096199</v>
      </c>
      <c r="O124">
        <v>0.60669988925802798</v>
      </c>
      <c r="P124">
        <v>0.17566568556177301</v>
      </c>
    </row>
    <row r="125" spans="1:16" x14ac:dyDescent="0.3">
      <c r="A125" t="s">
        <v>46</v>
      </c>
      <c r="B125" t="s">
        <v>52</v>
      </c>
      <c r="C125" t="s">
        <v>47</v>
      </c>
      <c r="D125" t="s">
        <v>48</v>
      </c>
      <c r="E125" t="s">
        <v>49</v>
      </c>
      <c r="F125" t="s">
        <v>54</v>
      </c>
      <c r="G125" t="s">
        <v>51</v>
      </c>
      <c r="H125" t="s">
        <v>5</v>
      </c>
      <c r="I125">
        <v>0.61195090439276401</v>
      </c>
      <c r="J125">
        <v>0.15458646882430899</v>
      </c>
      <c r="K125">
        <v>0.57025368042809899</v>
      </c>
      <c r="L125">
        <v>0.16511044014764001</v>
      </c>
      <c r="M125">
        <v>0.60148578811369502</v>
      </c>
      <c r="N125">
        <v>0.178020896634276</v>
      </c>
      <c r="O125">
        <v>0.60232558139534798</v>
      </c>
      <c r="P125">
        <v>0.15949983156606101</v>
      </c>
    </row>
    <row r="126" spans="1:16" x14ac:dyDescent="0.3">
      <c r="A126" t="s">
        <v>46</v>
      </c>
      <c r="B126" t="s">
        <v>52</v>
      </c>
      <c r="C126" t="s">
        <v>47</v>
      </c>
      <c r="D126" t="s">
        <v>48</v>
      </c>
      <c r="E126" t="s">
        <v>59</v>
      </c>
      <c r="F126" t="s">
        <v>50</v>
      </c>
      <c r="G126" t="s">
        <v>51</v>
      </c>
      <c r="H126" t="s">
        <v>4</v>
      </c>
      <c r="I126">
        <v>0.56436877076411895</v>
      </c>
      <c r="J126">
        <v>0.27343688776821301</v>
      </c>
      <c r="K126">
        <v>0.42247332770588503</v>
      </c>
      <c r="L126">
        <v>0.22980778751315201</v>
      </c>
      <c r="M126">
        <v>0.47660575858250198</v>
      </c>
      <c r="N126">
        <v>0.24462224489274201</v>
      </c>
      <c r="O126">
        <v>0.48532668881506003</v>
      </c>
      <c r="P126">
        <v>0.236317870584384</v>
      </c>
    </row>
    <row r="127" spans="1:16" x14ac:dyDescent="0.3">
      <c r="A127" t="s">
        <v>46</v>
      </c>
      <c r="B127" t="s">
        <v>52</v>
      </c>
      <c r="C127" t="s">
        <v>47</v>
      </c>
      <c r="D127" t="s">
        <v>48</v>
      </c>
      <c r="E127" t="s">
        <v>59</v>
      </c>
      <c r="F127" t="s">
        <v>50</v>
      </c>
      <c r="G127" t="s">
        <v>51</v>
      </c>
      <c r="H127" t="s">
        <v>3</v>
      </c>
      <c r="I127">
        <v>0.55329457364340995</v>
      </c>
      <c r="J127">
        <v>0.25404739813562199</v>
      </c>
      <c r="K127">
        <v>0.419251097739469</v>
      </c>
      <c r="L127">
        <v>0.215963932269463</v>
      </c>
      <c r="M127">
        <v>0.48002491694352101</v>
      </c>
      <c r="N127">
        <v>0.22478171713792899</v>
      </c>
      <c r="O127">
        <v>0.470736434108527</v>
      </c>
      <c r="P127">
        <v>0.233195392328859</v>
      </c>
    </row>
    <row r="128" spans="1:16" x14ac:dyDescent="0.3">
      <c r="A128" t="s">
        <v>46</v>
      </c>
      <c r="B128" t="s">
        <v>52</v>
      </c>
      <c r="C128" t="s">
        <v>47</v>
      </c>
      <c r="D128" t="s">
        <v>48</v>
      </c>
      <c r="E128" t="s">
        <v>59</v>
      </c>
      <c r="F128" t="s">
        <v>50</v>
      </c>
      <c r="G128" t="s">
        <v>51</v>
      </c>
      <c r="H128" t="s">
        <v>5</v>
      </c>
      <c r="I128">
        <v>0.54761904761904701</v>
      </c>
      <c r="J128">
        <v>0.20005091505054701</v>
      </c>
      <c r="K128">
        <v>0.41461071228513002</v>
      </c>
      <c r="L128">
        <v>0.17227188241479799</v>
      </c>
      <c r="M128">
        <v>0.485077519379844</v>
      </c>
      <c r="N128">
        <v>0.169507381905668</v>
      </c>
      <c r="O128">
        <v>0.43929955703211498</v>
      </c>
      <c r="P128">
        <v>0.19573876699877399</v>
      </c>
    </row>
    <row r="129" spans="1:16" x14ac:dyDescent="0.3">
      <c r="A129" t="s">
        <v>46</v>
      </c>
      <c r="B129" t="s">
        <v>52</v>
      </c>
      <c r="C129" t="s">
        <v>47</v>
      </c>
      <c r="D129" t="s">
        <v>48</v>
      </c>
      <c r="E129" t="s">
        <v>59</v>
      </c>
      <c r="F129" t="s">
        <v>50</v>
      </c>
      <c r="G129" t="s">
        <v>51</v>
      </c>
      <c r="H129" t="s">
        <v>2</v>
      </c>
      <c r="I129">
        <v>0.49349390919158298</v>
      </c>
      <c r="J129">
        <v>0.22696439681741301</v>
      </c>
      <c r="K129">
        <v>0.36580054312612398</v>
      </c>
      <c r="L129">
        <v>0.16048261112988399</v>
      </c>
      <c r="M129">
        <v>0.44187430786267901</v>
      </c>
      <c r="N129">
        <v>0.17171119593063999</v>
      </c>
      <c r="O129">
        <v>0.401716500553709</v>
      </c>
      <c r="P129">
        <v>0.203150863116528</v>
      </c>
    </row>
    <row r="130" spans="1:16" x14ac:dyDescent="0.3">
      <c r="A130" t="s">
        <v>46</v>
      </c>
      <c r="B130" t="s">
        <v>52</v>
      </c>
      <c r="C130" t="s">
        <v>47</v>
      </c>
      <c r="D130" t="s">
        <v>48</v>
      </c>
      <c r="E130" t="s">
        <v>59</v>
      </c>
      <c r="F130" t="s">
        <v>50</v>
      </c>
      <c r="G130" t="s">
        <v>55</v>
      </c>
      <c r="H130" t="s">
        <v>5</v>
      </c>
      <c r="I130">
        <v>0.56076965669988899</v>
      </c>
      <c r="J130">
        <v>0.22270496762081399</v>
      </c>
      <c r="K130">
        <v>0.42587773983122801</v>
      </c>
      <c r="L130">
        <v>0.19079847748883999</v>
      </c>
      <c r="M130">
        <v>0.48806755260243601</v>
      </c>
      <c r="N130">
        <v>0.17156698884056101</v>
      </c>
      <c r="O130">
        <v>0.44519656699889198</v>
      </c>
      <c r="P130">
        <v>0.21417091930038201</v>
      </c>
    </row>
    <row r="131" spans="1:16" x14ac:dyDescent="0.3">
      <c r="A131" t="s">
        <v>46</v>
      </c>
      <c r="B131" t="s">
        <v>52</v>
      </c>
      <c r="C131" t="s">
        <v>47</v>
      </c>
      <c r="D131" t="s">
        <v>48</v>
      </c>
      <c r="E131" t="s">
        <v>59</v>
      </c>
      <c r="F131" t="s">
        <v>50</v>
      </c>
      <c r="G131" t="s">
        <v>55</v>
      </c>
      <c r="H131" t="s">
        <v>3</v>
      </c>
      <c r="I131">
        <v>0.57156699889258</v>
      </c>
      <c r="J131">
        <v>0.23957007358288801</v>
      </c>
      <c r="K131">
        <v>0.41909092199789799</v>
      </c>
      <c r="L131">
        <v>0.196075587340996</v>
      </c>
      <c r="M131">
        <v>0.48024640088593501</v>
      </c>
      <c r="N131">
        <v>0.21023802060850999</v>
      </c>
      <c r="O131">
        <v>0.47264673311184902</v>
      </c>
      <c r="P131">
        <v>0.216046046938565</v>
      </c>
    </row>
    <row r="132" spans="1:16" x14ac:dyDescent="0.3">
      <c r="A132" t="s">
        <v>46</v>
      </c>
      <c r="B132" t="s">
        <v>52</v>
      </c>
      <c r="C132" t="s">
        <v>47</v>
      </c>
      <c r="D132" t="s">
        <v>48</v>
      </c>
      <c r="E132" t="s">
        <v>59</v>
      </c>
      <c r="F132" t="s">
        <v>50</v>
      </c>
      <c r="G132" t="s">
        <v>55</v>
      </c>
      <c r="H132" t="s">
        <v>4</v>
      </c>
      <c r="I132">
        <v>0.53419158361018804</v>
      </c>
      <c r="J132">
        <v>0.25621813003279797</v>
      </c>
      <c r="K132">
        <v>0.405470433958806</v>
      </c>
      <c r="L132">
        <v>0.21294011128427101</v>
      </c>
      <c r="M132">
        <v>0.47610741971206999</v>
      </c>
      <c r="N132">
        <v>0.213516853916497</v>
      </c>
      <c r="O132">
        <v>0.456173864894795</v>
      </c>
      <c r="P132">
        <v>0.230387205883226</v>
      </c>
    </row>
    <row r="133" spans="1:16" x14ac:dyDescent="0.3">
      <c r="A133" t="s">
        <v>46</v>
      </c>
      <c r="B133" t="s">
        <v>52</v>
      </c>
      <c r="C133" t="s">
        <v>47</v>
      </c>
      <c r="D133" t="s">
        <v>48</v>
      </c>
      <c r="E133" t="s">
        <v>59</v>
      </c>
      <c r="F133" t="s">
        <v>50</v>
      </c>
      <c r="G133" t="s">
        <v>55</v>
      </c>
      <c r="H133" t="s">
        <v>2</v>
      </c>
      <c r="I133">
        <v>0.49972314507198201</v>
      </c>
      <c r="J133">
        <v>0.22252136260709399</v>
      </c>
      <c r="K133">
        <v>0.371880509671207</v>
      </c>
      <c r="L133">
        <v>0.16362483650870399</v>
      </c>
      <c r="M133">
        <v>0.45160575858250201</v>
      </c>
      <c r="N133">
        <v>0.169237340257721</v>
      </c>
      <c r="O133">
        <v>0.40463732004429598</v>
      </c>
      <c r="P133">
        <v>0.208288697881749</v>
      </c>
    </row>
    <row r="134" spans="1:16" x14ac:dyDescent="0.3">
      <c r="A134" t="s">
        <v>46</v>
      </c>
      <c r="B134" t="s">
        <v>52</v>
      </c>
      <c r="C134" t="s">
        <v>47</v>
      </c>
      <c r="D134" t="s">
        <v>48</v>
      </c>
      <c r="E134" t="s">
        <v>59</v>
      </c>
      <c r="F134" t="s">
        <v>54</v>
      </c>
      <c r="G134" t="s">
        <v>51</v>
      </c>
      <c r="H134" t="s">
        <v>3</v>
      </c>
      <c r="I134">
        <v>0.64341085271317799</v>
      </c>
      <c r="J134">
        <v>0.21680495094808899</v>
      </c>
      <c r="K134">
        <v>0.50273006866894099</v>
      </c>
      <c r="L134">
        <v>0.223249933727244</v>
      </c>
      <c r="M134">
        <v>0.56329365079365001</v>
      </c>
      <c r="N134">
        <v>0.249493982287668</v>
      </c>
      <c r="O134">
        <v>0.56460409745293405</v>
      </c>
      <c r="P134">
        <v>0.21111733912556499</v>
      </c>
    </row>
    <row r="135" spans="1:16" x14ac:dyDescent="0.3">
      <c r="A135" t="s">
        <v>46</v>
      </c>
      <c r="B135" t="s">
        <v>52</v>
      </c>
      <c r="C135" t="s">
        <v>47</v>
      </c>
      <c r="D135" t="s">
        <v>48</v>
      </c>
      <c r="E135" t="s">
        <v>59</v>
      </c>
      <c r="F135" t="s">
        <v>54</v>
      </c>
      <c r="G135" t="s">
        <v>51</v>
      </c>
      <c r="H135" t="s">
        <v>4</v>
      </c>
      <c r="I135">
        <v>0.65775193798449605</v>
      </c>
      <c r="J135">
        <v>0.233318381257378</v>
      </c>
      <c r="K135">
        <v>0.458408270096476</v>
      </c>
      <c r="L135">
        <v>0.20494809673074499</v>
      </c>
      <c r="M135">
        <v>0.47160391288298198</v>
      </c>
      <c r="N135">
        <v>0.24343047341361701</v>
      </c>
      <c r="O135">
        <v>0.54555647840531496</v>
      </c>
      <c r="P135">
        <v>0.17286933046112901</v>
      </c>
    </row>
    <row r="136" spans="1:16" x14ac:dyDescent="0.3">
      <c r="A136" t="s">
        <v>46</v>
      </c>
      <c r="B136" t="s">
        <v>52</v>
      </c>
      <c r="C136" t="s">
        <v>47</v>
      </c>
      <c r="D136" t="s">
        <v>48</v>
      </c>
      <c r="E136" t="s">
        <v>59</v>
      </c>
      <c r="F136" t="s">
        <v>54</v>
      </c>
      <c r="G136" t="s">
        <v>51</v>
      </c>
      <c r="H136" t="s">
        <v>2</v>
      </c>
      <c r="I136">
        <v>0.59961240310077502</v>
      </c>
      <c r="J136">
        <v>0.204269653924084</v>
      </c>
      <c r="K136">
        <v>0.43706576311425399</v>
      </c>
      <c r="L136">
        <v>0.15751860834859899</v>
      </c>
      <c r="M136">
        <v>0.48005721668512302</v>
      </c>
      <c r="N136">
        <v>0.18123312827395999</v>
      </c>
      <c r="O136">
        <v>0.50554171280915405</v>
      </c>
      <c r="P136">
        <v>0.170744652940064</v>
      </c>
    </row>
    <row r="137" spans="1:16" x14ac:dyDescent="0.3">
      <c r="A137" t="s">
        <v>46</v>
      </c>
      <c r="B137" t="s">
        <v>52</v>
      </c>
      <c r="C137" t="s">
        <v>47</v>
      </c>
      <c r="D137" t="s">
        <v>48</v>
      </c>
      <c r="E137" t="s">
        <v>59</v>
      </c>
      <c r="F137" t="s">
        <v>54</v>
      </c>
      <c r="G137" t="s">
        <v>51</v>
      </c>
      <c r="H137" t="s">
        <v>5</v>
      </c>
      <c r="I137">
        <v>0.63275193798449603</v>
      </c>
      <c r="J137">
        <v>0.22262847083158799</v>
      </c>
      <c r="K137">
        <v>0.43507189115314199</v>
      </c>
      <c r="L137">
        <v>0.170197601365638</v>
      </c>
      <c r="M137">
        <v>0.482087486157253</v>
      </c>
      <c r="N137">
        <v>0.20514884688510299</v>
      </c>
      <c r="O137">
        <v>0.49134828349944598</v>
      </c>
      <c r="P137">
        <v>0.16027288287234601</v>
      </c>
    </row>
    <row r="138" spans="1:16" x14ac:dyDescent="0.3">
      <c r="A138" t="s">
        <v>46</v>
      </c>
      <c r="B138" t="s">
        <v>52</v>
      </c>
      <c r="C138" t="s">
        <v>47</v>
      </c>
      <c r="D138" t="s">
        <v>57</v>
      </c>
      <c r="E138" t="s">
        <v>49</v>
      </c>
      <c r="F138" t="s">
        <v>50</v>
      </c>
      <c r="G138" t="s">
        <v>51</v>
      </c>
      <c r="H138" t="s">
        <v>2</v>
      </c>
      <c r="I138">
        <v>0.88715490862929003</v>
      </c>
      <c r="J138">
        <v>0.19334404446462</v>
      </c>
      <c r="K138">
        <v>1.0683506093827</v>
      </c>
      <c r="L138">
        <v>0.21908344607805899</v>
      </c>
    </row>
    <row r="139" spans="1:16" x14ac:dyDescent="0.3">
      <c r="A139" t="s">
        <v>46</v>
      </c>
      <c r="B139" t="s">
        <v>52</v>
      </c>
      <c r="C139" t="s">
        <v>47</v>
      </c>
      <c r="D139" t="s">
        <v>57</v>
      </c>
      <c r="E139" t="s">
        <v>49</v>
      </c>
      <c r="F139" t="s">
        <v>50</v>
      </c>
      <c r="G139" t="s">
        <v>51</v>
      </c>
      <c r="H139" t="s">
        <v>4</v>
      </c>
      <c r="I139">
        <v>0.80751616463222897</v>
      </c>
      <c r="J139">
        <v>0.156505370606394</v>
      </c>
      <c r="K139">
        <v>0.96525384119957802</v>
      </c>
      <c r="L139">
        <v>0.17594190596075701</v>
      </c>
    </row>
    <row r="140" spans="1:16" x14ac:dyDescent="0.3">
      <c r="A140" t="s">
        <v>46</v>
      </c>
      <c r="B140" t="s">
        <v>52</v>
      </c>
      <c r="C140" t="s">
        <v>47</v>
      </c>
      <c r="D140" t="s">
        <v>57</v>
      </c>
      <c r="E140" t="s">
        <v>49</v>
      </c>
      <c r="F140" t="s">
        <v>50</v>
      </c>
      <c r="G140" t="s">
        <v>51</v>
      </c>
      <c r="H140" t="s">
        <v>5</v>
      </c>
      <c r="I140">
        <v>0.86541031329913698</v>
      </c>
      <c r="J140">
        <v>0.17894449347905</v>
      </c>
      <c r="K140">
        <v>1.0425928546638099</v>
      </c>
      <c r="L140">
        <v>0.22816172532064299</v>
      </c>
    </row>
    <row r="141" spans="1:16" x14ac:dyDescent="0.3">
      <c r="A141" t="s">
        <v>46</v>
      </c>
      <c r="B141" t="s">
        <v>52</v>
      </c>
      <c r="C141" t="s">
        <v>47</v>
      </c>
      <c r="D141" t="s">
        <v>57</v>
      </c>
      <c r="E141" t="s">
        <v>49</v>
      </c>
      <c r="F141" t="s">
        <v>50</v>
      </c>
      <c r="G141" t="s">
        <v>51</v>
      </c>
      <c r="H141" t="s">
        <v>3</v>
      </c>
      <c r="I141">
        <v>0.82940589740444803</v>
      </c>
      <c r="J141">
        <v>0.158208548721984</v>
      </c>
      <c r="K141">
        <v>0.99897537851237095</v>
      </c>
      <c r="L141">
        <v>0.185571619379441</v>
      </c>
    </row>
    <row r="142" spans="1:16" x14ac:dyDescent="0.3">
      <c r="A142" t="s">
        <v>46</v>
      </c>
      <c r="B142" t="s">
        <v>52</v>
      </c>
      <c r="C142" t="s">
        <v>47</v>
      </c>
      <c r="D142" t="s">
        <v>57</v>
      </c>
      <c r="E142" t="s">
        <v>49</v>
      </c>
      <c r="F142" t="s">
        <v>54</v>
      </c>
      <c r="G142" t="s">
        <v>51</v>
      </c>
      <c r="H142" t="s">
        <v>2</v>
      </c>
      <c r="I142">
        <v>0.80697515330548297</v>
      </c>
      <c r="J142">
        <v>0.217978104295762</v>
      </c>
      <c r="K142">
        <v>0.95951684234079304</v>
      </c>
      <c r="L142">
        <v>0.24432044067554001</v>
      </c>
      <c r="M142">
        <v>-5.2159880347605103E-2</v>
      </c>
      <c r="N142">
        <v>0.39670383076849403</v>
      </c>
    </row>
    <row r="143" spans="1:16" x14ac:dyDescent="0.3">
      <c r="A143" t="s">
        <v>46</v>
      </c>
      <c r="B143" t="s">
        <v>52</v>
      </c>
      <c r="C143" t="s">
        <v>47</v>
      </c>
      <c r="D143" t="s">
        <v>57</v>
      </c>
      <c r="E143" t="s">
        <v>49</v>
      </c>
      <c r="F143" t="s">
        <v>54</v>
      </c>
      <c r="G143" t="s">
        <v>51</v>
      </c>
      <c r="H143" t="s">
        <v>4</v>
      </c>
      <c r="I143">
        <v>0.754363894898614</v>
      </c>
      <c r="J143">
        <v>0.14549987614867599</v>
      </c>
      <c r="K143">
        <v>0.89914440484265801</v>
      </c>
      <c r="L143">
        <v>0.16344922170069601</v>
      </c>
      <c r="M143">
        <v>9.4743032674132505E-2</v>
      </c>
      <c r="N143">
        <v>0.18279813979458101</v>
      </c>
    </row>
    <row r="144" spans="1:16" x14ac:dyDescent="0.3">
      <c r="A144" t="s">
        <v>46</v>
      </c>
      <c r="B144" t="s">
        <v>52</v>
      </c>
      <c r="C144" t="s">
        <v>47</v>
      </c>
      <c r="D144" t="s">
        <v>57</v>
      </c>
      <c r="E144" t="s">
        <v>49</v>
      </c>
      <c r="F144" t="s">
        <v>54</v>
      </c>
      <c r="G144" t="s">
        <v>51</v>
      </c>
      <c r="H144" t="s">
        <v>5</v>
      </c>
      <c r="I144">
        <v>0.80107301838400402</v>
      </c>
      <c r="J144">
        <v>0.17688861906026801</v>
      </c>
      <c r="K144">
        <v>0.96251184417324298</v>
      </c>
      <c r="L144">
        <v>0.20172196007801099</v>
      </c>
      <c r="M144">
        <v>-4.5132934015771203E-2</v>
      </c>
      <c r="N144">
        <v>0.27595720725335798</v>
      </c>
    </row>
    <row r="145" spans="1:16" x14ac:dyDescent="0.3">
      <c r="A145" t="s">
        <v>46</v>
      </c>
      <c r="B145" t="s">
        <v>52</v>
      </c>
      <c r="C145" t="s">
        <v>47</v>
      </c>
      <c r="D145" t="s">
        <v>57</v>
      </c>
      <c r="E145" t="s">
        <v>49</v>
      </c>
      <c r="F145" t="s">
        <v>54</v>
      </c>
      <c r="G145" t="s">
        <v>51</v>
      </c>
      <c r="H145" t="s">
        <v>3</v>
      </c>
      <c r="I145">
        <v>0.78696960015601503</v>
      </c>
      <c r="J145">
        <v>0.189534756888108</v>
      </c>
      <c r="K145">
        <v>0.93700067590048497</v>
      </c>
      <c r="L145">
        <v>0.21031802433557201</v>
      </c>
      <c r="M145">
        <v>1.14659585495674E-2</v>
      </c>
      <c r="N145">
        <v>0.29381130381551901</v>
      </c>
    </row>
    <row r="146" spans="1:16" x14ac:dyDescent="0.3">
      <c r="A146" t="s">
        <v>46</v>
      </c>
      <c r="B146" t="s">
        <v>52</v>
      </c>
      <c r="C146" t="s">
        <v>47</v>
      </c>
      <c r="D146" t="s">
        <v>57</v>
      </c>
      <c r="E146" t="s">
        <v>59</v>
      </c>
      <c r="F146" t="s">
        <v>50</v>
      </c>
      <c r="G146" t="s">
        <v>51</v>
      </c>
      <c r="H146" t="s">
        <v>2</v>
      </c>
      <c r="I146">
        <v>1.9182391811958801</v>
      </c>
      <c r="J146">
        <v>0.64097426628450205</v>
      </c>
      <c r="K146">
        <v>2.2033880622501201</v>
      </c>
      <c r="L146">
        <v>0.65150960290693205</v>
      </c>
    </row>
    <row r="147" spans="1:16" x14ac:dyDescent="0.3">
      <c r="A147" t="s">
        <v>46</v>
      </c>
      <c r="B147" t="s">
        <v>52</v>
      </c>
      <c r="C147" t="s">
        <v>47</v>
      </c>
      <c r="D147" t="s">
        <v>57</v>
      </c>
      <c r="E147" t="s">
        <v>59</v>
      </c>
      <c r="F147" t="s">
        <v>50</v>
      </c>
      <c r="G147" t="s">
        <v>51</v>
      </c>
      <c r="H147" t="s">
        <v>4</v>
      </c>
      <c r="I147">
        <v>1.72949383595702</v>
      </c>
      <c r="J147">
        <v>0.55500588767153003</v>
      </c>
      <c r="K147">
        <v>1.9766765921423299</v>
      </c>
      <c r="L147">
        <v>0.53786389673405399</v>
      </c>
    </row>
    <row r="148" spans="1:16" x14ac:dyDescent="0.3">
      <c r="A148" t="s">
        <v>46</v>
      </c>
      <c r="B148" t="s">
        <v>52</v>
      </c>
      <c r="C148" t="s">
        <v>47</v>
      </c>
      <c r="D148" t="s">
        <v>57</v>
      </c>
      <c r="E148" t="s">
        <v>59</v>
      </c>
      <c r="F148" t="s">
        <v>50</v>
      </c>
      <c r="G148" t="s">
        <v>51</v>
      </c>
      <c r="H148" t="s">
        <v>5</v>
      </c>
      <c r="I148">
        <v>1.8407186149888899</v>
      </c>
      <c r="J148">
        <v>0.54672932089658399</v>
      </c>
      <c r="K148">
        <v>2.1277577137004</v>
      </c>
      <c r="L148">
        <v>0.56928355279686504</v>
      </c>
    </row>
    <row r="149" spans="1:16" x14ac:dyDescent="0.3">
      <c r="A149" t="s">
        <v>46</v>
      </c>
      <c r="B149" t="s">
        <v>52</v>
      </c>
      <c r="C149" t="s">
        <v>47</v>
      </c>
      <c r="D149" t="s">
        <v>57</v>
      </c>
      <c r="E149" t="s">
        <v>59</v>
      </c>
      <c r="F149" t="s">
        <v>50</v>
      </c>
      <c r="G149" t="s">
        <v>51</v>
      </c>
      <c r="H149" t="s">
        <v>3</v>
      </c>
      <c r="I149">
        <v>1.8669166209821799</v>
      </c>
      <c r="J149">
        <v>0.63509247715256201</v>
      </c>
      <c r="K149">
        <v>2.1461767002766998</v>
      </c>
      <c r="L149">
        <v>0.63912408600284498</v>
      </c>
    </row>
    <row r="150" spans="1:16" x14ac:dyDescent="0.3">
      <c r="A150" t="s">
        <v>46</v>
      </c>
      <c r="B150" t="s">
        <v>52</v>
      </c>
      <c r="C150" t="s">
        <v>47</v>
      </c>
      <c r="D150" t="s">
        <v>57</v>
      </c>
      <c r="E150" t="s">
        <v>59</v>
      </c>
      <c r="F150" t="s">
        <v>54</v>
      </c>
      <c r="G150" t="s">
        <v>51</v>
      </c>
      <c r="H150" t="s">
        <v>2</v>
      </c>
      <c r="I150">
        <v>2.0001314231728502</v>
      </c>
      <c r="J150">
        <v>0.62939592833673597</v>
      </c>
      <c r="K150">
        <v>2.3215864752636901</v>
      </c>
      <c r="L150">
        <v>0.65650137984175505</v>
      </c>
      <c r="M150">
        <v>-1.6224488528021801</v>
      </c>
      <c r="N150">
        <v>2.59857632848236</v>
      </c>
    </row>
    <row r="151" spans="1:16" x14ac:dyDescent="0.3">
      <c r="A151" t="s">
        <v>46</v>
      </c>
      <c r="B151" t="s">
        <v>52</v>
      </c>
      <c r="C151" t="s">
        <v>47</v>
      </c>
      <c r="D151" t="s">
        <v>57</v>
      </c>
      <c r="E151" t="s">
        <v>59</v>
      </c>
      <c r="F151" t="s">
        <v>54</v>
      </c>
      <c r="G151" t="s">
        <v>51</v>
      </c>
      <c r="H151" t="s">
        <v>4</v>
      </c>
      <c r="I151">
        <v>1.8155838635850501</v>
      </c>
      <c r="J151">
        <v>0.49504456318694201</v>
      </c>
      <c r="K151">
        <v>2.0721160140280501</v>
      </c>
      <c r="L151">
        <v>0.49985185129013598</v>
      </c>
      <c r="M151">
        <v>-1.01996506078683</v>
      </c>
      <c r="N151">
        <v>1.80702186454505</v>
      </c>
    </row>
    <row r="152" spans="1:16" x14ac:dyDescent="0.3">
      <c r="A152" t="s">
        <v>46</v>
      </c>
      <c r="B152" t="s">
        <v>52</v>
      </c>
      <c r="C152" t="s">
        <v>47</v>
      </c>
      <c r="D152" t="s">
        <v>57</v>
      </c>
      <c r="E152" t="s">
        <v>59</v>
      </c>
      <c r="F152" t="s">
        <v>54</v>
      </c>
      <c r="G152" t="s">
        <v>51</v>
      </c>
      <c r="H152" t="s">
        <v>5</v>
      </c>
      <c r="I152">
        <v>1.8877215733146699</v>
      </c>
      <c r="J152">
        <v>0.56811712621893795</v>
      </c>
      <c r="K152">
        <v>2.2061447928206901</v>
      </c>
      <c r="L152">
        <v>0.59819801158528996</v>
      </c>
      <c r="M152">
        <v>-1.2109881264856499</v>
      </c>
      <c r="N152">
        <v>1.8786126096481299</v>
      </c>
    </row>
    <row r="153" spans="1:16" x14ac:dyDescent="0.3">
      <c r="A153" t="s">
        <v>46</v>
      </c>
      <c r="B153" t="s">
        <v>52</v>
      </c>
      <c r="C153" t="s">
        <v>47</v>
      </c>
      <c r="D153" t="s">
        <v>57</v>
      </c>
      <c r="E153" t="s">
        <v>59</v>
      </c>
      <c r="F153" t="s">
        <v>54</v>
      </c>
      <c r="G153" t="s">
        <v>51</v>
      </c>
      <c r="H153" t="s">
        <v>3</v>
      </c>
      <c r="I153">
        <v>1.88071363646854</v>
      </c>
      <c r="J153">
        <v>0.52889635578266203</v>
      </c>
      <c r="K153">
        <v>2.18228776245709</v>
      </c>
      <c r="L153">
        <v>0.55107787556404397</v>
      </c>
      <c r="M153">
        <v>-1.27117810131764</v>
      </c>
      <c r="N153">
        <v>2.00541550421632</v>
      </c>
    </row>
    <row r="154" spans="1:16" x14ac:dyDescent="0.3">
      <c r="A154" t="s">
        <v>46</v>
      </c>
      <c r="B154" t="s">
        <v>52</v>
      </c>
      <c r="C154" t="s">
        <v>47</v>
      </c>
      <c r="D154" t="s">
        <v>56</v>
      </c>
      <c r="E154" t="s">
        <v>49</v>
      </c>
      <c r="F154" t="s">
        <v>50</v>
      </c>
      <c r="G154" t="s">
        <v>51</v>
      </c>
      <c r="H154" t="s">
        <v>5</v>
      </c>
      <c r="I154">
        <v>0.60838870431893699</v>
      </c>
      <c r="J154">
        <v>0.17172918638280801</v>
      </c>
      <c r="K154">
        <v>0.33860127813616098</v>
      </c>
      <c r="L154">
        <v>0.18427820192011901</v>
      </c>
      <c r="M154">
        <v>0.31957825765965298</v>
      </c>
      <c r="N154">
        <v>0.20514472950094401</v>
      </c>
      <c r="O154">
        <v>0.37606127722406701</v>
      </c>
      <c r="P154">
        <v>0.16679554600017499</v>
      </c>
    </row>
    <row r="155" spans="1:16" x14ac:dyDescent="0.3">
      <c r="A155" t="s">
        <v>46</v>
      </c>
      <c r="B155" t="s">
        <v>52</v>
      </c>
      <c r="C155" t="s">
        <v>47</v>
      </c>
      <c r="D155" t="s">
        <v>56</v>
      </c>
      <c r="E155" t="s">
        <v>49</v>
      </c>
      <c r="F155" t="s">
        <v>50</v>
      </c>
      <c r="G155" t="s">
        <v>51</v>
      </c>
      <c r="H155" t="s">
        <v>4</v>
      </c>
      <c r="I155">
        <v>0.67234219269102902</v>
      </c>
      <c r="J155">
        <v>0.13975471135027501</v>
      </c>
      <c r="K155">
        <v>0.333854259435654</v>
      </c>
      <c r="L155">
        <v>0.143683244230667</v>
      </c>
      <c r="M155">
        <v>0.30433277962347699</v>
      </c>
      <c r="N155">
        <v>0.16702112509383599</v>
      </c>
      <c r="O155">
        <v>0.39536729420450301</v>
      </c>
      <c r="P155">
        <v>0.120117980130793</v>
      </c>
    </row>
    <row r="156" spans="1:16" x14ac:dyDescent="0.3">
      <c r="A156" t="s">
        <v>46</v>
      </c>
      <c r="B156" t="s">
        <v>52</v>
      </c>
      <c r="C156" t="s">
        <v>47</v>
      </c>
      <c r="D156" t="s">
        <v>56</v>
      </c>
      <c r="E156" t="s">
        <v>49</v>
      </c>
      <c r="F156" t="s">
        <v>50</v>
      </c>
      <c r="G156" t="s">
        <v>51</v>
      </c>
      <c r="H156" t="s">
        <v>3</v>
      </c>
      <c r="I156">
        <v>0.63399778516057503</v>
      </c>
      <c r="J156">
        <v>0.14623955837111199</v>
      </c>
      <c r="K156">
        <v>0.32205468949654997</v>
      </c>
      <c r="L156">
        <v>0.144389856127042</v>
      </c>
      <c r="M156">
        <v>0.29956626061277197</v>
      </c>
      <c r="N156">
        <v>0.16722833591245601</v>
      </c>
      <c r="O156">
        <v>0.374197120708748</v>
      </c>
      <c r="P156">
        <v>0.12811527530069999</v>
      </c>
    </row>
    <row r="157" spans="1:16" x14ac:dyDescent="0.3">
      <c r="A157" t="s">
        <v>46</v>
      </c>
      <c r="B157" t="s">
        <v>52</v>
      </c>
      <c r="C157" t="s">
        <v>47</v>
      </c>
      <c r="D157" t="s">
        <v>56</v>
      </c>
      <c r="E157" t="s">
        <v>49</v>
      </c>
      <c r="F157" t="s">
        <v>50</v>
      </c>
      <c r="G157" t="s">
        <v>51</v>
      </c>
      <c r="H157" t="s">
        <v>2</v>
      </c>
      <c r="I157">
        <v>0.61129568106312204</v>
      </c>
      <c r="J157">
        <v>0.157655329859409</v>
      </c>
      <c r="K157">
        <v>0.30376445260166102</v>
      </c>
      <c r="L157">
        <v>0.14329298342355701</v>
      </c>
      <c r="M157">
        <v>0.27795311923218902</v>
      </c>
      <c r="N157">
        <v>0.156316084534461</v>
      </c>
      <c r="O157">
        <v>0.35520487264673301</v>
      </c>
      <c r="P157">
        <v>0.13498134502850201</v>
      </c>
    </row>
    <row r="158" spans="1:16" x14ac:dyDescent="0.3">
      <c r="A158" t="s">
        <v>46</v>
      </c>
      <c r="B158" t="s">
        <v>52</v>
      </c>
      <c r="C158" t="s">
        <v>47</v>
      </c>
      <c r="D158" t="s">
        <v>56</v>
      </c>
      <c r="E158" t="s">
        <v>49</v>
      </c>
      <c r="F158" t="s">
        <v>54</v>
      </c>
      <c r="G158" t="s">
        <v>51</v>
      </c>
      <c r="H158" t="s">
        <v>5</v>
      </c>
      <c r="I158">
        <v>0.57325581395348801</v>
      </c>
      <c r="J158">
        <v>0.165951332306078</v>
      </c>
      <c r="K158">
        <v>0.34981917687115999</v>
      </c>
      <c r="L158">
        <v>0.162463812808155</v>
      </c>
      <c r="M158">
        <v>0.34976928755998499</v>
      </c>
      <c r="N158">
        <v>0.18454152164038401</v>
      </c>
      <c r="O158">
        <v>0.38199673926418098</v>
      </c>
      <c r="P158">
        <v>0.16868582787779801</v>
      </c>
    </row>
    <row r="159" spans="1:16" x14ac:dyDescent="0.3">
      <c r="A159" t="s">
        <v>46</v>
      </c>
      <c r="B159" t="s">
        <v>52</v>
      </c>
      <c r="C159" t="s">
        <v>47</v>
      </c>
      <c r="D159" t="s">
        <v>56</v>
      </c>
      <c r="E159" t="s">
        <v>49</v>
      </c>
      <c r="F159" t="s">
        <v>54</v>
      </c>
      <c r="G159" t="s">
        <v>51</v>
      </c>
      <c r="H159" t="s">
        <v>3</v>
      </c>
      <c r="I159">
        <v>0.61563307493539998</v>
      </c>
      <c r="J159">
        <v>0.135407297106207</v>
      </c>
      <c r="K159">
        <v>0.34703337897772302</v>
      </c>
      <c r="L159">
        <v>0.13515050268607001</v>
      </c>
      <c r="M159">
        <v>0.33187523071243902</v>
      </c>
      <c r="N159">
        <v>0.16415972333109299</v>
      </c>
      <c r="O159">
        <v>0.39888335179032802</v>
      </c>
      <c r="P159">
        <v>0.120067185827947</v>
      </c>
    </row>
    <row r="160" spans="1:16" x14ac:dyDescent="0.3">
      <c r="A160" t="s">
        <v>46</v>
      </c>
      <c r="B160" t="s">
        <v>52</v>
      </c>
      <c r="C160" t="s">
        <v>47</v>
      </c>
      <c r="D160" t="s">
        <v>56</v>
      </c>
      <c r="E160" t="s">
        <v>49</v>
      </c>
      <c r="F160" t="s">
        <v>54</v>
      </c>
      <c r="G160" t="s">
        <v>51</v>
      </c>
      <c r="H160" t="s">
        <v>4</v>
      </c>
      <c r="I160">
        <v>0.63275193798449603</v>
      </c>
      <c r="J160">
        <v>0.15973478564176</v>
      </c>
      <c r="K160">
        <v>0.33631792594010801</v>
      </c>
      <c r="L160">
        <v>0.13507761593250001</v>
      </c>
      <c r="M160">
        <v>0.31236157253599101</v>
      </c>
      <c r="N160">
        <v>0.173800817628846</v>
      </c>
      <c r="O160">
        <v>0.40181801402731598</v>
      </c>
      <c r="P160">
        <v>0.129754615809581</v>
      </c>
    </row>
    <row r="161" spans="1:16" x14ac:dyDescent="0.3">
      <c r="A161" t="s">
        <v>46</v>
      </c>
      <c r="B161" t="s">
        <v>52</v>
      </c>
      <c r="C161" t="s">
        <v>47</v>
      </c>
      <c r="D161" t="s">
        <v>56</v>
      </c>
      <c r="E161" t="s">
        <v>49</v>
      </c>
      <c r="F161" t="s">
        <v>54</v>
      </c>
      <c r="G161" t="s">
        <v>51</v>
      </c>
      <c r="H161" t="s">
        <v>2</v>
      </c>
      <c r="I161">
        <v>0.55749354005167895</v>
      </c>
      <c r="J161">
        <v>0.169213460222541</v>
      </c>
      <c r="K161">
        <v>0.328255388275908</v>
      </c>
      <c r="L161">
        <v>0.147416693535557</v>
      </c>
      <c r="M161">
        <v>0.32093330872400599</v>
      </c>
      <c r="N161">
        <v>0.16992215588226101</v>
      </c>
      <c r="O161">
        <v>0.368372400639842</v>
      </c>
      <c r="P161">
        <v>0.15287616979134</v>
      </c>
    </row>
    <row r="162" spans="1:16" x14ac:dyDescent="0.3">
      <c r="A162" t="s">
        <v>46</v>
      </c>
      <c r="B162" t="s">
        <v>52</v>
      </c>
      <c r="C162" t="s">
        <v>47</v>
      </c>
      <c r="D162" t="s">
        <v>56</v>
      </c>
      <c r="E162" t="s">
        <v>59</v>
      </c>
      <c r="F162" t="s">
        <v>50</v>
      </c>
      <c r="G162" t="s">
        <v>51</v>
      </c>
      <c r="H162" t="s">
        <v>3</v>
      </c>
      <c r="I162">
        <v>0.41459025470653299</v>
      </c>
      <c r="J162">
        <v>0.23218680803573299</v>
      </c>
      <c r="K162">
        <v>0.299252728322495</v>
      </c>
      <c r="L162">
        <v>0.19581717757517</v>
      </c>
      <c r="M162">
        <v>0.34002860834256099</v>
      </c>
      <c r="N162">
        <v>0.228069547023006</v>
      </c>
      <c r="O162">
        <v>0.34918789221114799</v>
      </c>
      <c r="P162">
        <v>0.20509984234835499</v>
      </c>
    </row>
    <row r="163" spans="1:16" x14ac:dyDescent="0.3">
      <c r="A163" t="s">
        <v>46</v>
      </c>
      <c r="B163" t="s">
        <v>52</v>
      </c>
      <c r="C163" t="s">
        <v>47</v>
      </c>
      <c r="D163" t="s">
        <v>56</v>
      </c>
      <c r="E163" t="s">
        <v>59</v>
      </c>
      <c r="F163" t="s">
        <v>50</v>
      </c>
      <c r="G163" t="s">
        <v>51</v>
      </c>
      <c r="H163" t="s">
        <v>5</v>
      </c>
      <c r="I163">
        <v>0.37001661129568097</v>
      </c>
      <c r="J163">
        <v>0.21687683085574899</v>
      </c>
      <c r="K163">
        <v>0.26844469053771303</v>
      </c>
      <c r="L163">
        <v>0.17640939288073801</v>
      </c>
      <c r="M163">
        <v>0.31411960132890299</v>
      </c>
      <c r="N163">
        <v>0.20020742802524</v>
      </c>
      <c r="O163">
        <v>0.29347545219638199</v>
      </c>
      <c r="P163">
        <v>0.214381537684009</v>
      </c>
    </row>
    <row r="164" spans="1:16" x14ac:dyDescent="0.3">
      <c r="A164" t="s">
        <v>46</v>
      </c>
      <c r="B164" t="s">
        <v>52</v>
      </c>
      <c r="C164" t="s">
        <v>47</v>
      </c>
      <c r="D164" t="s">
        <v>56</v>
      </c>
      <c r="E164" t="s">
        <v>59</v>
      </c>
      <c r="F164" t="s">
        <v>50</v>
      </c>
      <c r="G164" t="s">
        <v>51</v>
      </c>
      <c r="H164" t="s">
        <v>4</v>
      </c>
      <c r="I164">
        <v>0.41611295681063099</v>
      </c>
      <c r="J164">
        <v>0.218009412628072</v>
      </c>
      <c r="K164">
        <v>0.26261219400754199</v>
      </c>
      <c r="L164">
        <v>0.15661804374129501</v>
      </c>
      <c r="M164">
        <v>0.259560723514211</v>
      </c>
      <c r="N164">
        <v>0.192138383955922</v>
      </c>
      <c r="O164">
        <v>0.34123292727943799</v>
      </c>
      <c r="P164">
        <v>0.18337996555198499</v>
      </c>
    </row>
    <row r="165" spans="1:16" x14ac:dyDescent="0.3">
      <c r="A165" t="s">
        <v>46</v>
      </c>
      <c r="B165" t="s">
        <v>52</v>
      </c>
      <c r="C165" t="s">
        <v>47</v>
      </c>
      <c r="D165" t="s">
        <v>56</v>
      </c>
      <c r="E165" t="s">
        <v>59</v>
      </c>
      <c r="F165" t="s">
        <v>50</v>
      </c>
      <c r="G165" t="s">
        <v>51</v>
      </c>
      <c r="H165" t="s">
        <v>2</v>
      </c>
      <c r="I165">
        <v>0.32793466223698697</v>
      </c>
      <c r="J165">
        <v>0.197609265531488</v>
      </c>
      <c r="K165">
        <v>0.216877997110555</v>
      </c>
      <c r="L165">
        <v>0.119024553604408</v>
      </c>
      <c r="M165">
        <v>0.25687523071244001</v>
      </c>
      <c r="N165">
        <v>0.15285880457494899</v>
      </c>
      <c r="O165">
        <v>0.24505352528608301</v>
      </c>
      <c r="P165">
        <v>0.14033256304856601</v>
      </c>
    </row>
    <row r="166" spans="1:16" x14ac:dyDescent="0.3">
      <c r="A166" t="s">
        <v>46</v>
      </c>
      <c r="B166" t="s">
        <v>52</v>
      </c>
      <c r="C166" t="s">
        <v>47</v>
      </c>
      <c r="D166" t="s">
        <v>56</v>
      </c>
      <c r="E166" t="s">
        <v>59</v>
      </c>
      <c r="F166" t="s">
        <v>54</v>
      </c>
      <c r="G166" t="s">
        <v>51</v>
      </c>
      <c r="H166" t="s">
        <v>5</v>
      </c>
      <c r="I166">
        <v>0.43107235142118799</v>
      </c>
      <c r="J166">
        <v>0.200729233114015</v>
      </c>
      <c r="K166">
        <v>0.32848966532277002</v>
      </c>
      <c r="L166">
        <v>0.18844208891919401</v>
      </c>
      <c r="M166">
        <v>0.35693367786391</v>
      </c>
      <c r="N166">
        <v>0.20726703187239201</v>
      </c>
      <c r="O166">
        <v>0.39572259136212601</v>
      </c>
      <c r="P166">
        <v>0.20894553260618701</v>
      </c>
    </row>
    <row r="167" spans="1:16" x14ac:dyDescent="0.3">
      <c r="A167" t="s">
        <v>46</v>
      </c>
      <c r="B167" t="s">
        <v>52</v>
      </c>
      <c r="C167" t="s">
        <v>47</v>
      </c>
      <c r="D167" t="s">
        <v>56</v>
      </c>
      <c r="E167" t="s">
        <v>59</v>
      </c>
      <c r="F167" t="s">
        <v>54</v>
      </c>
      <c r="G167" t="s">
        <v>51</v>
      </c>
      <c r="H167" t="s">
        <v>3</v>
      </c>
      <c r="I167">
        <v>0.42667958656330701</v>
      </c>
      <c r="J167">
        <v>0.156408169481349</v>
      </c>
      <c r="K167">
        <v>0.32002999154161899</v>
      </c>
      <c r="L167">
        <v>0.13899883081603601</v>
      </c>
      <c r="M167">
        <v>0.34994309093146297</v>
      </c>
      <c r="N167">
        <v>0.171111529649287</v>
      </c>
      <c r="O167">
        <v>0.39107758090316203</v>
      </c>
      <c r="P167">
        <v>0.16590743936466401</v>
      </c>
    </row>
    <row r="168" spans="1:16" x14ac:dyDescent="0.3">
      <c r="A168" t="s">
        <v>46</v>
      </c>
      <c r="B168" t="s">
        <v>52</v>
      </c>
      <c r="C168" t="s">
        <v>47</v>
      </c>
      <c r="D168" t="s">
        <v>56</v>
      </c>
      <c r="E168" t="s">
        <v>59</v>
      </c>
      <c r="F168" t="s">
        <v>54</v>
      </c>
      <c r="G168" t="s">
        <v>51</v>
      </c>
      <c r="H168" t="s">
        <v>4</v>
      </c>
      <c r="I168">
        <v>0.404263565891472</v>
      </c>
      <c r="J168">
        <v>0.14279437766994299</v>
      </c>
      <c r="K168">
        <v>0.30576388512434999</v>
      </c>
      <c r="L168">
        <v>0.135073307338124</v>
      </c>
      <c r="M168">
        <v>0.31728805217177303</v>
      </c>
      <c r="N168">
        <v>0.15895640978900599</v>
      </c>
      <c r="O168">
        <v>0.394255260243632</v>
      </c>
      <c r="P168">
        <v>0.16319889077212699</v>
      </c>
    </row>
    <row r="169" spans="1:16" x14ac:dyDescent="0.3">
      <c r="A169" t="s">
        <v>46</v>
      </c>
      <c r="B169" t="s">
        <v>52</v>
      </c>
      <c r="C169" t="s">
        <v>47</v>
      </c>
      <c r="D169" t="s">
        <v>56</v>
      </c>
      <c r="E169" t="s">
        <v>59</v>
      </c>
      <c r="F169" t="s">
        <v>54</v>
      </c>
      <c r="G169" t="s">
        <v>51</v>
      </c>
      <c r="H169" t="s">
        <v>2</v>
      </c>
      <c r="I169">
        <v>0.35865633074935399</v>
      </c>
      <c r="J169">
        <v>0.14890403682045</v>
      </c>
      <c r="K169">
        <v>0.270100764868206</v>
      </c>
      <c r="L169">
        <v>0.106034542538453</v>
      </c>
      <c r="M169">
        <v>0.31421803863664299</v>
      </c>
      <c r="N169">
        <v>0.132801381413261</v>
      </c>
      <c r="O169">
        <v>0.322534453057708</v>
      </c>
      <c r="P169">
        <v>0.127769524506576</v>
      </c>
    </row>
    <row r="170" spans="1:16" x14ac:dyDescent="0.3">
      <c r="A170" t="s">
        <v>46</v>
      </c>
      <c r="B170" t="s">
        <v>52</v>
      </c>
      <c r="C170" t="s">
        <v>53</v>
      </c>
      <c r="D170" t="s">
        <v>48</v>
      </c>
      <c r="E170" t="s">
        <v>49</v>
      </c>
      <c r="F170" t="s">
        <v>50</v>
      </c>
      <c r="G170" t="s">
        <v>51</v>
      </c>
      <c r="H170" t="s">
        <v>4</v>
      </c>
      <c r="I170">
        <v>0.56059525809507804</v>
      </c>
      <c r="J170">
        <v>0.136268428259427</v>
      </c>
      <c r="K170">
        <v>0.52080909367197004</v>
      </c>
      <c r="L170">
        <v>0.14698082620119801</v>
      </c>
      <c r="M170">
        <v>0.55386714988198105</v>
      </c>
      <c r="N170">
        <v>0.16173001060393799</v>
      </c>
      <c r="O170">
        <v>0.54947231923976103</v>
      </c>
      <c r="P170">
        <v>0.13905539924996799</v>
      </c>
    </row>
    <row r="171" spans="1:16" x14ac:dyDescent="0.3">
      <c r="A171" t="s">
        <v>46</v>
      </c>
      <c r="B171" t="s">
        <v>52</v>
      </c>
      <c r="C171" t="s">
        <v>53</v>
      </c>
      <c r="D171" t="s">
        <v>48</v>
      </c>
      <c r="E171" t="s">
        <v>49</v>
      </c>
      <c r="F171" t="s">
        <v>50</v>
      </c>
      <c r="G171" t="s">
        <v>51</v>
      </c>
      <c r="H171" t="s">
        <v>3</v>
      </c>
      <c r="I171">
        <v>0.53701353246316896</v>
      </c>
      <c r="J171">
        <v>0.121501398436329</v>
      </c>
      <c r="K171">
        <v>0.50415673688389295</v>
      </c>
      <c r="L171">
        <v>0.12064817513828199</v>
      </c>
      <c r="M171">
        <v>0.53559855455917205</v>
      </c>
      <c r="N171">
        <v>0.124284681233817</v>
      </c>
      <c r="O171">
        <v>0.531909401967541</v>
      </c>
      <c r="P171">
        <v>0.119753848368176</v>
      </c>
    </row>
    <row r="172" spans="1:16" x14ac:dyDescent="0.3">
      <c r="A172" t="s">
        <v>46</v>
      </c>
      <c r="B172" t="s">
        <v>52</v>
      </c>
      <c r="C172" t="s">
        <v>53</v>
      </c>
      <c r="D172" t="s">
        <v>48</v>
      </c>
      <c r="E172" t="s">
        <v>49</v>
      </c>
      <c r="F172" t="s">
        <v>50</v>
      </c>
      <c r="G172" t="s">
        <v>51</v>
      </c>
      <c r="H172" t="s">
        <v>2</v>
      </c>
      <c r="I172">
        <v>0.53790608246562599</v>
      </c>
      <c r="J172">
        <v>0.12542778469548599</v>
      </c>
      <c r="K172">
        <v>0.49997305189952101</v>
      </c>
      <c r="L172">
        <v>0.131493730670703</v>
      </c>
      <c r="M172">
        <v>0.54868947232238297</v>
      </c>
      <c r="N172">
        <v>0.13293957203228701</v>
      </c>
      <c r="O172">
        <v>0.52954826181570303</v>
      </c>
      <c r="P172">
        <v>0.12990202754300001</v>
      </c>
    </row>
    <row r="173" spans="1:16" x14ac:dyDescent="0.3">
      <c r="A173" t="s">
        <v>46</v>
      </c>
      <c r="B173" t="s">
        <v>52</v>
      </c>
      <c r="C173" t="s">
        <v>53</v>
      </c>
      <c r="D173" t="s">
        <v>48</v>
      </c>
      <c r="E173" t="s">
        <v>49</v>
      </c>
      <c r="F173" t="s">
        <v>50</v>
      </c>
      <c r="G173" t="s">
        <v>51</v>
      </c>
      <c r="H173" t="s">
        <v>5</v>
      </c>
      <c r="I173">
        <v>0.52539782538882496</v>
      </c>
      <c r="J173">
        <v>0.10779278403480699</v>
      </c>
      <c r="K173">
        <v>0.49812162473931798</v>
      </c>
      <c r="L173">
        <v>0.11149743450213501</v>
      </c>
      <c r="M173">
        <v>0.52192234919663105</v>
      </c>
      <c r="N173">
        <v>0.105954309872538</v>
      </c>
      <c r="O173">
        <v>0.51422580434208298</v>
      </c>
      <c r="P173">
        <v>0.115918104319968</v>
      </c>
    </row>
    <row r="174" spans="1:16" x14ac:dyDescent="0.3">
      <c r="A174" t="s">
        <v>46</v>
      </c>
      <c r="B174" t="s">
        <v>52</v>
      </c>
      <c r="C174" t="s">
        <v>53</v>
      </c>
      <c r="D174" t="s">
        <v>48</v>
      </c>
      <c r="E174" t="s">
        <v>49</v>
      </c>
      <c r="F174" t="s">
        <v>50</v>
      </c>
      <c r="G174" t="s">
        <v>55</v>
      </c>
      <c r="H174" t="s">
        <v>4</v>
      </c>
      <c r="I174">
        <v>0.55800909307011204</v>
      </c>
      <c r="J174">
        <v>0.113748101581718</v>
      </c>
      <c r="K174">
        <v>0.51745452788209501</v>
      </c>
      <c r="L174">
        <v>0.120600131188438</v>
      </c>
      <c r="M174">
        <v>0.56071050561161595</v>
      </c>
      <c r="N174">
        <v>0.13805845990465501</v>
      </c>
      <c r="O174">
        <v>0.54620415114601095</v>
      </c>
      <c r="P174">
        <v>0.114891219749317</v>
      </c>
    </row>
    <row r="175" spans="1:16" x14ac:dyDescent="0.3">
      <c r="A175" t="s">
        <v>46</v>
      </c>
      <c r="B175" t="s">
        <v>52</v>
      </c>
      <c r="C175" t="s">
        <v>53</v>
      </c>
      <c r="D175" t="s">
        <v>48</v>
      </c>
      <c r="E175" t="s">
        <v>49</v>
      </c>
      <c r="F175" t="s">
        <v>50</v>
      </c>
      <c r="G175" t="s">
        <v>55</v>
      </c>
      <c r="H175" t="s">
        <v>2</v>
      </c>
      <c r="I175">
        <v>0.53992858057135495</v>
      </c>
      <c r="J175">
        <v>0.11691118958939201</v>
      </c>
      <c r="K175">
        <v>0.50660215209361203</v>
      </c>
      <c r="L175">
        <v>0.124693997083914</v>
      </c>
      <c r="M175">
        <v>0.55068548512550897</v>
      </c>
      <c r="N175">
        <v>0.12680631635050099</v>
      </c>
      <c r="O175">
        <v>0.53770457578597097</v>
      </c>
      <c r="P175">
        <v>0.122783722075306</v>
      </c>
    </row>
    <row r="176" spans="1:16" x14ac:dyDescent="0.3">
      <c r="A176" t="s">
        <v>46</v>
      </c>
      <c r="B176" t="s">
        <v>52</v>
      </c>
      <c r="C176" t="s">
        <v>53</v>
      </c>
      <c r="D176" t="s">
        <v>48</v>
      </c>
      <c r="E176" t="s">
        <v>49</v>
      </c>
      <c r="F176" t="s">
        <v>50</v>
      </c>
      <c r="G176" t="s">
        <v>55</v>
      </c>
      <c r="H176" t="s">
        <v>5</v>
      </c>
      <c r="I176">
        <v>0.51727796177630503</v>
      </c>
      <c r="J176">
        <v>9.8533655163489095E-2</v>
      </c>
      <c r="K176">
        <v>0.49203221427349297</v>
      </c>
      <c r="L176">
        <v>9.9817929119966703E-2</v>
      </c>
      <c r="M176">
        <v>0.51767296011482</v>
      </c>
      <c r="N176">
        <v>9.6940422132050494E-2</v>
      </c>
      <c r="O176">
        <v>0.50670277181904999</v>
      </c>
      <c r="P176">
        <v>0.106866044722029</v>
      </c>
    </row>
    <row r="177" spans="1:16" x14ac:dyDescent="0.3">
      <c r="A177" t="s">
        <v>46</v>
      </c>
      <c r="B177" t="s">
        <v>52</v>
      </c>
      <c r="C177" t="s">
        <v>53</v>
      </c>
      <c r="D177" t="s">
        <v>48</v>
      </c>
      <c r="E177" t="s">
        <v>49</v>
      </c>
      <c r="F177" t="s">
        <v>50</v>
      </c>
      <c r="G177" t="s">
        <v>55</v>
      </c>
      <c r="H177" t="s">
        <v>3</v>
      </c>
      <c r="I177">
        <v>0.53038504263394404</v>
      </c>
      <c r="J177">
        <v>0.15643585923727801</v>
      </c>
      <c r="K177">
        <v>0.49107730531823102</v>
      </c>
      <c r="L177">
        <v>0.15303622879534901</v>
      </c>
      <c r="M177">
        <v>0.52290739106654505</v>
      </c>
      <c r="N177">
        <v>0.16260441231577799</v>
      </c>
      <c r="O177">
        <v>0.52080038824224795</v>
      </c>
      <c r="P177">
        <v>0.149151510954114</v>
      </c>
    </row>
    <row r="178" spans="1:16" x14ac:dyDescent="0.3">
      <c r="A178" t="s">
        <v>46</v>
      </c>
      <c r="B178" t="s">
        <v>52</v>
      </c>
      <c r="C178" t="s">
        <v>53</v>
      </c>
      <c r="D178" t="s">
        <v>48</v>
      </c>
      <c r="E178" t="s">
        <v>49</v>
      </c>
      <c r="F178" t="s">
        <v>54</v>
      </c>
      <c r="G178" t="s">
        <v>51</v>
      </c>
      <c r="H178" t="s">
        <v>4</v>
      </c>
      <c r="I178">
        <v>0.52088815807931399</v>
      </c>
      <c r="J178">
        <v>9.8844846052121793E-2</v>
      </c>
      <c r="K178">
        <v>0.49849775627788101</v>
      </c>
      <c r="L178">
        <v>9.5461354877003093E-2</v>
      </c>
      <c r="M178">
        <v>0.54913088990847503</v>
      </c>
      <c r="N178">
        <v>0.111357128432074</v>
      </c>
      <c r="O178">
        <v>0.53471045530836503</v>
      </c>
      <c r="P178">
        <v>9.0216253875319397E-2</v>
      </c>
    </row>
    <row r="179" spans="1:16" x14ac:dyDescent="0.3">
      <c r="A179" t="s">
        <v>46</v>
      </c>
      <c r="B179" t="s">
        <v>52</v>
      </c>
      <c r="C179" t="s">
        <v>53</v>
      </c>
      <c r="D179" t="s">
        <v>48</v>
      </c>
      <c r="E179" t="s">
        <v>49</v>
      </c>
      <c r="F179" t="s">
        <v>54</v>
      </c>
      <c r="G179" t="s">
        <v>51</v>
      </c>
      <c r="H179" t="s">
        <v>5</v>
      </c>
      <c r="I179">
        <v>0.51449966772569</v>
      </c>
      <c r="J179">
        <v>0.10436352282114</v>
      </c>
      <c r="K179">
        <v>0.49655220536098699</v>
      </c>
      <c r="L179">
        <v>0.107977073183745</v>
      </c>
      <c r="M179">
        <v>0.52597468474693398</v>
      </c>
      <c r="N179">
        <v>0.11256044865963</v>
      </c>
      <c r="O179">
        <v>0.52149945375361995</v>
      </c>
      <c r="P179">
        <v>0.103736735069453</v>
      </c>
    </row>
    <row r="180" spans="1:16" x14ac:dyDescent="0.3">
      <c r="A180" t="s">
        <v>46</v>
      </c>
      <c r="B180" t="s">
        <v>52</v>
      </c>
      <c r="C180" t="s">
        <v>53</v>
      </c>
      <c r="D180" t="s">
        <v>48</v>
      </c>
      <c r="E180" t="s">
        <v>49</v>
      </c>
      <c r="F180" t="s">
        <v>54</v>
      </c>
      <c r="G180" t="s">
        <v>51</v>
      </c>
      <c r="H180" t="s">
        <v>2</v>
      </c>
      <c r="I180">
        <v>0.51985215872275703</v>
      </c>
      <c r="J180">
        <v>0.125482905614625</v>
      </c>
      <c r="K180">
        <v>0.49383610328614302</v>
      </c>
      <c r="L180">
        <v>0.119286088349978</v>
      </c>
      <c r="M180">
        <v>0.53194458887599205</v>
      </c>
      <c r="N180">
        <v>0.135557362917612</v>
      </c>
      <c r="O180">
        <v>0.518721291038862</v>
      </c>
      <c r="P180">
        <v>0.110799456419887</v>
      </c>
    </row>
    <row r="181" spans="1:16" x14ac:dyDescent="0.3">
      <c r="A181" t="s">
        <v>46</v>
      </c>
      <c r="B181" t="s">
        <v>52</v>
      </c>
      <c r="C181" t="s">
        <v>53</v>
      </c>
      <c r="D181" t="s">
        <v>48</v>
      </c>
      <c r="E181" t="s">
        <v>49</v>
      </c>
      <c r="F181" t="s">
        <v>54</v>
      </c>
      <c r="G181" t="s">
        <v>51</v>
      </c>
      <c r="H181" t="s">
        <v>3</v>
      </c>
      <c r="I181">
        <v>0.499232227560992</v>
      </c>
      <c r="J181">
        <v>0.108759650373273</v>
      </c>
      <c r="K181">
        <v>0.476081886277888</v>
      </c>
      <c r="L181">
        <v>0.111083755818629</v>
      </c>
      <c r="M181">
        <v>0.52430599459010596</v>
      </c>
      <c r="N181">
        <v>0.13829485405398001</v>
      </c>
      <c r="O181">
        <v>0.51911790155229198</v>
      </c>
      <c r="P181">
        <v>0.107732754484531</v>
      </c>
    </row>
    <row r="182" spans="1:16" x14ac:dyDescent="0.3">
      <c r="A182" t="s">
        <v>46</v>
      </c>
      <c r="B182" t="s">
        <v>52</v>
      </c>
      <c r="C182" t="s">
        <v>53</v>
      </c>
      <c r="D182" t="s">
        <v>48</v>
      </c>
      <c r="E182" t="s">
        <v>59</v>
      </c>
      <c r="F182" t="s">
        <v>50</v>
      </c>
      <c r="G182" t="s">
        <v>51</v>
      </c>
      <c r="H182" t="s">
        <v>5</v>
      </c>
      <c r="I182">
        <v>0.55033621159602097</v>
      </c>
      <c r="J182">
        <v>0.212052568809554</v>
      </c>
      <c r="K182">
        <v>0.43063868676308298</v>
      </c>
      <c r="L182">
        <v>0.170158136832326</v>
      </c>
      <c r="M182">
        <v>0.50615984467728603</v>
      </c>
      <c r="N182">
        <v>0.147105447740943</v>
      </c>
      <c r="O182">
        <v>0.46453621947447998</v>
      </c>
      <c r="P182">
        <v>0.20856110495858099</v>
      </c>
    </row>
    <row r="183" spans="1:16" x14ac:dyDescent="0.3">
      <c r="A183" t="s">
        <v>46</v>
      </c>
      <c r="B183" t="s">
        <v>52</v>
      </c>
      <c r="C183" t="s">
        <v>53</v>
      </c>
      <c r="D183" t="s">
        <v>48</v>
      </c>
      <c r="E183" t="s">
        <v>59</v>
      </c>
      <c r="F183" t="s">
        <v>50</v>
      </c>
      <c r="G183" t="s">
        <v>51</v>
      </c>
      <c r="H183" t="s">
        <v>3</v>
      </c>
      <c r="I183">
        <v>0.57084469038533403</v>
      </c>
      <c r="J183">
        <v>0.278079192239581</v>
      </c>
      <c r="K183">
        <v>0.417683928543715</v>
      </c>
      <c r="L183">
        <v>0.21953084670881701</v>
      </c>
      <c r="M183">
        <v>0.46722929663116097</v>
      </c>
      <c r="N183">
        <v>0.22480522957569099</v>
      </c>
      <c r="O183">
        <v>0.46097670168022598</v>
      </c>
      <c r="P183">
        <v>0.21783997427611601</v>
      </c>
    </row>
    <row r="184" spans="1:16" x14ac:dyDescent="0.3">
      <c r="A184" t="s">
        <v>46</v>
      </c>
      <c r="B184" t="s">
        <v>52</v>
      </c>
      <c r="C184" t="s">
        <v>53</v>
      </c>
      <c r="D184" t="s">
        <v>48</v>
      </c>
      <c r="E184" t="s">
        <v>59</v>
      </c>
      <c r="F184" t="s">
        <v>50</v>
      </c>
      <c r="G184" t="s">
        <v>51</v>
      </c>
      <c r="H184" t="s">
        <v>4</v>
      </c>
      <c r="I184">
        <v>0.55644737699241198</v>
      </c>
      <c r="J184">
        <v>0.25474536020527</v>
      </c>
      <c r="K184">
        <v>0.39723508140093899</v>
      </c>
      <c r="L184">
        <v>0.16898529041761401</v>
      </c>
      <c r="M184">
        <v>0.45529536502968698</v>
      </c>
      <c r="N184">
        <v>0.16718489985541199</v>
      </c>
      <c r="O184">
        <v>0.44527665954829498</v>
      </c>
      <c r="P184">
        <v>0.179692271484409</v>
      </c>
    </row>
    <row r="185" spans="1:16" x14ac:dyDescent="0.3">
      <c r="A185" t="s">
        <v>46</v>
      </c>
      <c r="B185" t="s">
        <v>52</v>
      </c>
      <c r="C185" t="s">
        <v>53</v>
      </c>
      <c r="D185" t="s">
        <v>48</v>
      </c>
      <c r="E185" t="s">
        <v>59</v>
      </c>
      <c r="F185" t="s">
        <v>50</v>
      </c>
      <c r="G185" t="s">
        <v>51</v>
      </c>
      <c r="H185" t="s">
        <v>2</v>
      </c>
      <c r="I185">
        <v>0.53763099895200805</v>
      </c>
      <c r="J185">
        <v>0.22547583169664501</v>
      </c>
      <c r="K185">
        <v>0.39449821522901701</v>
      </c>
      <c r="L185">
        <v>0.16085969599792799</v>
      </c>
      <c r="M185">
        <v>0.48165176267001403</v>
      </c>
      <c r="N185">
        <v>0.138700448499506</v>
      </c>
      <c r="O185">
        <v>0.44011121042899698</v>
      </c>
      <c r="P185">
        <v>0.18759693894562901</v>
      </c>
    </row>
    <row r="186" spans="1:16" x14ac:dyDescent="0.3">
      <c r="A186" t="s">
        <v>46</v>
      </c>
      <c r="B186" t="s">
        <v>52</v>
      </c>
      <c r="C186" t="s">
        <v>53</v>
      </c>
      <c r="D186" t="s">
        <v>48</v>
      </c>
      <c r="E186" t="s">
        <v>59</v>
      </c>
      <c r="F186" t="s">
        <v>50</v>
      </c>
      <c r="G186" t="s">
        <v>55</v>
      </c>
      <c r="H186" t="s">
        <v>3</v>
      </c>
      <c r="I186">
        <v>0.60894967125977195</v>
      </c>
      <c r="J186">
        <v>0.26420286295449302</v>
      </c>
      <c r="K186">
        <v>0.46150867014487301</v>
      </c>
      <c r="L186">
        <v>0.23522139714315901</v>
      </c>
      <c r="M186">
        <v>0.50865789911842496</v>
      </c>
      <c r="N186">
        <v>0.246549221325359</v>
      </c>
      <c r="O186">
        <v>0.51185262179574198</v>
      </c>
      <c r="P186">
        <v>0.22151267255667001</v>
      </c>
    </row>
    <row r="187" spans="1:16" x14ac:dyDescent="0.3">
      <c r="A187" t="s">
        <v>46</v>
      </c>
      <c r="B187" t="s">
        <v>52</v>
      </c>
      <c r="C187" t="s">
        <v>53</v>
      </c>
      <c r="D187" t="s">
        <v>48</v>
      </c>
      <c r="E187" t="s">
        <v>59</v>
      </c>
      <c r="F187" t="s">
        <v>50</v>
      </c>
      <c r="G187" t="s">
        <v>55</v>
      </c>
      <c r="H187" t="s">
        <v>5</v>
      </c>
      <c r="I187">
        <v>0.55754925389168297</v>
      </c>
      <c r="J187">
        <v>0.22537402971772899</v>
      </c>
      <c r="K187">
        <v>0.44106770717211202</v>
      </c>
      <c r="L187">
        <v>0.20241690591807901</v>
      </c>
      <c r="M187">
        <v>0.52531259255420404</v>
      </c>
      <c r="N187">
        <v>0.17146609573201199</v>
      </c>
      <c r="O187">
        <v>0.46381522469298703</v>
      </c>
      <c r="P187">
        <v>0.21517335847340199</v>
      </c>
    </row>
    <row r="188" spans="1:16" x14ac:dyDescent="0.3">
      <c r="A188" t="s">
        <v>46</v>
      </c>
      <c r="B188" t="s">
        <v>52</v>
      </c>
      <c r="C188" t="s">
        <v>53</v>
      </c>
      <c r="D188" t="s">
        <v>48</v>
      </c>
      <c r="E188" t="s">
        <v>59</v>
      </c>
      <c r="F188" t="s">
        <v>50</v>
      </c>
      <c r="G188" t="s">
        <v>55</v>
      </c>
      <c r="H188" t="s">
        <v>4</v>
      </c>
      <c r="I188">
        <v>0.53849573489126301</v>
      </c>
      <c r="J188">
        <v>0.25579893869317599</v>
      </c>
      <c r="K188">
        <v>0.40553338396422001</v>
      </c>
      <c r="L188">
        <v>0.198982510920831</v>
      </c>
      <c r="M188">
        <v>0.46763745071857599</v>
      </c>
      <c r="N188">
        <v>0.194601595594972</v>
      </c>
      <c r="O188">
        <v>0.448367448425048</v>
      </c>
      <c r="P188">
        <v>0.20487437247607301</v>
      </c>
    </row>
    <row r="189" spans="1:16" x14ac:dyDescent="0.3">
      <c r="A189" t="s">
        <v>46</v>
      </c>
      <c r="B189" t="s">
        <v>52</v>
      </c>
      <c r="C189" t="s">
        <v>53</v>
      </c>
      <c r="D189" t="s">
        <v>48</v>
      </c>
      <c r="E189" t="s">
        <v>59</v>
      </c>
      <c r="F189" t="s">
        <v>50</v>
      </c>
      <c r="G189" t="s">
        <v>55</v>
      </c>
      <c r="H189" t="s">
        <v>2</v>
      </c>
      <c r="I189">
        <v>0.54134714065144596</v>
      </c>
      <c r="J189">
        <v>0.21654849067323201</v>
      </c>
      <c r="K189">
        <v>0.40310381975639697</v>
      </c>
      <c r="L189">
        <v>0.15709762602623301</v>
      </c>
      <c r="M189">
        <v>0.50024670917724401</v>
      </c>
      <c r="N189">
        <v>0.11442860704508399</v>
      </c>
      <c r="O189">
        <v>0.440626280484261</v>
      </c>
      <c r="P189">
        <v>0.190437827789051</v>
      </c>
    </row>
    <row r="190" spans="1:16" x14ac:dyDescent="0.3">
      <c r="A190" t="s">
        <v>46</v>
      </c>
      <c r="B190" t="s">
        <v>52</v>
      </c>
      <c r="C190" t="s">
        <v>53</v>
      </c>
      <c r="D190" t="s">
        <v>48</v>
      </c>
      <c r="E190" t="s">
        <v>59</v>
      </c>
      <c r="F190" t="s">
        <v>54</v>
      </c>
      <c r="G190" t="s">
        <v>51</v>
      </c>
      <c r="H190" t="s">
        <v>5</v>
      </c>
      <c r="I190">
        <v>0.70936985229412597</v>
      </c>
      <c r="J190">
        <v>0.18783454399625299</v>
      </c>
      <c r="K190">
        <v>0.47192124656939</v>
      </c>
      <c r="L190">
        <v>0.135271255722408</v>
      </c>
      <c r="M190">
        <v>0.548881598546061</v>
      </c>
      <c r="N190">
        <v>0.186536709379513</v>
      </c>
      <c r="O190">
        <v>0.52292657798342401</v>
      </c>
      <c r="P190">
        <v>0.124418699970582</v>
      </c>
    </row>
    <row r="191" spans="1:16" x14ac:dyDescent="0.3">
      <c r="A191" t="s">
        <v>46</v>
      </c>
      <c r="B191" t="s">
        <v>52</v>
      </c>
      <c r="C191" t="s">
        <v>53</v>
      </c>
      <c r="D191" t="s">
        <v>48</v>
      </c>
      <c r="E191" t="s">
        <v>59</v>
      </c>
      <c r="F191" t="s">
        <v>54</v>
      </c>
      <c r="G191" t="s">
        <v>51</v>
      </c>
      <c r="H191" t="s">
        <v>2</v>
      </c>
      <c r="I191">
        <v>0.71470186107917899</v>
      </c>
      <c r="J191">
        <v>0.214895338421214</v>
      </c>
      <c r="K191">
        <v>0.465447300462836</v>
      </c>
      <c r="L191">
        <v>0.15630681648030101</v>
      </c>
      <c r="M191">
        <v>0.49238343315987698</v>
      </c>
      <c r="N191">
        <v>0.16827447899152201</v>
      </c>
      <c r="O191">
        <v>0.51755177743221803</v>
      </c>
      <c r="P191">
        <v>0.12878316952309801</v>
      </c>
    </row>
    <row r="192" spans="1:16" x14ac:dyDescent="0.3">
      <c r="A192" t="s">
        <v>46</v>
      </c>
      <c r="B192" t="s">
        <v>52</v>
      </c>
      <c r="C192" t="s">
        <v>53</v>
      </c>
      <c r="D192" t="s">
        <v>48</v>
      </c>
      <c r="E192" t="s">
        <v>59</v>
      </c>
      <c r="F192" t="s">
        <v>54</v>
      </c>
      <c r="G192" t="s">
        <v>51</v>
      </c>
      <c r="H192" t="s">
        <v>3</v>
      </c>
      <c r="I192">
        <v>0.702699995240197</v>
      </c>
      <c r="J192">
        <v>0.22433221356047001</v>
      </c>
      <c r="K192">
        <v>0.45678557214158999</v>
      </c>
      <c r="L192">
        <v>0.16445287552280199</v>
      </c>
      <c r="M192">
        <v>0.48423565419937598</v>
      </c>
      <c r="N192">
        <v>0.19364673450833</v>
      </c>
      <c r="O192">
        <v>0.52525263349817997</v>
      </c>
      <c r="P192">
        <v>0.14054963114633101</v>
      </c>
    </row>
    <row r="193" spans="1:16" x14ac:dyDescent="0.3">
      <c r="A193" t="s">
        <v>46</v>
      </c>
      <c r="B193" t="s">
        <v>52</v>
      </c>
      <c r="C193" t="s">
        <v>53</v>
      </c>
      <c r="D193" t="s">
        <v>48</v>
      </c>
      <c r="E193" t="s">
        <v>59</v>
      </c>
      <c r="F193" t="s">
        <v>54</v>
      </c>
      <c r="G193" t="s">
        <v>51</v>
      </c>
      <c r="H193" t="s">
        <v>4</v>
      </c>
      <c r="I193">
        <v>0.71827787872760096</v>
      </c>
      <c r="J193">
        <v>0.22363057202862699</v>
      </c>
      <c r="K193">
        <v>0.45647535362074398</v>
      </c>
      <c r="L193">
        <v>0.180771447833176</v>
      </c>
      <c r="M193">
        <v>0.43706339561048801</v>
      </c>
      <c r="N193">
        <v>0.21607776914242899</v>
      </c>
      <c r="O193">
        <v>0.52817342501292197</v>
      </c>
      <c r="P193">
        <v>0.14022597808489201</v>
      </c>
    </row>
    <row r="194" spans="1:16" x14ac:dyDescent="0.3">
      <c r="A194" t="s">
        <v>46</v>
      </c>
      <c r="B194" t="s">
        <v>52</v>
      </c>
      <c r="C194" t="s">
        <v>53</v>
      </c>
      <c r="D194" t="s">
        <v>57</v>
      </c>
      <c r="E194" t="s">
        <v>49</v>
      </c>
      <c r="F194" t="s">
        <v>50</v>
      </c>
      <c r="G194" t="s">
        <v>51</v>
      </c>
      <c r="H194" t="s">
        <v>2</v>
      </c>
      <c r="I194">
        <v>0.85867078460944202</v>
      </c>
      <c r="J194">
        <v>0.151317287450875</v>
      </c>
      <c r="K194">
        <v>1.0321744738056899</v>
      </c>
      <c r="L194">
        <v>0.17277625288850099</v>
      </c>
      <c r="M194">
        <v>-0.176978453986329</v>
      </c>
      <c r="N194">
        <v>0.31946088163914999</v>
      </c>
    </row>
    <row r="195" spans="1:16" x14ac:dyDescent="0.3">
      <c r="A195" t="s">
        <v>46</v>
      </c>
      <c r="B195" t="s">
        <v>52</v>
      </c>
      <c r="C195" t="s">
        <v>53</v>
      </c>
      <c r="D195" t="s">
        <v>57</v>
      </c>
      <c r="E195" t="s">
        <v>49</v>
      </c>
      <c r="F195" t="s">
        <v>50</v>
      </c>
      <c r="G195" t="s">
        <v>51</v>
      </c>
      <c r="H195" t="s">
        <v>4</v>
      </c>
      <c r="I195">
        <v>0.78354056819687501</v>
      </c>
      <c r="J195">
        <v>0.12022481864203</v>
      </c>
      <c r="K195">
        <v>0.94680210523923602</v>
      </c>
      <c r="L195">
        <v>0.12535979169308001</v>
      </c>
      <c r="M195">
        <v>1.4675251913629899E-2</v>
      </c>
      <c r="N195">
        <v>0.105697091031682</v>
      </c>
    </row>
    <row r="196" spans="1:16" x14ac:dyDescent="0.3">
      <c r="A196" t="s">
        <v>46</v>
      </c>
      <c r="B196" t="s">
        <v>52</v>
      </c>
      <c r="C196" t="s">
        <v>53</v>
      </c>
      <c r="D196" t="s">
        <v>57</v>
      </c>
      <c r="E196" t="s">
        <v>49</v>
      </c>
      <c r="F196" t="s">
        <v>50</v>
      </c>
      <c r="G196" t="s">
        <v>51</v>
      </c>
      <c r="H196" t="s">
        <v>5</v>
      </c>
      <c r="I196">
        <v>0.83848119639040997</v>
      </c>
      <c r="J196">
        <v>0.133836941871983</v>
      </c>
      <c r="K196">
        <v>1.0258805127452399</v>
      </c>
      <c r="L196">
        <v>0.15658034702485901</v>
      </c>
      <c r="M196">
        <v>-0.15823033861274299</v>
      </c>
      <c r="N196">
        <v>0.242254252329208</v>
      </c>
    </row>
    <row r="197" spans="1:16" x14ac:dyDescent="0.3">
      <c r="A197" t="s">
        <v>46</v>
      </c>
      <c r="B197" t="s">
        <v>52</v>
      </c>
      <c r="C197" t="s">
        <v>53</v>
      </c>
      <c r="D197" t="s">
        <v>57</v>
      </c>
      <c r="E197" t="s">
        <v>49</v>
      </c>
      <c r="F197" t="s">
        <v>50</v>
      </c>
      <c r="G197" t="s">
        <v>51</v>
      </c>
      <c r="H197" t="s">
        <v>3</v>
      </c>
      <c r="I197">
        <v>0.79430555246588697</v>
      </c>
      <c r="J197">
        <v>0.13369903804743</v>
      </c>
      <c r="K197">
        <v>0.96238930809935397</v>
      </c>
      <c r="L197">
        <v>0.15451818587389399</v>
      </c>
      <c r="M197">
        <v>-2.6093421984728499E-2</v>
      </c>
      <c r="N197">
        <v>0.16216798093865001</v>
      </c>
    </row>
    <row r="198" spans="1:16" x14ac:dyDescent="0.3">
      <c r="A198" t="s">
        <v>46</v>
      </c>
      <c r="B198" t="s">
        <v>52</v>
      </c>
      <c r="C198" t="s">
        <v>53</v>
      </c>
      <c r="D198" t="s">
        <v>57</v>
      </c>
      <c r="E198" t="s">
        <v>49</v>
      </c>
      <c r="F198" t="s">
        <v>54</v>
      </c>
      <c r="G198" t="s">
        <v>51</v>
      </c>
      <c r="H198" t="s">
        <v>2</v>
      </c>
      <c r="I198">
        <v>0.90137353033726997</v>
      </c>
      <c r="J198">
        <v>8.8748214192122699E-2</v>
      </c>
      <c r="K198">
        <v>1.09225500835828</v>
      </c>
      <c r="L198">
        <v>8.2314389340610597E-2</v>
      </c>
      <c r="M198">
        <v>-0.24142987289759499</v>
      </c>
      <c r="N198">
        <v>0.18521105516891401</v>
      </c>
    </row>
    <row r="199" spans="1:16" x14ac:dyDescent="0.3">
      <c r="A199" t="s">
        <v>46</v>
      </c>
      <c r="B199" t="s">
        <v>52</v>
      </c>
      <c r="C199" t="s">
        <v>53</v>
      </c>
      <c r="D199" t="s">
        <v>57</v>
      </c>
      <c r="E199" t="s">
        <v>49</v>
      </c>
      <c r="F199" t="s">
        <v>54</v>
      </c>
      <c r="G199" t="s">
        <v>51</v>
      </c>
      <c r="H199" t="s">
        <v>4</v>
      </c>
      <c r="I199">
        <v>0.832361594458353</v>
      </c>
      <c r="J199">
        <v>7.2263263833076602E-2</v>
      </c>
      <c r="K199">
        <v>0.97460257404797201</v>
      </c>
      <c r="L199">
        <v>5.19843643614641E-2</v>
      </c>
      <c r="M199">
        <v>1.41490898792931E-2</v>
      </c>
      <c r="N199">
        <v>0.10400272214178501</v>
      </c>
    </row>
    <row r="200" spans="1:16" x14ac:dyDescent="0.3">
      <c r="A200" t="s">
        <v>46</v>
      </c>
      <c r="B200" t="s">
        <v>52</v>
      </c>
      <c r="C200" t="s">
        <v>53</v>
      </c>
      <c r="D200" t="s">
        <v>57</v>
      </c>
      <c r="E200" t="s">
        <v>49</v>
      </c>
      <c r="F200" t="s">
        <v>54</v>
      </c>
      <c r="G200" t="s">
        <v>51</v>
      </c>
      <c r="H200" t="s">
        <v>5</v>
      </c>
      <c r="I200">
        <v>0.86579788749384501</v>
      </c>
      <c r="J200">
        <v>8.8030790649477997E-2</v>
      </c>
      <c r="K200">
        <v>1.04928912361381</v>
      </c>
      <c r="L200">
        <v>7.4738645238562204E-2</v>
      </c>
      <c r="M200">
        <v>-0.145479806126074</v>
      </c>
      <c r="N200">
        <v>0.166169239673327</v>
      </c>
    </row>
    <row r="201" spans="1:16" x14ac:dyDescent="0.3">
      <c r="A201" t="s">
        <v>46</v>
      </c>
      <c r="B201" t="s">
        <v>52</v>
      </c>
      <c r="C201" t="s">
        <v>53</v>
      </c>
      <c r="D201" t="s">
        <v>57</v>
      </c>
      <c r="E201" t="s">
        <v>49</v>
      </c>
      <c r="F201" t="s">
        <v>54</v>
      </c>
      <c r="G201" t="s">
        <v>51</v>
      </c>
      <c r="H201" t="s">
        <v>3</v>
      </c>
      <c r="I201">
        <v>0.83667555072481803</v>
      </c>
      <c r="J201">
        <v>8.1061267560021397E-2</v>
      </c>
      <c r="K201">
        <v>0.98728909752750704</v>
      </c>
      <c r="L201">
        <v>6.4322888923267998E-2</v>
      </c>
      <c r="M201">
        <v>-1.27559773196765E-2</v>
      </c>
      <c r="N201">
        <v>0.129324647691103</v>
      </c>
    </row>
    <row r="202" spans="1:16" x14ac:dyDescent="0.3">
      <c r="A202" t="s">
        <v>46</v>
      </c>
      <c r="B202" t="s">
        <v>52</v>
      </c>
      <c r="C202" t="s">
        <v>53</v>
      </c>
      <c r="D202" t="s">
        <v>57</v>
      </c>
      <c r="E202" t="s">
        <v>59</v>
      </c>
      <c r="F202" t="s">
        <v>50</v>
      </c>
      <c r="G202" t="s">
        <v>51</v>
      </c>
      <c r="H202" t="s">
        <v>2</v>
      </c>
      <c r="I202">
        <v>1.9023850778096101</v>
      </c>
      <c r="J202">
        <v>0.58492302121889395</v>
      </c>
      <c r="K202">
        <v>2.1848144257526099</v>
      </c>
      <c r="L202">
        <v>0.58248940307635599</v>
      </c>
      <c r="M202">
        <v>-4.3615444819789397</v>
      </c>
      <c r="N202">
        <v>6.5649747338762197</v>
      </c>
    </row>
    <row r="203" spans="1:16" x14ac:dyDescent="0.3">
      <c r="A203" t="s">
        <v>46</v>
      </c>
      <c r="B203" t="s">
        <v>52</v>
      </c>
      <c r="C203" t="s">
        <v>53</v>
      </c>
      <c r="D203" t="s">
        <v>57</v>
      </c>
      <c r="E203" t="s">
        <v>59</v>
      </c>
      <c r="F203" t="s">
        <v>50</v>
      </c>
      <c r="G203" t="s">
        <v>51</v>
      </c>
      <c r="H203" t="s">
        <v>4</v>
      </c>
      <c r="I203">
        <v>1.7422079276278599</v>
      </c>
      <c r="J203">
        <v>0.55627735645265597</v>
      </c>
      <c r="K203">
        <v>1.98862766330138</v>
      </c>
      <c r="L203">
        <v>0.53975081457291296</v>
      </c>
      <c r="M203">
        <v>-3.13051339588058</v>
      </c>
      <c r="N203">
        <v>4.6281128754085996</v>
      </c>
    </row>
    <row r="204" spans="1:16" x14ac:dyDescent="0.3">
      <c r="A204" t="s">
        <v>46</v>
      </c>
      <c r="B204" t="s">
        <v>52</v>
      </c>
      <c r="C204" t="s">
        <v>53</v>
      </c>
      <c r="D204" t="s">
        <v>57</v>
      </c>
      <c r="E204" t="s">
        <v>59</v>
      </c>
      <c r="F204" t="s">
        <v>50</v>
      </c>
      <c r="G204" t="s">
        <v>51</v>
      </c>
      <c r="H204" t="s">
        <v>5</v>
      </c>
      <c r="I204">
        <v>1.8703708723824699</v>
      </c>
      <c r="J204">
        <v>0.48774619873785702</v>
      </c>
      <c r="K204">
        <v>2.1886745645410302</v>
      </c>
      <c r="L204">
        <v>0.47915592708093502</v>
      </c>
      <c r="M204">
        <v>-3.7856513417047601</v>
      </c>
      <c r="N204">
        <v>4.9610898489659796</v>
      </c>
    </row>
    <row r="205" spans="1:16" x14ac:dyDescent="0.3">
      <c r="A205" t="s">
        <v>46</v>
      </c>
      <c r="B205" t="s">
        <v>52</v>
      </c>
      <c r="C205" t="s">
        <v>53</v>
      </c>
      <c r="D205" t="s">
        <v>57</v>
      </c>
      <c r="E205" t="s">
        <v>59</v>
      </c>
      <c r="F205" t="s">
        <v>50</v>
      </c>
      <c r="G205" t="s">
        <v>51</v>
      </c>
      <c r="H205" t="s">
        <v>3</v>
      </c>
      <c r="I205">
        <v>1.82587585198806</v>
      </c>
      <c r="J205">
        <v>0.64052061365427104</v>
      </c>
      <c r="K205">
        <v>2.08650559738363</v>
      </c>
      <c r="L205">
        <v>0.62280860442979602</v>
      </c>
      <c r="M205">
        <v>-3.46553964438072</v>
      </c>
      <c r="N205">
        <v>5.2085979809090404</v>
      </c>
    </row>
    <row r="206" spans="1:16" x14ac:dyDescent="0.3">
      <c r="A206" t="s">
        <v>46</v>
      </c>
      <c r="B206" t="s">
        <v>52</v>
      </c>
      <c r="C206" t="s">
        <v>53</v>
      </c>
      <c r="D206" t="s">
        <v>57</v>
      </c>
      <c r="E206" t="s">
        <v>59</v>
      </c>
      <c r="F206" t="s">
        <v>54</v>
      </c>
      <c r="G206" t="s">
        <v>51</v>
      </c>
      <c r="H206" t="s">
        <v>2</v>
      </c>
      <c r="I206">
        <v>2.0849368104189598</v>
      </c>
      <c r="J206">
        <v>0.59515601097458304</v>
      </c>
      <c r="K206">
        <v>2.4204363329752101</v>
      </c>
      <c r="L206">
        <v>0.63278531464796905</v>
      </c>
      <c r="M206">
        <v>-1.66013339732763</v>
      </c>
      <c r="N206">
        <v>3.24402731364937</v>
      </c>
    </row>
    <row r="207" spans="1:16" x14ac:dyDescent="0.3">
      <c r="A207" t="s">
        <v>46</v>
      </c>
      <c r="B207" t="s">
        <v>52</v>
      </c>
      <c r="C207" t="s">
        <v>53</v>
      </c>
      <c r="D207" t="s">
        <v>57</v>
      </c>
      <c r="E207" t="s">
        <v>59</v>
      </c>
      <c r="F207" t="s">
        <v>54</v>
      </c>
      <c r="G207" t="s">
        <v>51</v>
      </c>
      <c r="H207" t="s">
        <v>4</v>
      </c>
      <c r="I207">
        <v>1.9880245384728401</v>
      </c>
      <c r="J207">
        <v>0.54761664176108804</v>
      </c>
      <c r="K207">
        <v>2.24833679425041</v>
      </c>
      <c r="L207">
        <v>0.56237440138110795</v>
      </c>
      <c r="M207">
        <v>-1.3159677117725399</v>
      </c>
      <c r="N207">
        <v>2.6600989606843299</v>
      </c>
    </row>
    <row r="208" spans="1:16" x14ac:dyDescent="0.3">
      <c r="A208" t="s">
        <v>46</v>
      </c>
      <c r="B208" t="s">
        <v>52</v>
      </c>
      <c r="C208" t="s">
        <v>53</v>
      </c>
      <c r="D208" t="s">
        <v>57</v>
      </c>
      <c r="E208" t="s">
        <v>59</v>
      </c>
      <c r="F208" t="s">
        <v>54</v>
      </c>
      <c r="G208" t="s">
        <v>51</v>
      </c>
      <c r="H208" t="s">
        <v>5</v>
      </c>
      <c r="I208">
        <v>2.0222232275135701</v>
      </c>
      <c r="J208">
        <v>0.56549494797292899</v>
      </c>
      <c r="K208">
        <v>2.3758325602481101</v>
      </c>
      <c r="L208">
        <v>0.58973113027829205</v>
      </c>
      <c r="M208">
        <v>-1.455961461379</v>
      </c>
      <c r="N208">
        <v>2.63549620330997</v>
      </c>
    </row>
    <row r="209" spans="1:16" x14ac:dyDescent="0.3">
      <c r="A209" t="s">
        <v>46</v>
      </c>
      <c r="B209" t="s">
        <v>52</v>
      </c>
      <c r="C209" t="s">
        <v>53</v>
      </c>
      <c r="D209" t="s">
        <v>57</v>
      </c>
      <c r="E209" t="s">
        <v>59</v>
      </c>
      <c r="F209" t="s">
        <v>54</v>
      </c>
      <c r="G209" t="s">
        <v>51</v>
      </c>
      <c r="H209" t="s">
        <v>3</v>
      </c>
      <c r="I209">
        <v>2.0579411749420502</v>
      </c>
      <c r="J209">
        <v>0.61453766441640501</v>
      </c>
      <c r="K209">
        <v>2.3498334143232298</v>
      </c>
      <c r="L209">
        <v>0.64007081285220402</v>
      </c>
      <c r="M209">
        <v>-1.61695601836062</v>
      </c>
      <c r="N209">
        <v>3.10063558944411</v>
      </c>
    </row>
    <row r="210" spans="1:16" x14ac:dyDescent="0.3">
      <c r="A210" t="s">
        <v>46</v>
      </c>
      <c r="B210" t="s">
        <v>52</v>
      </c>
      <c r="C210" t="s">
        <v>53</v>
      </c>
      <c r="D210" t="s">
        <v>56</v>
      </c>
      <c r="E210" t="s">
        <v>49</v>
      </c>
      <c r="F210" t="s">
        <v>50</v>
      </c>
      <c r="G210" t="s">
        <v>51</v>
      </c>
      <c r="H210" t="s">
        <v>4</v>
      </c>
      <c r="I210">
        <v>0.68898917380089497</v>
      </c>
      <c r="J210">
        <v>0.119538713998752</v>
      </c>
      <c r="K210">
        <v>0.34660459197272397</v>
      </c>
      <c r="L210">
        <v>0.133965809113016</v>
      </c>
      <c r="M210">
        <v>0.33616868592523702</v>
      </c>
      <c r="N210">
        <v>0.17004868150387401</v>
      </c>
      <c r="O210">
        <v>0.40071716074622998</v>
      </c>
      <c r="P210">
        <v>0.11475153927312701</v>
      </c>
    </row>
    <row r="211" spans="1:16" x14ac:dyDescent="0.3">
      <c r="A211" t="s">
        <v>46</v>
      </c>
      <c r="B211" t="s">
        <v>52</v>
      </c>
      <c r="C211" t="s">
        <v>53</v>
      </c>
      <c r="D211" t="s">
        <v>56</v>
      </c>
      <c r="E211" t="s">
        <v>49</v>
      </c>
      <c r="F211" t="s">
        <v>50</v>
      </c>
      <c r="G211" t="s">
        <v>51</v>
      </c>
      <c r="H211" t="s">
        <v>3</v>
      </c>
      <c r="I211">
        <v>0.68070634006356501</v>
      </c>
      <c r="J211">
        <v>0.122818859075551</v>
      </c>
      <c r="K211">
        <v>0.344048589203861</v>
      </c>
      <c r="L211">
        <v>0.13478064151098801</v>
      </c>
      <c r="M211">
        <v>0.34105517155862702</v>
      </c>
      <c r="N211">
        <v>0.181492445671638</v>
      </c>
      <c r="O211">
        <v>0.392638763762794</v>
      </c>
      <c r="P211">
        <v>0.116799050154111</v>
      </c>
    </row>
    <row r="212" spans="1:16" x14ac:dyDescent="0.3">
      <c r="A212" t="s">
        <v>46</v>
      </c>
      <c r="B212" t="s">
        <v>52</v>
      </c>
      <c r="C212" t="s">
        <v>53</v>
      </c>
      <c r="D212" t="s">
        <v>56</v>
      </c>
      <c r="E212" t="s">
        <v>49</v>
      </c>
      <c r="F212" t="s">
        <v>50</v>
      </c>
      <c r="G212" t="s">
        <v>51</v>
      </c>
      <c r="H212" t="s">
        <v>2</v>
      </c>
      <c r="I212">
        <v>0.65394662556985195</v>
      </c>
      <c r="J212">
        <v>0.14463399538552699</v>
      </c>
      <c r="K212">
        <v>0.33524930100277001</v>
      </c>
      <c r="L212">
        <v>0.14530787278047499</v>
      </c>
      <c r="M212">
        <v>0.32076960911785202</v>
      </c>
      <c r="N212">
        <v>0.17576483310624</v>
      </c>
      <c r="O212">
        <v>0.378158708280117</v>
      </c>
      <c r="P212">
        <v>0.129870289921731</v>
      </c>
    </row>
    <row r="213" spans="1:16" x14ac:dyDescent="0.3">
      <c r="A213" t="s">
        <v>46</v>
      </c>
      <c r="B213" t="s">
        <v>52</v>
      </c>
      <c r="C213" t="s">
        <v>53</v>
      </c>
      <c r="D213" t="s">
        <v>56</v>
      </c>
      <c r="E213" t="s">
        <v>49</v>
      </c>
      <c r="F213" t="s">
        <v>50</v>
      </c>
      <c r="G213" t="s">
        <v>51</v>
      </c>
      <c r="H213" t="s">
        <v>5</v>
      </c>
      <c r="I213">
        <v>0.60543244225474702</v>
      </c>
      <c r="J213">
        <v>0.14523539139771299</v>
      </c>
      <c r="K213">
        <v>0.32747599847703202</v>
      </c>
      <c r="L213">
        <v>0.150569230492898</v>
      </c>
      <c r="M213">
        <v>0.33733466733944001</v>
      </c>
      <c r="N213">
        <v>0.19396859560461299</v>
      </c>
      <c r="O213">
        <v>0.35057335515896798</v>
      </c>
      <c r="P213">
        <v>0.136318270274144</v>
      </c>
    </row>
    <row r="214" spans="1:16" x14ac:dyDescent="0.3">
      <c r="A214" t="s">
        <v>46</v>
      </c>
      <c r="B214" t="s">
        <v>52</v>
      </c>
      <c r="C214" t="s">
        <v>53</v>
      </c>
      <c r="D214" t="s">
        <v>56</v>
      </c>
      <c r="E214" t="s">
        <v>49</v>
      </c>
      <c r="F214" t="s">
        <v>54</v>
      </c>
      <c r="G214" t="s">
        <v>51</v>
      </c>
      <c r="H214" t="s">
        <v>4</v>
      </c>
      <c r="I214">
        <v>0.596551661834817</v>
      </c>
      <c r="J214">
        <v>0.14332048133078201</v>
      </c>
      <c r="K214">
        <v>0.329963879868857</v>
      </c>
      <c r="L214">
        <v>9.5166946124185497E-2</v>
      </c>
      <c r="M214">
        <v>0.35803969757276199</v>
      </c>
      <c r="N214">
        <v>0.16440705191054</v>
      </c>
      <c r="O214">
        <v>0.37917889788822201</v>
      </c>
      <c r="P214">
        <v>7.9716800529376006E-2</v>
      </c>
    </row>
    <row r="215" spans="1:16" x14ac:dyDescent="0.3">
      <c r="A215" t="s">
        <v>46</v>
      </c>
      <c r="B215" t="s">
        <v>52</v>
      </c>
      <c r="C215" t="s">
        <v>53</v>
      </c>
      <c r="D215" t="s">
        <v>56</v>
      </c>
      <c r="E215" t="s">
        <v>49</v>
      </c>
      <c r="F215" t="s">
        <v>54</v>
      </c>
      <c r="G215" t="s">
        <v>51</v>
      </c>
      <c r="H215" t="s">
        <v>5</v>
      </c>
      <c r="I215">
        <v>0.54948478067879802</v>
      </c>
      <c r="J215">
        <v>0.14397902801752999</v>
      </c>
      <c r="K215">
        <v>0.30994503771782</v>
      </c>
      <c r="L215">
        <v>7.4406900320177202E-2</v>
      </c>
      <c r="M215">
        <v>0.33705568285152998</v>
      </c>
      <c r="N215">
        <v>0.104790197182086</v>
      </c>
      <c r="O215">
        <v>0.33796652212110001</v>
      </c>
      <c r="P215">
        <v>7.8128044423154103E-2</v>
      </c>
    </row>
    <row r="216" spans="1:16" x14ac:dyDescent="0.3">
      <c r="A216" t="s">
        <v>46</v>
      </c>
      <c r="B216" t="s">
        <v>52</v>
      </c>
      <c r="C216" t="s">
        <v>53</v>
      </c>
      <c r="D216" t="s">
        <v>56</v>
      </c>
      <c r="E216" t="s">
        <v>49</v>
      </c>
      <c r="F216" t="s">
        <v>54</v>
      </c>
      <c r="G216" t="s">
        <v>51</v>
      </c>
      <c r="H216" t="s">
        <v>2</v>
      </c>
      <c r="I216">
        <v>0.56892304819640305</v>
      </c>
      <c r="J216">
        <v>0.17376468524656499</v>
      </c>
      <c r="K216">
        <v>0.30524643962479903</v>
      </c>
      <c r="L216">
        <v>9.8501944466137498E-2</v>
      </c>
      <c r="M216">
        <v>0.32203002814770398</v>
      </c>
      <c r="N216">
        <v>0.15290257852244801</v>
      </c>
      <c r="O216">
        <v>0.35889383096868199</v>
      </c>
      <c r="P216">
        <v>9.4992788682956603E-2</v>
      </c>
    </row>
    <row r="217" spans="1:16" x14ac:dyDescent="0.3">
      <c r="A217" t="s">
        <v>46</v>
      </c>
      <c r="B217" t="s">
        <v>52</v>
      </c>
      <c r="C217" t="s">
        <v>53</v>
      </c>
      <c r="D217" t="s">
        <v>56</v>
      </c>
      <c r="E217" t="s">
        <v>49</v>
      </c>
      <c r="F217" t="s">
        <v>54</v>
      </c>
      <c r="G217" t="s">
        <v>51</v>
      </c>
      <c r="H217" t="s">
        <v>3</v>
      </c>
      <c r="I217">
        <v>0.60270734887139199</v>
      </c>
      <c r="J217">
        <v>0.150852300117919</v>
      </c>
      <c r="K217">
        <v>0.29953616601426097</v>
      </c>
      <c r="L217">
        <v>8.2241337332836395E-2</v>
      </c>
      <c r="M217">
        <v>0.31022012177027702</v>
      </c>
      <c r="N217">
        <v>0.119154622267933</v>
      </c>
      <c r="O217">
        <v>0.361997956463321</v>
      </c>
      <c r="P217">
        <v>8.2872105626626294E-2</v>
      </c>
    </row>
    <row r="218" spans="1:16" x14ac:dyDescent="0.3">
      <c r="A218" t="s">
        <v>46</v>
      </c>
      <c r="B218" t="s">
        <v>52</v>
      </c>
      <c r="C218" t="s">
        <v>53</v>
      </c>
      <c r="D218" t="s">
        <v>56</v>
      </c>
      <c r="E218" t="s">
        <v>59</v>
      </c>
      <c r="F218" t="s">
        <v>50</v>
      </c>
      <c r="G218" t="s">
        <v>51</v>
      </c>
      <c r="H218" t="s">
        <v>4</v>
      </c>
      <c r="I218">
        <v>0.36891464868280999</v>
      </c>
      <c r="J218">
        <v>0.16888481621335799</v>
      </c>
      <c r="K218">
        <v>0.25411697838793201</v>
      </c>
      <c r="L218">
        <v>0.138582885949421</v>
      </c>
      <c r="M218">
        <v>0.28946075414413602</v>
      </c>
      <c r="N218">
        <v>0.18483299909216699</v>
      </c>
      <c r="O218">
        <v>0.30207374481530203</v>
      </c>
      <c r="P218">
        <v>0.14550878457985</v>
      </c>
    </row>
    <row r="219" spans="1:16" x14ac:dyDescent="0.3">
      <c r="A219" t="s">
        <v>46</v>
      </c>
      <c r="B219" t="s">
        <v>52</v>
      </c>
      <c r="C219" t="s">
        <v>53</v>
      </c>
      <c r="D219" t="s">
        <v>56</v>
      </c>
      <c r="E219" t="s">
        <v>59</v>
      </c>
      <c r="F219" t="s">
        <v>50</v>
      </c>
      <c r="G219" t="s">
        <v>51</v>
      </c>
      <c r="H219" t="s">
        <v>5</v>
      </c>
      <c r="I219">
        <v>0.33202184382524902</v>
      </c>
      <c r="J219">
        <v>0.15114087541799001</v>
      </c>
      <c r="K219">
        <v>0.25146094124156898</v>
      </c>
      <c r="L219">
        <v>0.11731627308334899</v>
      </c>
      <c r="M219">
        <v>0.34098967892572501</v>
      </c>
      <c r="N219">
        <v>0.13221163157117299</v>
      </c>
      <c r="O219">
        <v>0.25942495964860701</v>
      </c>
      <c r="P219">
        <v>0.14517804980665799</v>
      </c>
    </row>
    <row r="220" spans="1:16" x14ac:dyDescent="0.3">
      <c r="A220" t="s">
        <v>46</v>
      </c>
      <c r="B220" t="s">
        <v>52</v>
      </c>
      <c r="C220" t="s">
        <v>53</v>
      </c>
      <c r="D220" t="s">
        <v>56</v>
      </c>
      <c r="E220" t="s">
        <v>59</v>
      </c>
      <c r="F220" t="s">
        <v>50</v>
      </c>
      <c r="G220" t="s">
        <v>51</v>
      </c>
      <c r="H220" t="s">
        <v>3</v>
      </c>
      <c r="I220">
        <v>0.36076681386548898</v>
      </c>
      <c r="J220">
        <v>0.187641155940556</v>
      </c>
      <c r="K220">
        <v>0.24466621736927599</v>
      </c>
      <c r="L220">
        <v>0.130302453083214</v>
      </c>
      <c r="M220">
        <v>0.291934260213564</v>
      </c>
      <c r="N220">
        <v>0.17100214903045</v>
      </c>
      <c r="O220">
        <v>0.29644157871712001</v>
      </c>
      <c r="P220">
        <v>0.15441940492794601</v>
      </c>
    </row>
    <row r="221" spans="1:16" x14ac:dyDescent="0.3">
      <c r="A221" t="s">
        <v>46</v>
      </c>
      <c r="B221" t="s">
        <v>52</v>
      </c>
      <c r="C221" t="s">
        <v>53</v>
      </c>
      <c r="D221" t="s">
        <v>56</v>
      </c>
      <c r="E221" t="s">
        <v>59</v>
      </c>
      <c r="F221" t="s">
        <v>50</v>
      </c>
      <c r="G221" t="s">
        <v>51</v>
      </c>
      <c r="H221" t="s">
        <v>2</v>
      </c>
      <c r="I221">
        <v>0.33052461294595298</v>
      </c>
      <c r="J221">
        <v>0.15735195888256001</v>
      </c>
      <c r="K221">
        <v>0.23031433353459599</v>
      </c>
      <c r="L221">
        <v>0.11658831768219501</v>
      </c>
      <c r="M221">
        <v>0.29797385601934101</v>
      </c>
      <c r="N221">
        <v>0.15167643773060499</v>
      </c>
      <c r="O221">
        <v>0.26104564999643798</v>
      </c>
      <c r="P221">
        <v>0.13272677698280699</v>
      </c>
    </row>
    <row r="222" spans="1:16" x14ac:dyDescent="0.3">
      <c r="A222" t="s">
        <v>46</v>
      </c>
      <c r="B222" t="s">
        <v>52</v>
      </c>
      <c r="C222" t="s">
        <v>53</v>
      </c>
      <c r="D222" t="s">
        <v>56</v>
      </c>
      <c r="E222" t="s">
        <v>59</v>
      </c>
      <c r="F222" t="s">
        <v>54</v>
      </c>
      <c r="G222" t="s">
        <v>51</v>
      </c>
      <c r="H222" t="s">
        <v>4</v>
      </c>
      <c r="I222">
        <v>0.48189398070948702</v>
      </c>
      <c r="J222">
        <v>0.208300047981272</v>
      </c>
      <c r="K222">
        <v>0.31482813628609402</v>
      </c>
      <c r="L222">
        <v>0.179822136376974</v>
      </c>
      <c r="M222">
        <v>0.35334227058643097</v>
      </c>
      <c r="N222">
        <v>0.19621648534557901</v>
      </c>
      <c r="O222">
        <v>0.3755539094582</v>
      </c>
      <c r="P222">
        <v>0.173566812354912</v>
      </c>
    </row>
    <row r="223" spans="1:16" x14ac:dyDescent="0.3">
      <c r="A223" t="s">
        <v>46</v>
      </c>
      <c r="B223" t="s">
        <v>52</v>
      </c>
      <c r="C223" t="s">
        <v>53</v>
      </c>
      <c r="D223" t="s">
        <v>56</v>
      </c>
      <c r="E223" t="s">
        <v>59</v>
      </c>
      <c r="F223" t="s">
        <v>54</v>
      </c>
      <c r="G223" t="s">
        <v>51</v>
      </c>
      <c r="H223" t="s">
        <v>2</v>
      </c>
      <c r="I223">
        <v>0.46305670853518699</v>
      </c>
      <c r="J223">
        <v>0.17823394641516899</v>
      </c>
      <c r="K223">
        <v>0.30469844085936298</v>
      </c>
      <c r="L223">
        <v>0.144473241341641</v>
      </c>
      <c r="M223">
        <v>0.34922690223124903</v>
      </c>
      <c r="N223">
        <v>0.161376009599873</v>
      </c>
      <c r="O223">
        <v>0.35932987151297302</v>
      </c>
      <c r="P223">
        <v>0.147610960959387</v>
      </c>
    </row>
    <row r="224" spans="1:16" x14ac:dyDescent="0.3">
      <c r="A224" t="s">
        <v>46</v>
      </c>
      <c r="B224" t="s">
        <v>52</v>
      </c>
      <c r="C224" t="s">
        <v>53</v>
      </c>
      <c r="D224" t="s">
        <v>56</v>
      </c>
      <c r="E224" t="s">
        <v>59</v>
      </c>
      <c r="F224" t="s">
        <v>54</v>
      </c>
      <c r="G224" t="s">
        <v>51</v>
      </c>
      <c r="H224" t="s">
        <v>5</v>
      </c>
      <c r="I224">
        <v>0.45531522085135401</v>
      </c>
      <c r="J224">
        <v>0.17301388542638199</v>
      </c>
      <c r="K224">
        <v>0.29571582000061097</v>
      </c>
      <c r="L224">
        <v>0.110701838047973</v>
      </c>
      <c r="M224">
        <v>0.34243012847856502</v>
      </c>
      <c r="N224">
        <v>0.13589815389313001</v>
      </c>
      <c r="O224">
        <v>0.32872489384485598</v>
      </c>
      <c r="P224">
        <v>0.11007389555107799</v>
      </c>
    </row>
    <row r="225" spans="1:16" x14ac:dyDescent="0.3">
      <c r="A225" t="s">
        <v>46</v>
      </c>
      <c r="B225" t="s">
        <v>52</v>
      </c>
      <c r="C225" t="s">
        <v>53</v>
      </c>
      <c r="D225" t="s">
        <v>56</v>
      </c>
      <c r="E225" t="s">
        <v>59</v>
      </c>
      <c r="F225" t="s">
        <v>54</v>
      </c>
      <c r="G225" t="s">
        <v>51</v>
      </c>
      <c r="H225" t="s">
        <v>3</v>
      </c>
      <c r="I225">
        <v>0.44338878176431101</v>
      </c>
      <c r="J225">
        <v>0.19486496375707399</v>
      </c>
      <c r="K225">
        <v>0.27141743374529298</v>
      </c>
      <c r="L225">
        <v>0.124062239234842</v>
      </c>
      <c r="M225">
        <v>0.30096332958087602</v>
      </c>
      <c r="N225">
        <v>0.15348708756851001</v>
      </c>
      <c r="O225">
        <v>0.350363938889315</v>
      </c>
      <c r="P225">
        <v>0.12548393716447001</v>
      </c>
    </row>
    <row r="226" spans="1:16" x14ac:dyDescent="0.3">
      <c r="A226" t="s">
        <v>46</v>
      </c>
      <c r="B226" t="s">
        <v>60</v>
      </c>
      <c r="C226" t="s">
        <v>47</v>
      </c>
      <c r="D226" t="s">
        <v>48</v>
      </c>
      <c r="E226" t="s">
        <v>49</v>
      </c>
      <c r="F226" t="s">
        <v>50</v>
      </c>
      <c r="G226" t="s">
        <v>51</v>
      </c>
      <c r="H226" t="s">
        <v>3</v>
      </c>
      <c r="I226">
        <v>0.54111295681063099</v>
      </c>
      <c r="J226">
        <v>0.18774346966446301</v>
      </c>
      <c r="K226">
        <v>0.50406389476156899</v>
      </c>
      <c r="L226">
        <v>0.202394480012595</v>
      </c>
      <c r="M226">
        <v>0.53452380952380896</v>
      </c>
      <c r="N226">
        <v>0.21516584357542101</v>
      </c>
      <c r="O226">
        <v>0.52729789590254605</v>
      </c>
      <c r="P226">
        <v>0.197745825748115</v>
      </c>
    </row>
    <row r="227" spans="1:16" x14ac:dyDescent="0.3">
      <c r="A227" t="s">
        <v>46</v>
      </c>
      <c r="B227" t="s">
        <v>60</v>
      </c>
      <c r="C227" t="s">
        <v>47</v>
      </c>
      <c r="D227" t="s">
        <v>48</v>
      </c>
      <c r="E227" t="s">
        <v>49</v>
      </c>
      <c r="F227" t="s">
        <v>50</v>
      </c>
      <c r="G227" t="s">
        <v>51</v>
      </c>
      <c r="H227" t="s">
        <v>4</v>
      </c>
      <c r="I227">
        <v>0.51481173864894803</v>
      </c>
      <c r="J227">
        <v>0.168409512353146</v>
      </c>
      <c r="K227">
        <v>0.47141185687697301</v>
      </c>
      <c r="L227">
        <v>0.164043874885824</v>
      </c>
      <c r="M227">
        <v>0.52249446290143897</v>
      </c>
      <c r="N227">
        <v>0.190722413105712</v>
      </c>
      <c r="O227">
        <v>0.51605758582502703</v>
      </c>
      <c r="P227">
        <v>0.160521575962664</v>
      </c>
    </row>
    <row r="228" spans="1:16" x14ac:dyDescent="0.3">
      <c r="A228" t="s">
        <v>46</v>
      </c>
      <c r="B228" t="s">
        <v>60</v>
      </c>
      <c r="C228" t="s">
        <v>47</v>
      </c>
      <c r="D228" t="s">
        <v>48</v>
      </c>
      <c r="E228" t="s">
        <v>49</v>
      </c>
      <c r="F228" t="s">
        <v>50</v>
      </c>
      <c r="G228" t="s">
        <v>51</v>
      </c>
      <c r="H228" t="s">
        <v>2</v>
      </c>
      <c r="I228">
        <v>0.48671096345514903</v>
      </c>
      <c r="J228">
        <v>0.17407516416669</v>
      </c>
      <c r="K228">
        <v>0.44387395550186198</v>
      </c>
      <c r="L228">
        <v>0.184870615652273</v>
      </c>
      <c r="M228">
        <v>0.46692967884828301</v>
      </c>
      <c r="N228">
        <v>0.21758716692027599</v>
      </c>
      <c r="O228">
        <v>0.48643410852713098</v>
      </c>
      <c r="P228">
        <v>0.18752597238507701</v>
      </c>
    </row>
    <row r="229" spans="1:16" x14ac:dyDescent="0.3">
      <c r="A229" t="s">
        <v>46</v>
      </c>
      <c r="B229" t="s">
        <v>60</v>
      </c>
      <c r="C229" t="s">
        <v>47</v>
      </c>
      <c r="D229" t="s">
        <v>48</v>
      </c>
      <c r="E229" t="s">
        <v>49</v>
      </c>
      <c r="F229" t="s">
        <v>50</v>
      </c>
      <c r="G229" t="s">
        <v>51</v>
      </c>
      <c r="H229" t="s">
        <v>5</v>
      </c>
      <c r="I229">
        <v>0.474667774086378</v>
      </c>
      <c r="J229">
        <v>0.22207708851310701</v>
      </c>
      <c r="K229">
        <v>0.43232452302219698</v>
      </c>
      <c r="L229">
        <v>0.21981720816143699</v>
      </c>
      <c r="M229">
        <v>0.45253322259136203</v>
      </c>
      <c r="N229">
        <v>0.245955896322297</v>
      </c>
      <c r="O229">
        <v>0.46481173864894698</v>
      </c>
      <c r="P229">
        <v>0.22291625394553299</v>
      </c>
    </row>
    <row r="230" spans="1:16" x14ac:dyDescent="0.3">
      <c r="A230" t="s">
        <v>46</v>
      </c>
      <c r="B230" t="s">
        <v>60</v>
      </c>
      <c r="C230" t="s">
        <v>47</v>
      </c>
      <c r="D230" t="s">
        <v>48</v>
      </c>
      <c r="E230" t="s">
        <v>49</v>
      </c>
      <c r="F230" t="s">
        <v>50</v>
      </c>
      <c r="G230" t="s">
        <v>55</v>
      </c>
      <c r="H230" t="s">
        <v>3</v>
      </c>
      <c r="I230">
        <v>0.55938538205980004</v>
      </c>
      <c r="J230">
        <v>0.18460411736204099</v>
      </c>
      <c r="K230">
        <v>0.51687137152253404</v>
      </c>
      <c r="L230">
        <v>0.20017422440024399</v>
      </c>
      <c r="M230">
        <v>0.55689368770764103</v>
      </c>
      <c r="N230">
        <v>0.220874847691616</v>
      </c>
      <c r="O230">
        <v>0.54620708748615698</v>
      </c>
      <c r="P230">
        <v>0.19834142873424301</v>
      </c>
    </row>
    <row r="231" spans="1:16" x14ac:dyDescent="0.3">
      <c r="A231" t="s">
        <v>46</v>
      </c>
      <c r="B231" t="s">
        <v>60</v>
      </c>
      <c r="C231" t="s">
        <v>47</v>
      </c>
      <c r="D231" t="s">
        <v>48</v>
      </c>
      <c r="E231" t="s">
        <v>49</v>
      </c>
      <c r="F231" t="s">
        <v>50</v>
      </c>
      <c r="G231" t="s">
        <v>55</v>
      </c>
      <c r="H231" t="s">
        <v>4</v>
      </c>
      <c r="I231">
        <v>0.55661683277962304</v>
      </c>
      <c r="J231">
        <v>0.16684638750356801</v>
      </c>
      <c r="K231">
        <v>0.50736382480568498</v>
      </c>
      <c r="L231">
        <v>0.177253248220263</v>
      </c>
      <c r="M231">
        <v>0.53608803986710896</v>
      </c>
      <c r="N231">
        <v>0.206927865705959</v>
      </c>
      <c r="O231">
        <v>0.54590254706533703</v>
      </c>
      <c r="P231">
        <v>0.16229094193532401</v>
      </c>
    </row>
    <row r="232" spans="1:16" x14ac:dyDescent="0.3">
      <c r="A232" t="s">
        <v>46</v>
      </c>
      <c r="B232" t="s">
        <v>60</v>
      </c>
      <c r="C232" t="s">
        <v>47</v>
      </c>
      <c r="D232" t="s">
        <v>48</v>
      </c>
      <c r="E232" t="s">
        <v>49</v>
      </c>
      <c r="F232" t="s">
        <v>50</v>
      </c>
      <c r="G232" t="s">
        <v>55</v>
      </c>
      <c r="H232" t="s">
        <v>5</v>
      </c>
      <c r="I232">
        <v>0.50470653377630104</v>
      </c>
      <c r="J232">
        <v>0.20261922549067601</v>
      </c>
      <c r="K232">
        <v>0.46468215247285</v>
      </c>
      <c r="L232">
        <v>0.20743815192477799</v>
      </c>
      <c r="M232">
        <v>0.487763012181616</v>
      </c>
      <c r="N232">
        <v>0.23001965494028601</v>
      </c>
      <c r="O232">
        <v>0.50191029900332196</v>
      </c>
      <c r="P232">
        <v>0.21564738088336299</v>
      </c>
    </row>
    <row r="233" spans="1:16" x14ac:dyDescent="0.3">
      <c r="A233" t="s">
        <v>46</v>
      </c>
      <c r="B233" t="s">
        <v>60</v>
      </c>
      <c r="C233" t="s">
        <v>47</v>
      </c>
      <c r="D233" t="s">
        <v>48</v>
      </c>
      <c r="E233" t="s">
        <v>49</v>
      </c>
      <c r="F233" t="s">
        <v>50</v>
      </c>
      <c r="G233" t="s">
        <v>55</v>
      </c>
      <c r="H233" t="s">
        <v>2</v>
      </c>
      <c r="I233">
        <v>0.49889258028792899</v>
      </c>
      <c r="J233">
        <v>0.17300885748278</v>
      </c>
      <c r="K233">
        <v>0.45854604052278403</v>
      </c>
      <c r="L233">
        <v>0.181929625146598</v>
      </c>
      <c r="M233">
        <v>0.48859357696566902</v>
      </c>
      <c r="N233">
        <v>0.20916004025221899</v>
      </c>
      <c r="O233">
        <v>0.501522702104097</v>
      </c>
      <c r="P233">
        <v>0.17995904673612501</v>
      </c>
    </row>
    <row r="234" spans="1:16" x14ac:dyDescent="0.3">
      <c r="A234" t="s">
        <v>46</v>
      </c>
      <c r="B234" t="s">
        <v>60</v>
      </c>
      <c r="C234" t="s">
        <v>47</v>
      </c>
      <c r="D234" t="s">
        <v>48</v>
      </c>
      <c r="E234" t="s">
        <v>49</v>
      </c>
      <c r="F234" t="s">
        <v>54</v>
      </c>
      <c r="G234" t="s">
        <v>51</v>
      </c>
      <c r="H234" t="s">
        <v>4</v>
      </c>
      <c r="I234">
        <v>0.68294573643410805</v>
      </c>
      <c r="J234">
        <v>0.17315283846288401</v>
      </c>
      <c r="K234">
        <v>0.61887616297671</v>
      </c>
      <c r="L234">
        <v>0.17274690687174801</v>
      </c>
      <c r="M234">
        <v>0.71705426356589097</v>
      </c>
      <c r="N234">
        <v>0.19321194253302201</v>
      </c>
      <c r="O234">
        <v>0.64736987818383096</v>
      </c>
      <c r="P234">
        <v>0.14905882951242599</v>
      </c>
    </row>
    <row r="235" spans="1:16" x14ac:dyDescent="0.3">
      <c r="A235" t="s">
        <v>46</v>
      </c>
      <c r="B235" t="s">
        <v>60</v>
      </c>
      <c r="C235" t="s">
        <v>47</v>
      </c>
      <c r="D235" t="s">
        <v>48</v>
      </c>
      <c r="E235" t="s">
        <v>49</v>
      </c>
      <c r="F235" t="s">
        <v>54</v>
      </c>
      <c r="G235" t="s">
        <v>51</v>
      </c>
      <c r="H235" t="s">
        <v>3</v>
      </c>
      <c r="I235">
        <v>0.64896640826873397</v>
      </c>
      <c r="J235">
        <v>0.149984475289794</v>
      </c>
      <c r="K235">
        <v>0.60123346785453402</v>
      </c>
      <c r="L235">
        <v>0.14086666643159901</v>
      </c>
      <c r="M235">
        <v>0.65653839055001795</v>
      </c>
      <c r="N235">
        <v>0.15557216922161601</v>
      </c>
      <c r="O235">
        <v>0.62720099667773999</v>
      </c>
      <c r="P235">
        <v>0.13352690073545401</v>
      </c>
    </row>
    <row r="236" spans="1:16" x14ac:dyDescent="0.3">
      <c r="A236" t="s">
        <v>46</v>
      </c>
      <c r="B236" t="s">
        <v>60</v>
      </c>
      <c r="C236" t="s">
        <v>47</v>
      </c>
      <c r="D236" t="s">
        <v>48</v>
      </c>
      <c r="E236" t="s">
        <v>49</v>
      </c>
      <c r="F236" t="s">
        <v>54</v>
      </c>
      <c r="G236" t="s">
        <v>51</v>
      </c>
      <c r="H236" t="s">
        <v>2</v>
      </c>
      <c r="I236">
        <v>0.63940568475452197</v>
      </c>
      <c r="J236">
        <v>0.15639682973532701</v>
      </c>
      <c r="K236">
        <v>0.59063209742074296</v>
      </c>
      <c r="L236">
        <v>0.14458753900687599</v>
      </c>
      <c r="M236">
        <v>0.64881875230712405</v>
      </c>
      <c r="N236">
        <v>0.16119095961517099</v>
      </c>
      <c r="O236">
        <v>0.61431339977851596</v>
      </c>
      <c r="P236">
        <v>0.135428931605278</v>
      </c>
    </row>
    <row r="237" spans="1:16" x14ac:dyDescent="0.3">
      <c r="A237" t="s">
        <v>46</v>
      </c>
      <c r="B237" t="s">
        <v>60</v>
      </c>
      <c r="C237" t="s">
        <v>47</v>
      </c>
      <c r="D237" t="s">
        <v>48</v>
      </c>
      <c r="E237" t="s">
        <v>49</v>
      </c>
      <c r="F237" t="s">
        <v>54</v>
      </c>
      <c r="G237" t="s">
        <v>51</v>
      </c>
      <c r="H237" t="s">
        <v>5</v>
      </c>
      <c r="I237">
        <v>0.58475452196382405</v>
      </c>
      <c r="J237">
        <v>0.19022967298996199</v>
      </c>
      <c r="K237">
        <v>0.53863869828302102</v>
      </c>
      <c r="L237">
        <v>0.18751531212247499</v>
      </c>
      <c r="M237">
        <v>0.56553156146179395</v>
      </c>
      <c r="N237">
        <v>0.19895582421455199</v>
      </c>
      <c r="O237">
        <v>0.56243078626799503</v>
      </c>
      <c r="P237">
        <v>0.19282625949446999</v>
      </c>
    </row>
    <row r="238" spans="1:16" x14ac:dyDescent="0.3">
      <c r="A238" t="s">
        <v>46</v>
      </c>
      <c r="B238" t="s">
        <v>60</v>
      </c>
      <c r="C238" t="s">
        <v>47</v>
      </c>
      <c r="D238" t="s">
        <v>48</v>
      </c>
      <c r="E238" t="s">
        <v>59</v>
      </c>
      <c r="F238" t="s">
        <v>50</v>
      </c>
      <c r="G238" t="s">
        <v>51</v>
      </c>
      <c r="H238" t="s">
        <v>4</v>
      </c>
      <c r="I238">
        <v>0.61267995570321099</v>
      </c>
      <c r="J238">
        <v>0.287795791280615</v>
      </c>
      <c r="K238">
        <v>0.47867642693224</v>
      </c>
      <c r="L238">
        <v>0.27306120399100903</v>
      </c>
      <c r="M238">
        <v>0.51560077519379799</v>
      </c>
      <c r="N238">
        <v>0.280624966362507</v>
      </c>
      <c r="O238">
        <v>0.53561738648947899</v>
      </c>
      <c r="P238">
        <v>0.25987798439269999</v>
      </c>
    </row>
    <row r="239" spans="1:16" x14ac:dyDescent="0.3">
      <c r="A239" t="s">
        <v>46</v>
      </c>
      <c r="B239" t="s">
        <v>60</v>
      </c>
      <c r="C239" t="s">
        <v>47</v>
      </c>
      <c r="D239" t="s">
        <v>48</v>
      </c>
      <c r="E239" t="s">
        <v>59</v>
      </c>
      <c r="F239" t="s">
        <v>50</v>
      </c>
      <c r="G239" t="s">
        <v>51</v>
      </c>
      <c r="H239" t="s">
        <v>3</v>
      </c>
      <c r="I239">
        <v>0.61351052048726396</v>
      </c>
      <c r="J239">
        <v>0.2284176479103</v>
      </c>
      <c r="K239">
        <v>0.46882961999241002</v>
      </c>
      <c r="L239">
        <v>0.20584374160424501</v>
      </c>
      <c r="M239">
        <v>0.52919435215946797</v>
      </c>
      <c r="N239">
        <v>0.214501012853968</v>
      </c>
      <c r="O239">
        <v>0.49944629014396402</v>
      </c>
      <c r="P239">
        <v>0.22609816249312301</v>
      </c>
    </row>
    <row r="240" spans="1:16" x14ac:dyDescent="0.3">
      <c r="A240" t="s">
        <v>46</v>
      </c>
      <c r="B240" t="s">
        <v>60</v>
      </c>
      <c r="C240" t="s">
        <v>47</v>
      </c>
      <c r="D240" t="s">
        <v>48</v>
      </c>
      <c r="E240" t="s">
        <v>59</v>
      </c>
      <c r="F240" t="s">
        <v>50</v>
      </c>
      <c r="G240" t="s">
        <v>51</v>
      </c>
      <c r="H240" t="s">
        <v>2</v>
      </c>
      <c r="I240">
        <v>0.56298449612403101</v>
      </c>
      <c r="J240">
        <v>0.217772755950534</v>
      </c>
      <c r="K240">
        <v>0.44396972536507401</v>
      </c>
      <c r="L240">
        <v>0.20040971977857999</v>
      </c>
      <c r="M240">
        <v>0.50267165005537096</v>
      </c>
      <c r="N240">
        <v>0.18885541976997799</v>
      </c>
      <c r="O240">
        <v>0.48142303433001099</v>
      </c>
      <c r="P240">
        <v>0.22908989157559301</v>
      </c>
    </row>
    <row r="241" spans="1:16" x14ac:dyDescent="0.3">
      <c r="A241" t="s">
        <v>46</v>
      </c>
      <c r="B241" t="s">
        <v>60</v>
      </c>
      <c r="C241" t="s">
        <v>47</v>
      </c>
      <c r="D241" t="s">
        <v>48</v>
      </c>
      <c r="E241" t="s">
        <v>59</v>
      </c>
      <c r="F241" t="s">
        <v>50</v>
      </c>
      <c r="G241" t="s">
        <v>51</v>
      </c>
      <c r="H241" t="s">
        <v>5</v>
      </c>
      <c r="I241">
        <v>0.52796234772978901</v>
      </c>
      <c r="J241">
        <v>0.24304630388728099</v>
      </c>
      <c r="K241">
        <v>0.38884358535521302</v>
      </c>
      <c r="L241">
        <v>0.19785540302844301</v>
      </c>
      <c r="M241">
        <v>0.45512181616832698</v>
      </c>
      <c r="N241">
        <v>0.22442575047525801</v>
      </c>
      <c r="O241">
        <v>0.413150609080841</v>
      </c>
      <c r="P241">
        <v>0.21387749560956901</v>
      </c>
    </row>
    <row r="242" spans="1:16" x14ac:dyDescent="0.3">
      <c r="A242" t="s">
        <v>46</v>
      </c>
      <c r="B242" t="s">
        <v>60</v>
      </c>
      <c r="C242" t="s">
        <v>47</v>
      </c>
      <c r="D242" t="s">
        <v>48</v>
      </c>
      <c r="E242" t="s">
        <v>59</v>
      </c>
      <c r="F242" t="s">
        <v>50</v>
      </c>
      <c r="G242" t="s">
        <v>55</v>
      </c>
      <c r="H242" t="s">
        <v>3</v>
      </c>
      <c r="I242">
        <v>0.62790697674418605</v>
      </c>
      <c r="J242">
        <v>0.226235541108122</v>
      </c>
      <c r="K242">
        <v>0.49148642055618802</v>
      </c>
      <c r="L242">
        <v>0.217740957551257</v>
      </c>
      <c r="M242">
        <v>0.54512735326688799</v>
      </c>
      <c r="N242">
        <v>0.22064332447561499</v>
      </c>
      <c r="O242">
        <v>0.51521317829457303</v>
      </c>
      <c r="P242">
        <v>0.24141147429165799</v>
      </c>
    </row>
    <row r="243" spans="1:16" x14ac:dyDescent="0.3">
      <c r="A243" t="s">
        <v>46</v>
      </c>
      <c r="B243" t="s">
        <v>60</v>
      </c>
      <c r="C243" t="s">
        <v>47</v>
      </c>
      <c r="D243" t="s">
        <v>48</v>
      </c>
      <c r="E243" t="s">
        <v>59</v>
      </c>
      <c r="F243" t="s">
        <v>50</v>
      </c>
      <c r="G243" t="s">
        <v>55</v>
      </c>
      <c r="H243" t="s">
        <v>2</v>
      </c>
      <c r="I243">
        <v>0.568798449612403</v>
      </c>
      <c r="J243">
        <v>0.21431763607125801</v>
      </c>
      <c r="K243">
        <v>0.44929205161763303</v>
      </c>
      <c r="L243">
        <v>0.19631379701781501</v>
      </c>
      <c r="M243">
        <v>0.51990586932447402</v>
      </c>
      <c r="N243">
        <v>0.18485922709897201</v>
      </c>
      <c r="O243">
        <v>0.48374861572535899</v>
      </c>
      <c r="P243">
        <v>0.22580289456647301</v>
      </c>
    </row>
    <row r="244" spans="1:16" x14ac:dyDescent="0.3">
      <c r="A244" t="s">
        <v>46</v>
      </c>
      <c r="B244" t="s">
        <v>60</v>
      </c>
      <c r="C244" t="s">
        <v>47</v>
      </c>
      <c r="D244" t="s">
        <v>48</v>
      </c>
      <c r="E244" t="s">
        <v>59</v>
      </c>
      <c r="F244" t="s">
        <v>50</v>
      </c>
      <c r="G244" t="s">
        <v>55</v>
      </c>
      <c r="H244" t="s">
        <v>4</v>
      </c>
      <c r="I244">
        <v>0.591223698781838</v>
      </c>
      <c r="J244">
        <v>0.24047372662682701</v>
      </c>
      <c r="K244">
        <v>0.43747608980167102</v>
      </c>
      <c r="L244">
        <v>0.18971164010730801</v>
      </c>
      <c r="M244">
        <v>0.51114341085271298</v>
      </c>
      <c r="N244">
        <v>0.17202926154349299</v>
      </c>
      <c r="O244">
        <v>0.47141472868216999</v>
      </c>
      <c r="P244">
        <v>0.211510556983975</v>
      </c>
    </row>
    <row r="245" spans="1:16" x14ac:dyDescent="0.3">
      <c r="A245" t="s">
        <v>46</v>
      </c>
      <c r="B245" t="s">
        <v>60</v>
      </c>
      <c r="C245" t="s">
        <v>47</v>
      </c>
      <c r="D245" t="s">
        <v>48</v>
      </c>
      <c r="E245" t="s">
        <v>59</v>
      </c>
      <c r="F245" t="s">
        <v>50</v>
      </c>
      <c r="G245" t="s">
        <v>55</v>
      </c>
      <c r="H245" t="s">
        <v>5</v>
      </c>
      <c r="I245">
        <v>0.54665005537098499</v>
      </c>
      <c r="J245">
        <v>0.23445771420992101</v>
      </c>
      <c r="K245">
        <v>0.41157466564443301</v>
      </c>
      <c r="L245">
        <v>0.18641488969964301</v>
      </c>
      <c r="M245">
        <v>0.48763842746400798</v>
      </c>
      <c r="N245">
        <v>0.18120737397655401</v>
      </c>
      <c r="O245">
        <v>0.430440199335548</v>
      </c>
      <c r="P245">
        <v>0.212998223266779</v>
      </c>
    </row>
    <row r="246" spans="1:16" x14ac:dyDescent="0.3">
      <c r="A246" t="s">
        <v>46</v>
      </c>
      <c r="B246" t="s">
        <v>60</v>
      </c>
      <c r="C246" t="s">
        <v>47</v>
      </c>
      <c r="D246" t="s">
        <v>48</v>
      </c>
      <c r="E246" t="s">
        <v>59</v>
      </c>
      <c r="F246" t="s">
        <v>54</v>
      </c>
      <c r="G246" t="s">
        <v>51</v>
      </c>
      <c r="H246" t="s">
        <v>2</v>
      </c>
      <c r="I246">
        <v>0.63753229974160197</v>
      </c>
      <c r="J246">
        <v>0.203369700025335</v>
      </c>
      <c r="K246">
        <v>0.50915461007980201</v>
      </c>
      <c r="L246">
        <v>0.19905014344597799</v>
      </c>
      <c r="M246">
        <v>0.56650516795865602</v>
      </c>
      <c r="N246">
        <v>0.204414384307672</v>
      </c>
      <c r="O246">
        <v>0.56537929125138398</v>
      </c>
      <c r="P246">
        <v>0.20549051986612499</v>
      </c>
    </row>
    <row r="247" spans="1:16" x14ac:dyDescent="0.3">
      <c r="A247" t="s">
        <v>46</v>
      </c>
      <c r="B247" t="s">
        <v>60</v>
      </c>
      <c r="C247" t="s">
        <v>47</v>
      </c>
      <c r="D247" t="s">
        <v>48</v>
      </c>
      <c r="E247" t="s">
        <v>59</v>
      </c>
      <c r="F247" t="s">
        <v>54</v>
      </c>
      <c r="G247" t="s">
        <v>51</v>
      </c>
      <c r="H247" t="s">
        <v>4</v>
      </c>
      <c r="I247">
        <v>0.673966408268733</v>
      </c>
      <c r="J247">
        <v>0.229214933649935</v>
      </c>
      <c r="K247">
        <v>0.49648005093681502</v>
      </c>
      <c r="L247">
        <v>0.215629705973922</v>
      </c>
      <c r="M247">
        <v>0.54446751568844498</v>
      </c>
      <c r="N247">
        <v>0.25283828169885603</v>
      </c>
      <c r="O247">
        <v>0.55639996308600903</v>
      </c>
      <c r="P247">
        <v>0.17835655776162901</v>
      </c>
    </row>
    <row r="248" spans="1:16" x14ac:dyDescent="0.3">
      <c r="A248" t="s">
        <v>46</v>
      </c>
      <c r="B248" t="s">
        <v>60</v>
      </c>
      <c r="C248" t="s">
        <v>47</v>
      </c>
      <c r="D248" t="s">
        <v>48</v>
      </c>
      <c r="E248" t="s">
        <v>59</v>
      </c>
      <c r="F248" t="s">
        <v>54</v>
      </c>
      <c r="G248" t="s">
        <v>51</v>
      </c>
      <c r="H248" t="s">
        <v>3</v>
      </c>
      <c r="I248">
        <v>0.65878552971576199</v>
      </c>
      <c r="J248">
        <v>0.21290962632965901</v>
      </c>
      <c r="K248">
        <v>0.47498533927812397</v>
      </c>
      <c r="L248">
        <v>0.16604458570022901</v>
      </c>
      <c r="M248">
        <v>0.51373661867847897</v>
      </c>
      <c r="N248">
        <v>0.19945146061045901</v>
      </c>
      <c r="O248">
        <v>0.53267349575489098</v>
      </c>
      <c r="P248">
        <v>0.15670270859846699</v>
      </c>
    </row>
    <row r="249" spans="1:16" x14ac:dyDescent="0.3">
      <c r="A249" t="s">
        <v>46</v>
      </c>
      <c r="B249" t="s">
        <v>60</v>
      </c>
      <c r="C249" t="s">
        <v>47</v>
      </c>
      <c r="D249" t="s">
        <v>48</v>
      </c>
      <c r="E249" t="s">
        <v>59</v>
      </c>
      <c r="F249" t="s">
        <v>54</v>
      </c>
      <c r="G249" t="s">
        <v>51</v>
      </c>
      <c r="H249" t="s">
        <v>5</v>
      </c>
      <c r="I249">
        <v>0.62319121447028403</v>
      </c>
      <c r="J249">
        <v>0.22518844289234199</v>
      </c>
      <c r="K249">
        <v>0.43504936226244401</v>
      </c>
      <c r="L249">
        <v>0.17305075744724999</v>
      </c>
      <c r="M249">
        <v>0.48308416389811698</v>
      </c>
      <c r="N249">
        <v>0.21348579854115801</v>
      </c>
      <c r="O249">
        <v>0.49958471760797302</v>
      </c>
      <c r="P249">
        <v>0.143469543360986</v>
      </c>
    </row>
    <row r="250" spans="1:16" x14ac:dyDescent="0.3">
      <c r="A250" t="s">
        <v>46</v>
      </c>
      <c r="B250" t="s">
        <v>60</v>
      </c>
      <c r="C250" t="s">
        <v>47</v>
      </c>
      <c r="D250" t="s">
        <v>57</v>
      </c>
      <c r="E250" t="s">
        <v>49</v>
      </c>
      <c r="F250" t="s">
        <v>50</v>
      </c>
      <c r="G250" t="s">
        <v>51</v>
      </c>
      <c r="H250" t="s">
        <v>2</v>
      </c>
      <c r="I250">
        <v>0.89209601965614904</v>
      </c>
      <c r="J250">
        <v>0.22362267291664201</v>
      </c>
      <c r="K250">
        <v>1.07080149345989</v>
      </c>
      <c r="L250">
        <v>0.240034141179539</v>
      </c>
    </row>
    <row r="251" spans="1:16" x14ac:dyDescent="0.3">
      <c r="A251" t="s">
        <v>46</v>
      </c>
      <c r="B251" t="s">
        <v>60</v>
      </c>
      <c r="C251" t="s">
        <v>47</v>
      </c>
      <c r="D251" t="s">
        <v>57</v>
      </c>
      <c r="E251" t="s">
        <v>49</v>
      </c>
      <c r="F251" t="s">
        <v>50</v>
      </c>
      <c r="G251" t="s">
        <v>51</v>
      </c>
      <c r="H251" t="s">
        <v>4</v>
      </c>
      <c r="I251">
        <v>0.81549502887287195</v>
      </c>
      <c r="J251">
        <v>0.15999872341532301</v>
      </c>
      <c r="K251">
        <v>0.97802982554693396</v>
      </c>
      <c r="L251">
        <v>0.176334334271599</v>
      </c>
    </row>
    <row r="252" spans="1:16" x14ac:dyDescent="0.3">
      <c r="A252" t="s">
        <v>46</v>
      </c>
      <c r="B252" t="s">
        <v>60</v>
      </c>
      <c r="C252" t="s">
        <v>47</v>
      </c>
      <c r="D252" t="s">
        <v>57</v>
      </c>
      <c r="E252" t="s">
        <v>49</v>
      </c>
      <c r="F252" t="s">
        <v>50</v>
      </c>
      <c r="G252" t="s">
        <v>51</v>
      </c>
      <c r="H252" t="s">
        <v>5</v>
      </c>
      <c r="I252">
        <v>0.88413765861408999</v>
      </c>
      <c r="J252">
        <v>0.21645096717201501</v>
      </c>
      <c r="K252">
        <v>1.05189459392468</v>
      </c>
      <c r="L252">
        <v>0.23884314117437999</v>
      </c>
    </row>
    <row r="253" spans="1:16" x14ac:dyDescent="0.3">
      <c r="A253" t="s">
        <v>46</v>
      </c>
      <c r="B253" t="s">
        <v>60</v>
      </c>
      <c r="C253" t="s">
        <v>47</v>
      </c>
      <c r="D253" t="s">
        <v>57</v>
      </c>
      <c r="E253" t="s">
        <v>49</v>
      </c>
      <c r="F253" t="s">
        <v>50</v>
      </c>
      <c r="G253" t="s">
        <v>51</v>
      </c>
      <c r="H253" t="s">
        <v>3</v>
      </c>
      <c r="I253">
        <v>0.86544378223347596</v>
      </c>
      <c r="J253">
        <v>0.159437500605149</v>
      </c>
      <c r="K253">
        <v>1.0340536332627699</v>
      </c>
      <c r="L253">
        <v>0.18578945023523699</v>
      </c>
    </row>
    <row r="254" spans="1:16" x14ac:dyDescent="0.3">
      <c r="A254" t="s">
        <v>46</v>
      </c>
      <c r="B254" t="s">
        <v>60</v>
      </c>
      <c r="C254" t="s">
        <v>47</v>
      </c>
      <c r="D254" t="s">
        <v>57</v>
      </c>
      <c r="E254" t="s">
        <v>49</v>
      </c>
      <c r="F254" t="s">
        <v>54</v>
      </c>
      <c r="G254" t="s">
        <v>51</v>
      </c>
      <c r="H254" t="s">
        <v>2</v>
      </c>
      <c r="I254">
        <v>0.80063095436453802</v>
      </c>
      <c r="J254">
        <v>0.20332017737508901</v>
      </c>
      <c r="K254">
        <v>0.95502544741701101</v>
      </c>
      <c r="L254">
        <v>0.221808645365524</v>
      </c>
      <c r="M254">
        <v>-3.5277252224211401E-2</v>
      </c>
      <c r="N254">
        <v>0.34840812733077398</v>
      </c>
    </row>
    <row r="255" spans="1:16" x14ac:dyDescent="0.3">
      <c r="A255" t="s">
        <v>46</v>
      </c>
      <c r="B255" t="s">
        <v>60</v>
      </c>
      <c r="C255" t="s">
        <v>47</v>
      </c>
      <c r="D255" t="s">
        <v>57</v>
      </c>
      <c r="E255" t="s">
        <v>49</v>
      </c>
      <c r="F255" t="s">
        <v>54</v>
      </c>
      <c r="G255" t="s">
        <v>51</v>
      </c>
      <c r="H255" t="s">
        <v>4</v>
      </c>
      <c r="I255">
        <v>0.73359381646710597</v>
      </c>
      <c r="J255">
        <v>0.149311603112189</v>
      </c>
      <c r="K255">
        <v>0.88087238309546201</v>
      </c>
      <c r="L255">
        <v>0.163744276384761</v>
      </c>
      <c r="M255">
        <v>0.13039677364468699</v>
      </c>
      <c r="N255">
        <v>0.17755076483136101</v>
      </c>
    </row>
    <row r="256" spans="1:16" x14ac:dyDescent="0.3">
      <c r="A256" t="s">
        <v>46</v>
      </c>
      <c r="B256" t="s">
        <v>60</v>
      </c>
      <c r="C256" t="s">
        <v>47</v>
      </c>
      <c r="D256" t="s">
        <v>57</v>
      </c>
      <c r="E256" t="s">
        <v>49</v>
      </c>
      <c r="F256" t="s">
        <v>54</v>
      </c>
      <c r="G256" t="s">
        <v>51</v>
      </c>
      <c r="H256" t="s">
        <v>5</v>
      </c>
      <c r="I256">
        <v>0.81347949060015801</v>
      </c>
      <c r="J256">
        <v>0.207815324976133</v>
      </c>
      <c r="K256">
        <v>0.98515085855401596</v>
      </c>
      <c r="L256">
        <v>0.221543627364156</v>
      </c>
      <c r="M256">
        <v>-9.7634812237045995E-2</v>
      </c>
      <c r="N256">
        <v>0.32348279318184198</v>
      </c>
    </row>
    <row r="257" spans="1:16" x14ac:dyDescent="0.3">
      <c r="A257" t="s">
        <v>46</v>
      </c>
      <c r="B257" t="s">
        <v>60</v>
      </c>
      <c r="C257" t="s">
        <v>47</v>
      </c>
      <c r="D257" t="s">
        <v>57</v>
      </c>
      <c r="E257" t="s">
        <v>49</v>
      </c>
      <c r="F257" t="s">
        <v>54</v>
      </c>
      <c r="G257" t="s">
        <v>51</v>
      </c>
      <c r="H257" t="s">
        <v>3</v>
      </c>
      <c r="I257">
        <v>0.76788952079957995</v>
      </c>
      <c r="J257">
        <v>0.16113996951894399</v>
      </c>
      <c r="K257">
        <v>0.92055635107202705</v>
      </c>
      <c r="L257">
        <v>0.18228768437566401</v>
      </c>
      <c r="M257">
        <v>4.9562204383878102E-2</v>
      </c>
      <c r="N257">
        <v>0.211260425029827</v>
      </c>
    </row>
    <row r="258" spans="1:16" x14ac:dyDescent="0.3">
      <c r="A258" t="s">
        <v>46</v>
      </c>
      <c r="B258" t="s">
        <v>60</v>
      </c>
      <c r="C258" t="s">
        <v>47</v>
      </c>
      <c r="D258" t="s">
        <v>57</v>
      </c>
      <c r="E258" t="s">
        <v>59</v>
      </c>
      <c r="F258" t="s">
        <v>50</v>
      </c>
      <c r="G258" t="s">
        <v>51</v>
      </c>
      <c r="H258" t="s">
        <v>2</v>
      </c>
      <c r="I258">
        <v>1.7675337029834599</v>
      </c>
      <c r="J258">
        <v>0.47345380913036</v>
      </c>
      <c r="K258">
        <v>2.0491433205895802</v>
      </c>
      <c r="L258">
        <v>0.46545422970466999</v>
      </c>
    </row>
    <row r="259" spans="1:16" x14ac:dyDescent="0.3">
      <c r="A259" t="s">
        <v>46</v>
      </c>
      <c r="B259" t="s">
        <v>60</v>
      </c>
      <c r="C259" t="s">
        <v>47</v>
      </c>
      <c r="D259" t="s">
        <v>57</v>
      </c>
      <c r="E259" t="s">
        <v>59</v>
      </c>
      <c r="F259" t="s">
        <v>50</v>
      </c>
      <c r="G259" t="s">
        <v>51</v>
      </c>
      <c r="H259" t="s">
        <v>4</v>
      </c>
      <c r="I259">
        <v>1.7226112242818501</v>
      </c>
      <c r="J259">
        <v>0.481768831948371</v>
      </c>
      <c r="K259">
        <v>1.9694584962811701</v>
      </c>
      <c r="L259">
        <v>0.461487341134662</v>
      </c>
    </row>
    <row r="260" spans="1:16" x14ac:dyDescent="0.3">
      <c r="A260" t="s">
        <v>46</v>
      </c>
      <c r="B260" t="s">
        <v>60</v>
      </c>
      <c r="C260" t="s">
        <v>47</v>
      </c>
      <c r="D260" t="s">
        <v>57</v>
      </c>
      <c r="E260" t="s">
        <v>59</v>
      </c>
      <c r="F260" t="s">
        <v>50</v>
      </c>
      <c r="G260" t="s">
        <v>51</v>
      </c>
      <c r="H260" t="s">
        <v>5</v>
      </c>
      <c r="I260">
        <v>1.8339951897793101</v>
      </c>
      <c r="J260">
        <v>0.51172325164482901</v>
      </c>
      <c r="K260">
        <v>2.1091172720769298</v>
      </c>
      <c r="L260">
        <v>0.49395638376356499</v>
      </c>
    </row>
    <row r="261" spans="1:16" x14ac:dyDescent="0.3">
      <c r="A261" t="s">
        <v>46</v>
      </c>
      <c r="B261" t="s">
        <v>60</v>
      </c>
      <c r="C261" t="s">
        <v>47</v>
      </c>
      <c r="D261" t="s">
        <v>57</v>
      </c>
      <c r="E261" t="s">
        <v>59</v>
      </c>
      <c r="F261" t="s">
        <v>50</v>
      </c>
      <c r="G261" t="s">
        <v>51</v>
      </c>
      <c r="H261" t="s">
        <v>3</v>
      </c>
      <c r="I261">
        <v>1.7552694816922001</v>
      </c>
      <c r="J261">
        <v>0.51186975450865402</v>
      </c>
      <c r="K261">
        <v>2.0253657029803702</v>
      </c>
      <c r="L261">
        <v>0.48745800392445998</v>
      </c>
    </row>
    <row r="262" spans="1:16" x14ac:dyDescent="0.3">
      <c r="A262" t="s">
        <v>46</v>
      </c>
      <c r="B262" t="s">
        <v>60</v>
      </c>
      <c r="C262" t="s">
        <v>47</v>
      </c>
      <c r="D262" t="s">
        <v>57</v>
      </c>
      <c r="E262" t="s">
        <v>59</v>
      </c>
      <c r="F262" t="s">
        <v>54</v>
      </c>
      <c r="G262" t="s">
        <v>51</v>
      </c>
      <c r="H262" t="s">
        <v>2</v>
      </c>
      <c r="I262">
        <v>1.8497636261739601</v>
      </c>
      <c r="J262">
        <v>0.48710048337631601</v>
      </c>
      <c r="K262">
        <v>2.1450524684909</v>
      </c>
      <c r="L262">
        <v>0.45926862793795298</v>
      </c>
      <c r="M262">
        <v>-1.1543286790407401</v>
      </c>
      <c r="N262">
        <v>1.7980771762004</v>
      </c>
    </row>
    <row r="263" spans="1:16" x14ac:dyDescent="0.3">
      <c r="A263" t="s">
        <v>46</v>
      </c>
      <c r="B263" t="s">
        <v>60</v>
      </c>
      <c r="C263" t="s">
        <v>47</v>
      </c>
      <c r="D263" t="s">
        <v>57</v>
      </c>
      <c r="E263" t="s">
        <v>59</v>
      </c>
      <c r="F263" t="s">
        <v>54</v>
      </c>
      <c r="G263" t="s">
        <v>51</v>
      </c>
      <c r="H263" t="s">
        <v>4</v>
      </c>
      <c r="I263">
        <v>1.77457863503242</v>
      </c>
      <c r="J263">
        <v>0.46880067830650901</v>
      </c>
      <c r="K263">
        <v>2.0175806788194799</v>
      </c>
      <c r="L263">
        <v>0.46467797222009799</v>
      </c>
      <c r="M263">
        <v>-0.87665966852265798</v>
      </c>
      <c r="N263">
        <v>1.6010532766130099</v>
      </c>
    </row>
    <row r="264" spans="1:16" x14ac:dyDescent="0.3">
      <c r="A264" t="s">
        <v>46</v>
      </c>
      <c r="B264" t="s">
        <v>60</v>
      </c>
      <c r="C264" t="s">
        <v>47</v>
      </c>
      <c r="D264" t="s">
        <v>57</v>
      </c>
      <c r="E264" t="s">
        <v>59</v>
      </c>
      <c r="F264" t="s">
        <v>54</v>
      </c>
      <c r="G264" t="s">
        <v>51</v>
      </c>
      <c r="H264" t="s">
        <v>5</v>
      </c>
      <c r="I264">
        <v>1.87382712394911</v>
      </c>
      <c r="J264">
        <v>0.52526058627079097</v>
      </c>
      <c r="K264">
        <v>2.1862637747950702</v>
      </c>
      <c r="L264">
        <v>0.51263265112023204</v>
      </c>
      <c r="M264">
        <v>-1.23689238818281</v>
      </c>
      <c r="N264">
        <v>2.2386278667070698</v>
      </c>
    </row>
    <row r="265" spans="1:16" x14ac:dyDescent="0.3">
      <c r="A265" t="s">
        <v>46</v>
      </c>
      <c r="B265" t="s">
        <v>60</v>
      </c>
      <c r="C265" t="s">
        <v>47</v>
      </c>
      <c r="D265" t="s">
        <v>57</v>
      </c>
      <c r="E265" t="s">
        <v>59</v>
      </c>
      <c r="F265" t="s">
        <v>54</v>
      </c>
      <c r="G265" t="s">
        <v>51</v>
      </c>
      <c r="H265" t="s">
        <v>3</v>
      </c>
      <c r="I265">
        <v>1.78441615217107</v>
      </c>
      <c r="J265">
        <v>0.44052947901584399</v>
      </c>
      <c r="K265">
        <v>2.0900105547096501</v>
      </c>
      <c r="L265">
        <v>0.45137990588805499</v>
      </c>
      <c r="M265">
        <v>-0.99326371837239202</v>
      </c>
      <c r="N265">
        <v>1.4857838370513401</v>
      </c>
    </row>
    <row r="266" spans="1:16" x14ac:dyDescent="0.3">
      <c r="A266" t="s">
        <v>46</v>
      </c>
      <c r="B266" t="s">
        <v>60</v>
      </c>
      <c r="C266" t="s">
        <v>47</v>
      </c>
      <c r="D266" t="s">
        <v>56</v>
      </c>
      <c r="E266" t="s">
        <v>49</v>
      </c>
      <c r="F266" t="s">
        <v>50</v>
      </c>
      <c r="G266" t="s">
        <v>51</v>
      </c>
      <c r="H266" t="s">
        <v>2</v>
      </c>
      <c r="I266">
        <v>0.67524916943521596</v>
      </c>
      <c r="J266">
        <v>0.17467746966390699</v>
      </c>
      <c r="K266">
        <v>0.42784179644644699</v>
      </c>
      <c r="L266">
        <v>0.22095752767059099</v>
      </c>
      <c r="M266">
        <v>0.41615909929863398</v>
      </c>
      <c r="N266">
        <v>0.24082497691350799</v>
      </c>
      <c r="O266">
        <v>0.47139165743816902</v>
      </c>
      <c r="P266">
        <v>0.20596337508829299</v>
      </c>
    </row>
    <row r="267" spans="1:16" x14ac:dyDescent="0.3">
      <c r="A267" t="s">
        <v>46</v>
      </c>
      <c r="B267" t="s">
        <v>60</v>
      </c>
      <c r="C267" t="s">
        <v>47</v>
      </c>
      <c r="D267" t="s">
        <v>56</v>
      </c>
      <c r="E267" t="s">
        <v>49</v>
      </c>
      <c r="F267" t="s">
        <v>50</v>
      </c>
      <c r="G267" t="s">
        <v>51</v>
      </c>
      <c r="H267" t="s">
        <v>5</v>
      </c>
      <c r="I267">
        <v>0.62873754152823902</v>
      </c>
      <c r="J267">
        <v>0.14627139584927301</v>
      </c>
      <c r="K267">
        <v>0.38343026482561299</v>
      </c>
      <c r="L267">
        <v>0.18763263298875099</v>
      </c>
      <c r="M267">
        <v>0.378705241786637</v>
      </c>
      <c r="N267">
        <v>0.21476887411239401</v>
      </c>
      <c r="O267">
        <v>0.423385012919896</v>
      </c>
      <c r="P267">
        <v>0.17557978401646501</v>
      </c>
    </row>
    <row r="268" spans="1:16" x14ac:dyDescent="0.3">
      <c r="A268" t="s">
        <v>46</v>
      </c>
      <c r="B268" t="s">
        <v>60</v>
      </c>
      <c r="C268" t="s">
        <v>47</v>
      </c>
      <c r="D268" t="s">
        <v>56</v>
      </c>
      <c r="E268" t="s">
        <v>49</v>
      </c>
      <c r="F268" t="s">
        <v>50</v>
      </c>
      <c r="G268" t="s">
        <v>51</v>
      </c>
      <c r="H268" t="s">
        <v>3</v>
      </c>
      <c r="I268">
        <v>0.64950166112956798</v>
      </c>
      <c r="J268">
        <v>0.14639632048074799</v>
      </c>
      <c r="K268">
        <v>0.32838944001734699</v>
      </c>
      <c r="L268">
        <v>0.148711480923894</v>
      </c>
      <c r="M268">
        <v>0.30456349206349198</v>
      </c>
      <c r="N268">
        <v>0.167245327128413</v>
      </c>
      <c r="O268">
        <v>0.38202288667404899</v>
      </c>
      <c r="P268">
        <v>0.13595890471559799</v>
      </c>
    </row>
    <row r="269" spans="1:16" x14ac:dyDescent="0.3">
      <c r="A269" t="s">
        <v>46</v>
      </c>
      <c r="B269" t="s">
        <v>60</v>
      </c>
      <c r="C269" t="s">
        <v>47</v>
      </c>
      <c r="D269" t="s">
        <v>56</v>
      </c>
      <c r="E269" t="s">
        <v>49</v>
      </c>
      <c r="F269" t="s">
        <v>50</v>
      </c>
      <c r="G269" t="s">
        <v>51</v>
      </c>
      <c r="H269" t="s">
        <v>4</v>
      </c>
      <c r="I269">
        <v>0.65780730897009898</v>
      </c>
      <c r="J269">
        <v>0.14259372685539301</v>
      </c>
      <c r="K269">
        <v>0.32103245591617602</v>
      </c>
      <c r="L269">
        <v>0.141539114119662</v>
      </c>
      <c r="M269">
        <v>0.28702934662236901</v>
      </c>
      <c r="N269">
        <v>0.15766599504220599</v>
      </c>
      <c r="O269">
        <v>0.38412698412698398</v>
      </c>
      <c r="P269">
        <v>0.12415499217159399</v>
      </c>
    </row>
    <row r="270" spans="1:16" x14ac:dyDescent="0.3">
      <c r="A270" t="s">
        <v>46</v>
      </c>
      <c r="B270" t="s">
        <v>60</v>
      </c>
      <c r="C270" t="s">
        <v>47</v>
      </c>
      <c r="D270" t="s">
        <v>56</v>
      </c>
      <c r="E270" t="s">
        <v>49</v>
      </c>
      <c r="F270" t="s">
        <v>54</v>
      </c>
      <c r="G270" t="s">
        <v>51</v>
      </c>
      <c r="H270" t="s">
        <v>2</v>
      </c>
      <c r="I270">
        <v>0.59993540051679495</v>
      </c>
      <c r="J270">
        <v>0.146384909129194</v>
      </c>
      <c r="K270">
        <v>0.38970664285301698</v>
      </c>
      <c r="L270">
        <v>0.17142327845378799</v>
      </c>
      <c r="M270">
        <v>0.36850775193798402</v>
      </c>
      <c r="N270">
        <v>0.19449052284260701</v>
      </c>
      <c r="O270">
        <v>0.44942937123169602</v>
      </c>
      <c r="P270">
        <v>0.17955250620277599</v>
      </c>
    </row>
    <row r="271" spans="1:16" x14ac:dyDescent="0.3">
      <c r="A271" t="s">
        <v>46</v>
      </c>
      <c r="B271" t="s">
        <v>60</v>
      </c>
      <c r="C271" t="s">
        <v>47</v>
      </c>
      <c r="D271" t="s">
        <v>56</v>
      </c>
      <c r="E271" t="s">
        <v>49</v>
      </c>
      <c r="F271" t="s">
        <v>54</v>
      </c>
      <c r="G271" t="s">
        <v>51</v>
      </c>
      <c r="H271" t="s">
        <v>5</v>
      </c>
      <c r="I271">
        <v>0.58520671834625304</v>
      </c>
      <c r="J271">
        <v>0.15244528175201</v>
      </c>
      <c r="K271">
        <v>0.36856387956089098</v>
      </c>
      <c r="L271">
        <v>0.185654287670316</v>
      </c>
      <c r="M271">
        <v>0.36517318813830402</v>
      </c>
      <c r="N271">
        <v>0.210067015404028</v>
      </c>
      <c r="O271">
        <v>0.40652916205241701</v>
      </c>
      <c r="P271">
        <v>0.18249006667346601</v>
      </c>
    </row>
    <row r="272" spans="1:16" x14ac:dyDescent="0.3">
      <c r="A272" t="s">
        <v>46</v>
      </c>
      <c r="B272" t="s">
        <v>60</v>
      </c>
      <c r="C272" t="s">
        <v>47</v>
      </c>
      <c r="D272" t="s">
        <v>56</v>
      </c>
      <c r="E272" t="s">
        <v>49</v>
      </c>
      <c r="F272" t="s">
        <v>54</v>
      </c>
      <c r="G272" t="s">
        <v>51</v>
      </c>
      <c r="H272" t="s">
        <v>4</v>
      </c>
      <c r="I272">
        <v>0.63507751937984402</v>
      </c>
      <c r="J272">
        <v>0.114759268276695</v>
      </c>
      <c r="K272">
        <v>0.33493543809891202</v>
      </c>
      <c r="L272">
        <v>0.124769718374698</v>
      </c>
      <c r="M272">
        <v>0.31127260981912103</v>
      </c>
      <c r="N272">
        <v>0.16824001023884</v>
      </c>
      <c r="O272">
        <v>0.40147809769902698</v>
      </c>
      <c r="P272">
        <v>0.120575099238522</v>
      </c>
    </row>
    <row r="273" spans="1:16" x14ac:dyDescent="0.3">
      <c r="A273" t="s">
        <v>46</v>
      </c>
      <c r="B273" t="s">
        <v>60</v>
      </c>
      <c r="C273" t="s">
        <v>47</v>
      </c>
      <c r="D273" t="s">
        <v>56</v>
      </c>
      <c r="E273" t="s">
        <v>49</v>
      </c>
      <c r="F273" t="s">
        <v>54</v>
      </c>
      <c r="G273" t="s">
        <v>51</v>
      </c>
      <c r="H273" t="s">
        <v>3</v>
      </c>
      <c r="I273">
        <v>0.59063307493539996</v>
      </c>
      <c r="J273">
        <v>0.129188403961007</v>
      </c>
      <c r="K273">
        <v>0.32855252615854502</v>
      </c>
      <c r="L273">
        <v>0.12978964703700899</v>
      </c>
      <c r="M273">
        <v>0.30573243509289999</v>
      </c>
      <c r="N273">
        <v>0.14939996389473001</v>
      </c>
      <c r="O273">
        <v>0.38217977113325902</v>
      </c>
      <c r="P273">
        <v>0.13784185346369399</v>
      </c>
    </row>
    <row r="274" spans="1:16" x14ac:dyDescent="0.3">
      <c r="A274" t="s">
        <v>46</v>
      </c>
      <c r="B274" t="s">
        <v>60</v>
      </c>
      <c r="C274" t="s">
        <v>47</v>
      </c>
      <c r="D274" t="s">
        <v>56</v>
      </c>
      <c r="E274" t="s">
        <v>59</v>
      </c>
      <c r="F274" t="s">
        <v>50</v>
      </c>
      <c r="G274" t="s">
        <v>51</v>
      </c>
      <c r="H274" t="s">
        <v>3</v>
      </c>
      <c r="I274">
        <v>0.38538205980066398</v>
      </c>
      <c r="J274">
        <v>0.20506289616113699</v>
      </c>
      <c r="K274">
        <v>0.27255939581520899</v>
      </c>
      <c r="L274">
        <v>0.16354319663907599</v>
      </c>
      <c r="M274">
        <v>0.29748523440383901</v>
      </c>
      <c r="N274">
        <v>0.18356761504834301</v>
      </c>
      <c r="O274">
        <v>0.32045957918050899</v>
      </c>
      <c r="P274">
        <v>0.19335745893805201</v>
      </c>
    </row>
    <row r="275" spans="1:16" x14ac:dyDescent="0.3">
      <c r="A275" t="s">
        <v>46</v>
      </c>
      <c r="B275" t="s">
        <v>60</v>
      </c>
      <c r="C275" t="s">
        <v>47</v>
      </c>
      <c r="D275" t="s">
        <v>56</v>
      </c>
      <c r="E275" t="s">
        <v>59</v>
      </c>
      <c r="F275" t="s">
        <v>50</v>
      </c>
      <c r="G275" t="s">
        <v>51</v>
      </c>
      <c r="H275" t="s">
        <v>2</v>
      </c>
      <c r="I275">
        <v>0.33305647840531499</v>
      </c>
      <c r="J275">
        <v>0.19362939549497199</v>
      </c>
      <c r="K275">
        <v>0.24520509636788701</v>
      </c>
      <c r="L275">
        <v>0.16002523553223999</v>
      </c>
      <c r="M275">
        <v>0.29479974160206701</v>
      </c>
      <c r="N275">
        <v>0.186691687275028</v>
      </c>
      <c r="O275">
        <v>0.27855297157622699</v>
      </c>
      <c r="P275">
        <v>0.19090371980926399</v>
      </c>
    </row>
    <row r="276" spans="1:16" x14ac:dyDescent="0.3">
      <c r="A276" t="s">
        <v>46</v>
      </c>
      <c r="B276" t="s">
        <v>60</v>
      </c>
      <c r="C276" t="s">
        <v>47</v>
      </c>
      <c r="D276" t="s">
        <v>56</v>
      </c>
      <c r="E276" t="s">
        <v>59</v>
      </c>
      <c r="F276" t="s">
        <v>50</v>
      </c>
      <c r="G276" t="s">
        <v>51</v>
      </c>
      <c r="H276" t="s">
        <v>5</v>
      </c>
      <c r="I276">
        <v>0.33070321151716497</v>
      </c>
      <c r="J276">
        <v>0.20203989863105001</v>
      </c>
      <c r="K276">
        <v>0.225723759444689</v>
      </c>
      <c r="L276">
        <v>0.150340066373465</v>
      </c>
      <c r="M276">
        <v>0.257373569582871</v>
      </c>
      <c r="N276">
        <v>0.177078895095375</v>
      </c>
      <c r="O276">
        <v>0.26342746400885902</v>
      </c>
      <c r="P276">
        <v>0.188419240080061</v>
      </c>
    </row>
    <row r="277" spans="1:16" x14ac:dyDescent="0.3">
      <c r="A277" t="s">
        <v>46</v>
      </c>
      <c r="B277" t="s">
        <v>60</v>
      </c>
      <c r="C277" t="s">
        <v>47</v>
      </c>
      <c r="D277" t="s">
        <v>56</v>
      </c>
      <c r="E277" t="s">
        <v>59</v>
      </c>
      <c r="F277" t="s">
        <v>50</v>
      </c>
      <c r="G277" t="s">
        <v>51</v>
      </c>
      <c r="H277" t="s">
        <v>4</v>
      </c>
      <c r="I277">
        <v>0.362264673311184</v>
      </c>
      <c r="J277">
        <v>0.21246527938237</v>
      </c>
      <c r="K277">
        <v>0.220440562882423</v>
      </c>
      <c r="L277">
        <v>0.13617114346270701</v>
      </c>
      <c r="M277">
        <v>0.24293558508674701</v>
      </c>
      <c r="N277">
        <v>0.18719541550558599</v>
      </c>
      <c r="O277">
        <v>0.27607973421926901</v>
      </c>
      <c r="P277">
        <v>0.16531156304683201</v>
      </c>
    </row>
    <row r="278" spans="1:16" x14ac:dyDescent="0.3">
      <c r="A278" t="s">
        <v>46</v>
      </c>
      <c r="B278" t="s">
        <v>60</v>
      </c>
      <c r="C278" t="s">
        <v>47</v>
      </c>
      <c r="D278" t="s">
        <v>56</v>
      </c>
      <c r="E278" t="s">
        <v>59</v>
      </c>
      <c r="F278" t="s">
        <v>54</v>
      </c>
      <c r="G278" t="s">
        <v>51</v>
      </c>
      <c r="H278" t="s">
        <v>3</v>
      </c>
      <c r="I278">
        <v>0.45445736434108502</v>
      </c>
      <c r="J278">
        <v>0.199533927525822</v>
      </c>
      <c r="K278">
        <v>0.35414831849510298</v>
      </c>
      <c r="L278">
        <v>0.16380054573789701</v>
      </c>
      <c r="M278">
        <v>0.38627260981912098</v>
      </c>
      <c r="N278">
        <v>0.169144697583168</v>
      </c>
      <c r="O278">
        <v>0.41086963209056199</v>
      </c>
      <c r="P278">
        <v>0.18729869462086299</v>
      </c>
    </row>
    <row r="279" spans="1:16" x14ac:dyDescent="0.3">
      <c r="A279" t="s">
        <v>46</v>
      </c>
      <c r="B279" t="s">
        <v>60</v>
      </c>
      <c r="C279" t="s">
        <v>47</v>
      </c>
      <c r="D279" t="s">
        <v>56</v>
      </c>
      <c r="E279" t="s">
        <v>59</v>
      </c>
      <c r="F279" t="s">
        <v>54</v>
      </c>
      <c r="G279" t="s">
        <v>51</v>
      </c>
      <c r="H279" t="s">
        <v>4</v>
      </c>
      <c r="I279">
        <v>0.42312661498707999</v>
      </c>
      <c r="J279">
        <v>0.187561570836519</v>
      </c>
      <c r="K279">
        <v>0.32218470590563603</v>
      </c>
      <c r="L279">
        <v>0.158667607797049</v>
      </c>
      <c r="M279">
        <v>0.34529500430663201</v>
      </c>
      <c r="N279">
        <v>0.19675677095177099</v>
      </c>
      <c r="O279">
        <v>0.39797742094253702</v>
      </c>
      <c r="P279">
        <v>0.18098534623593199</v>
      </c>
    </row>
    <row r="280" spans="1:16" x14ac:dyDescent="0.3">
      <c r="A280" t="s">
        <v>46</v>
      </c>
      <c r="B280" t="s">
        <v>60</v>
      </c>
      <c r="C280" t="s">
        <v>47</v>
      </c>
      <c r="D280" t="s">
        <v>56</v>
      </c>
      <c r="E280" t="s">
        <v>59</v>
      </c>
      <c r="F280" t="s">
        <v>54</v>
      </c>
      <c r="G280" t="s">
        <v>51</v>
      </c>
      <c r="H280" t="s">
        <v>5</v>
      </c>
      <c r="I280">
        <v>0.39379844961240301</v>
      </c>
      <c r="J280">
        <v>0.165192486851582</v>
      </c>
      <c r="K280">
        <v>0.30375576189529602</v>
      </c>
      <c r="L280">
        <v>0.143487163143346</v>
      </c>
      <c r="M280">
        <v>0.332918050941306</v>
      </c>
      <c r="N280">
        <v>0.15573427747448601</v>
      </c>
      <c r="O280">
        <v>0.35886551002830003</v>
      </c>
      <c r="P280">
        <v>0.19112412205007201</v>
      </c>
    </row>
    <row r="281" spans="1:16" x14ac:dyDescent="0.3">
      <c r="A281" t="s">
        <v>46</v>
      </c>
      <c r="B281" t="s">
        <v>60</v>
      </c>
      <c r="C281" t="s">
        <v>47</v>
      </c>
      <c r="D281" t="s">
        <v>56</v>
      </c>
      <c r="E281" t="s">
        <v>59</v>
      </c>
      <c r="F281" t="s">
        <v>54</v>
      </c>
      <c r="G281" t="s">
        <v>51</v>
      </c>
      <c r="H281" t="s">
        <v>2</v>
      </c>
      <c r="I281">
        <v>0.36266149870801001</v>
      </c>
      <c r="J281">
        <v>0.16943999901567</v>
      </c>
      <c r="K281">
        <v>0.28217990020315598</v>
      </c>
      <c r="L281">
        <v>0.14422171620159899</v>
      </c>
      <c r="M281">
        <v>0.30921926910299002</v>
      </c>
      <c r="N281">
        <v>0.16334586166408299</v>
      </c>
      <c r="O281">
        <v>0.321000984373077</v>
      </c>
      <c r="P281">
        <v>0.168952283585733</v>
      </c>
    </row>
    <row r="282" spans="1:16" x14ac:dyDescent="0.3">
      <c r="A282" t="s">
        <v>46</v>
      </c>
      <c r="B282" t="s">
        <v>60</v>
      </c>
      <c r="C282" t="s">
        <v>53</v>
      </c>
      <c r="D282" t="s">
        <v>48</v>
      </c>
      <c r="E282" t="s">
        <v>49</v>
      </c>
      <c r="F282" t="s">
        <v>50</v>
      </c>
      <c r="G282" t="s">
        <v>51</v>
      </c>
      <c r="H282" t="s">
        <v>4</v>
      </c>
      <c r="I282">
        <v>0.50829426221732998</v>
      </c>
      <c r="J282">
        <v>0.128234097330304</v>
      </c>
      <c r="K282">
        <v>0.48212668803709702</v>
      </c>
      <c r="L282">
        <v>0.128678387795751</v>
      </c>
      <c r="M282">
        <v>0.51657755244451498</v>
      </c>
      <c r="N282">
        <v>0.12617849627883199</v>
      </c>
      <c r="O282">
        <v>0.50928795579958297</v>
      </c>
      <c r="P282">
        <v>0.12072818073052401</v>
      </c>
    </row>
    <row r="283" spans="1:16" x14ac:dyDescent="0.3">
      <c r="A283" t="s">
        <v>46</v>
      </c>
      <c r="B283" t="s">
        <v>60</v>
      </c>
      <c r="C283" t="s">
        <v>53</v>
      </c>
      <c r="D283" t="s">
        <v>48</v>
      </c>
      <c r="E283" t="s">
        <v>49</v>
      </c>
      <c r="F283" t="s">
        <v>50</v>
      </c>
      <c r="G283" t="s">
        <v>51</v>
      </c>
      <c r="H283" t="s">
        <v>2</v>
      </c>
      <c r="I283">
        <v>0.50785416573810205</v>
      </c>
      <c r="J283">
        <v>0.115312880205362</v>
      </c>
      <c r="K283">
        <v>0.47830710210431099</v>
      </c>
      <c r="L283">
        <v>0.11672023352735</v>
      </c>
      <c r="M283">
        <v>0.51538253413253399</v>
      </c>
      <c r="N283">
        <v>0.119165046169897</v>
      </c>
      <c r="O283">
        <v>0.49920329455213103</v>
      </c>
      <c r="P283">
        <v>0.12393788624204399</v>
      </c>
    </row>
    <row r="284" spans="1:16" x14ac:dyDescent="0.3">
      <c r="A284" t="s">
        <v>46</v>
      </c>
      <c r="B284" t="s">
        <v>60</v>
      </c>
      <c r="C284" t="s">
        <v>53</v>
      </c>
      <c r="D284" t="s">
        <v>48</v>
      </c>
      <c r="E284" t="s">
        <v>49</v>
      </c>
      <c r="F284" t="s">
        <v>50</v>
      </c>
      <c r="G284" t="s">
        <v>51</v>
      </c>
      <c r="H284" t="s">
        <v>3</v>
      </c>
      <c r="I284">
        <v>0.50743114055087502</v>
      </c>
      <c r="J284">
        <v>0.14774462973445701</v>
      </c>
      <c r="K284">
        <v>0.47811178585467401</v>
      </c>
      <c r="L284">
        <v>0.14451657881350999</v>
      </c>
      <c r="M284">
        <v>0.50963562990796696</v>
      </c>
      <c r="N284">
        <v>0.15017223343762201</v>
      </c>
      <c r="O284">
        <v>0.504286841496143</v>
      </c>
      <c r="P284">
        <v>0.139953094037192</v>
      </c>
    </row>
    <row r="285" spans="1:16" x14ac:dyDescent="0.3">
      <c r="A285" t="s">
        <v>46</v>
      </c>
      <c r="B285" t="s">
        <v>60</v>
      </c>
      <c r="C285" t="s">
        <v>53</v>
      </c>
      <c r="D285" t="s">
        <v>48</v>
      </c>
      <c r="E285" t="s">
        <v>49</v>
      </c>
      <c r="F285" t="s">
        <v>50</v>
      </c>
      <c r="G285" t="s">
        <v>51</v>
      </c>
      <c r="H285" t="s">
        <v>5</v>
      </c>
      <c r="I285">
        <v>0.472653533057449</v>
      </c>
      <c r="J285">
        <v>0.13184286731886899</v>
      </c>
      <c r="K285">
        <v>0.455867371543414</v>
      </c>
      <c r="L285">
        <v>0.131925761538256</v>
      </c>
      <c r="M285">
        <v>0.48521961090045501</v>
      </c>
      <c r="N285">
        <v>0.13687017797356499</v>
      </c>
      <c r="O285">
        <v>0.48083340001944602</v>
      </c>
      <c r="P285">
        <v>0.135387657188134</v>
      </c>
    </row>
    <row r="286" spans="1:16" x14ac:dyDescent="0.3">
      <c r="A286" t="s">
        <v>46</v>
      </c>
      <c r="B286" t="s">
        <v>60</v>
      </c>
      <c r="C286" t="s">
        <v>53</v>
      </c>
      <c r="D286" t="s">
        <v>48</v>
      </c>
      <c r="E286" t="s">
        <v>49</v>
      </c>
      <c r="F286" t="s">
        <v>50</v>
      </c>
      <c r="G286" t="s">
        <v>55</v>
      </c>
      <c r="H286" t="s">
        <v>3</v>
      </c>
      <c r="I286">
        <v>0.52221007946222098</v>
      </c>
      <c r="J286">
        <v>0.133475348918316</v>
      </c>
      <c r="K286">
        <v>0.493383932272978</v>
      </c>
      <c r="L286">
        <v>0.13758236857443601</v>
      </c>
      <c r="M286">
        <v>0.52188657121112603</v>
      </c>
      <c r="N286">
        <v>0.14347379114713199</v>
      </c>
      <c r="O286">
        <v>0.52446276806741898</v>
      </c>
      <c r="P286">
        <v>0.131913897677049</v>
      </c>
    </row>
    <row r="287" spans="1:16" x14ac:dyDescent="0.3">
      <c r="A287" t="s">
        <v>46</v>
      </c>
      <c r="B287" t="s">
        <v>60</v>
      </c>
      <c r="C287" t="s">
        <v>53</v>
      </c>
      <c r="D287" t="s">
        <v>48</v>
      </c>
      <c r="E287" t="s">
        <v>49</v>
      </c>
      <c r="F287" t="s">
        <v>50</v>
      </c>
      <c r="G287" t="s">
        <v>55</v>
      </c>
      <c r="H287" t="s">
        <v>4</v>
      </c>
      <c r="I287">
        <v>0.51148073672553396</v>
      </c>
      <c r="J287">
        <v>0.14926224046487899</v>
      </c>
      <c r="K287">
        <v>0.48738214213040798</v>
      </c>
      <c r="L287">
        <v>0.146036156272461</v>
      </c>
      <c r="M287">
        <v>0.516816990843042</v>
      </c>
      <c r="N287">
        <v>0.14690544635711</v>
      </c>
      <c r="O287">
        <v>0.51245215809169298</v>
      </c>
      <c r="P287">
        <v>0.143392611844984</v>
      </c>
    </row>
    <row r="288" spans="1:16" x14ac:dyDescent="0.3">
      <c r="A288" t="s">
        <v>46</v>
      </c>
      <c r="B288" t="s">
        <v>60</v>
      </c>
      <c r="C288" t="s">
        <v>53</v>
      </c>
      <c r="D288" t="s">
        <v>48</v>
      </c>
      <c r="E288" t="s">
        <v>49</v>
      </c>
      <c r="F288" t="s">
        <v>50</v>
      </c>
      <c r="G288" t="s">
        <v>55</v>
      </c>
      <c r="H288" t="s">
        <v>2</v>
      </c>
      <c r="I288">
        <v>0.49925537738555198</v>
      </c>
      <c r="J288">
        <v>0.140015956081149</v>
      </c>
      <c r="K288">
        <v>0.47176403136645201</v>
      </c>
      <c r="L288">
        <v>0.13732670808707201</v>
      </c>
      <c r="M288">
        <v>0.50464058665153</v>
      </c>
      <c r="N288">
        <v>0.14613168565544099</v>
      </c>
      <c r="O288">
        <v>0.496717924624901</v>
      </c>
      <c r="P288">
        <v>0.14251031090591099</v>
      </c>
    </row>
    <row r="289" spans="1:16" x14ac:dyDescent="0.3">
      <c r="A289" t="s">
        <v>46</v>
      </c>
      <c r="B289" t="s">
        <v>60</v>
      </c>
      <c r="C289" t="s">
        <v>53</v>
      </c>
      <c r="D289" t="s">
        <v>48</v>
      </c>
      <c r="E289" t="s">
        <v>49</v>
      </c>
      <c r="F289" t="s">
        <v>50</v>
      </c>
      <c r="G289" t="s">
        <v>55</v>
      </c>
      <c r="H289" t="s">
        <v>5</v>
      </c>
      <c r="I289">
        <v>0.48417871228458698</v>
      </c>
      <c r="J289">
        <v>0.14113016515451399</v>
      </c>
      <c r="K289">
        <v>0.46762931245519901</v>
      </c>
      <c r="L289">
        <v>0.13911482762046201</v>
      </c>
      <c r="M289">
        <v>0.49570257703672599</v>
      </c>
      <c r="N289">
        <v>0.146325106622891</v>
      </c>
      <c r="O289">
        <v>0.49260910278352099</v>
      </c>
      <c r="P289">
        <v>0.143888782889426</v>
      </c>
    </row>
    <row r="290" spans="1:16" x14ac:dyDescent="0.3">
      <c r="A290" t="s">
        <v>46</v>
      </c>
      <c r="B290" t="s">
        <v>60</v>
      </c>
      <c r="C290" t="s">
        <v>53</v>
      </c>
      <c r="D290" t="s">
        <v>48</v>
      </c>
      <c r="E290" t="s">
        <v>49</v>
      </c>
      <c r="F290" t="s">
        <v>54</v>
      </c>
      <c r="G290" t="s">
        <v>51</v>
      </c>
      <c r="H290" t="s">
        <v>3</v>
      </c>
      <c r="I290">
        <v>0.57210382602973697</v>
      </c>
      <c r="J290">
        <v>0.114249937678706</v>
      </c>
      <c r="K290">
        <v>0.55471942328128399</v>
      </c>
      <c r="L290">
        <v>0.113367102488357</v>
      </c>
      <c r="M290">
        <v>0.581301302411106</v>
      </c>
      <c r="N290">
        <v>0.10916621270996001</v>
      </c>
      <c r="O290">
        <v>0.57663830045503495</v>
      </c>
      <c r="P290">
        <v>0.105086449738098</v>
      </c>
    </row>
    <row r="291" spans="1:16" x14ac:dyDescent="0.3">
      <c r="A291" t="s">
        <v>46</v>
      </c>
      <c r="B291" t="s">
        <v>60</v>
      </c>
      <c r="C291" t="s">
        <v>53</v>
      </c>
      <c r="D291" t="s">
        <v>48</v>
      </c>
      <c r="E291" t="s">
        <v>49</v>
      </c>
      <c r="F291" t="s">
        <v>54</v>
      </c>
      <c r="G291" t="s">
        <v>51</v>
      </c>
      <c r="H291" t="s">
        <v>2</v>
      </c>
      <c r="I291">
        <v>0.55643095451987501</v>
      </c>
      <c r="J291">
        <v>0.105204918435461</v>
      </c>
      <c r="K291">
        <v>0.54094185973140396</v>
      </c>
      <c r="L291">
        <v>0.100615548955048</v>
      </c>
      <c r="M291">
        <v>0.56999255505137902</v>
      </c>
      <c r="N291">
        <v>9.8800782229178902E-2</v>
      </c>
      <c r="O291">
        <v>0.56623033973770098</v>
      </c>
      <c r="P291">
        <v>9.6658987567554505E-2</v>
      </c>
    </row>
    <row r="292" spans="1:16" x14ac:dyDescent="0.3">
      <c r="A292" t="s">
        <v>46</v>
      </c>
      <c r="B292" t="s">
        <v>60</v>
      </c>
      <c r="C292" t="s">
        <v>53</v>
      </c>
      <c r="D292" t="s">
        <v>48</v>
      </c>
      <c r="E292" t="s">
        <v>49</v>
      </c>
      <c r="F292" t="s">
        <v>54</v>
      </c>
      <c r="G292" t="s">
        <v>51</v>
      </c>
      <c r="H292" t="s">
        <v>4</v>
      </c>
      <c r="I292">
        <v>0.55329545519885304</v>
      </c>
      <c r="J292">
        <v>0.14121600425502201</v>
      </c>
      <c r="K292">
        <v>0.52995690253388605</v>
      </c>
      <c r="L292">
        <v>0.14129212845317601</v>
      </c>
      <c r="M292">
        <v>0.55027021918877905</v>
      </c>
      <c r="N292">
        <v>0.14322025684599199</v>
      </c>
      <c r="O292">
        <v>0.55572538496615098</v>
      </c>
      <c r="P292">
        <v>0.12266071906887301</v>
      </c>
    </row>
    <row r="293" spans="1:16" x14ac:dyDescent="0.3">
      <c r="A293" t="s">
        <v>46</v>
      </c>
      <c r="B293" t="s">
        <v>60</v>
      </c>
      <c r="C293" t="s">
        <v>53</v>
      </c>
      <c r="D293" t="s">
        <v>48</v>
      </c>
      <c r="E293" t="s">
        <v>49</v>
      </c>
      <c r="F293" t="s">
        <v>54</v>
      </c>
      <c r="G293" t="s">
        <v>51</v>
      </c>
      <c r="H293" t="s">
        <v>5</v>
      </c>
      <c r="I293">
        <v>0.51829050157057599</v>
      </c>
      <c r="J293">
        <v>0.10075380296594801</v>
      </c>
      <c r="K293">
        <v>0.50334097469297701</v>
      </c>
      <c r="L293">
        <v>0.105900649244106</v>
      </c>
      <c r="M293">
        <v>0.51922166630876099</v>
      </c>
      <c r="N293">
        <v>0.106985055157951</v>
      </c>
      <c r="O293">
        <v>0.51928948149833298</v>
      </c>
      <c r="P293">
        <v>0.10526902818119201</v>
      </c>
    </row>
    <row r="294" spans="1:16" x14ac:dyDescent="0.3">
      <c r="A294" t="s">
        <v>46</v>
      </c>
      <c r="B294" t="s">
        <v>60</v>
      </c>
      <c r="C294" t="s">
        <v>53</v>
      </c>
      <c r="D294" t="s">
        <v>48</v>
      </c>
      <c r="E294" t="s">
        <v>59</v>
      </c>
      <c r="F294" t="s">
        <v>50</v>
      </c>
      <c r="G294" t="s">
        <v>51</v>
      </c>
      <c r="H294" t="s">
        <v>4</v>
      </c>
      <c r="I294">
        <v>0.57537921125202396</v>
      </c>
      <c r="J294">
        <v>0.23866790915188399</v>
      </c>
      <c r="K294">
        <v>0.43003125860207297</v>
      </c>
      <c r="L294">
        <v>0.17705499358754501</v>
      </c>
      <c r="M294">
        <v>0.52012678449021899</v>
      </c>
      <c r="N294">
        <v>0.162834923165349</v>
      </c>
      <c r="O294">
        <v>0.47006309532274299</v>
      </c>
      <c r="P294">
        <v>0.19175276635180899</v>
      </c>
    </row>
    <row r="295" spans="1:16" x14ac:dyDescent="0.3">
      <c r="A295" t="s">
        <v>46</v>
      </c>
      <c r="B295" t="s">
        <v>60</v>
      </c>
      <c r="C295" t="s">
        <v>53</v>
      </c>
      <c r="D295" t="s">
        <v>48</v>
      </c>
      <c r="E295" t="s">
        <v>59</v>
      </c>
      <c r="F295" t="s">
        <v>50</v>
      </c>
      <c r="G295" t="s">
        <v>51</v>
      </c>
      <c r="H295" t="s">
        <v>3</v>
      </c>
      <c r="I295">
        <v>0.55902162782697695</v>
      </c>
      <c r="J295">
        <v>0.22484338148347899</v>
      </c>
      <c r="K295">
        <v>0.415577603126909</v>
      </c>
      <c r="L295">
        <v>0.15696423846375199</v>
      </c>
      <c r="M295">
        <v>0.50072960330403204</v>
      </c>
      <c r="N295">
        <v>0.13999949729896999</v>
      </c>
      <c r="O295">
        <v>0.43402842241131501</v>
      </c>
      <c r="P295">
        <v>0.170540609153499</v>
      </c>
    </row>
    <row r="296" spans="1:16" x14ac:dyDescent="0.3">
      <c r="A296" t="s">
        <v>46</v>
      </c>
      <c r="B296" t="s">
        <v>60</v>
      </c>
      <c r="C296" t="s">
        <v>53</v>
      </c>
      <c r="D296" t="s">
        <v>48</v>
      </c>
      <c r="E296" t="s">
        <v>59</v>
      </c>
      <c r="F296" t="s">
        <v>50</v>
      </c>
      <c r="G296" t="s">
        <v>51</v>
      </c>
      <c r="H296" t="s">
        <v>2</v>
      </c>
      <c r="I296">
        <v>0.54864081087351302</v>
      </c>
      <c r="J296">
        <v>0.209921394594141</v>
      </c>
      <c r="K296">
        <v>0.41177328637446697</v>
      </c>
      <c r="L296">
        <v>0.134058006439774</v>
      </c>
      <c r="M296">
        <v>0.49053914303950202</v>
      </c>
      <c r="N296">
        <v>0.11605109774896</v>
      </c>
      <c r="O296">
        <v>0.43989437391860098</v>
      </c>
      <c r="P296">
        <v>0.163791081110989</v>
      </c>
    </row>
    <row r="297" spans="1:16" x14ac:dyDescent="0.3">
      <c r="A297" t="s">
        <v>46</v>
      </c>
      <c r="B297" t="s">
        <v>60</v>
      </c>
      <c r="C297" t="s">
        <v>53</v>
      </c>
      <c r="D297" t="s">
        <v>48</v>
      </c>
      <c r="E297" t="s">
        <v>59</v>
      </c>
      <c r="F297" t="s">
        <v>50</v>
      </c>
      <c r="G297" t="s">
        <v>51</v>
      </c>
      <c r="H297" t="s">
        <v>5</v>
      </c>
      <c r="I297">
        <v>0.53991938064495404</v>
      </c>
      <c r="J297">
        <v>0.18427909860140801</v>
      </c>
      <c r="K297">
        <v>0.40474864191800303</v>
      </c>
      <c r="L297">
        <v>0.13780640358996399</v>
      </c>
      <c r="M297">
        <v>0.48875966996260001</v>
      </c>
      <c r="N297">
        <v>0.138070506500588</v>
      </c>
      <c r="O297">
        <v>0.42245752655024299</v>
      </c>
      <c r="P297">
        <v>0.160468681796375</v>
      </c>
    </row>
    <row r="298" spans="1:16" x14ac:dyDescent="0.3">
      <c r="A298" t="s">
        <v>46</v>
      </c>
      <c r="B298" t="s">
        <v>60</v>
      </c>
      <c r="C298" t="s">
        <v>53</v>
      </c>
      <c r="D298" t="s">
        <v>48</v>
      </c>
      <c r="E298" t="s">
        <v>59</v>
      </c>
      <c r="F298" t="s">
        <v>50</v>
      </c>
      <c r="G298" t="s">
        <v>55</v>
      </c>
      <c r="H298" t="s">
        <v>4</v>
      </c>
      <c r="I298">
        <v>0.56223287356558205</v>
      </c>
      <c r="J298">
        <v>0.213219741702011</v>
      </c>
      <c r="K298">
        <v>0.43930804303137599</v>
      </c>
      <c r="L298">
        <v>0.176799227491335</v>
      </c>
      <c r="M298">
        <v>0.52791534202857904</v>
      </c>
      <c r="N298">
        <v>0.16090707297325599</v>
      </c>
      <c r="O298">
        <v>0.45298403223829797</v>
      </c>
      <c r="P298">
        <v>0.202935099939446</v>
      </c>
    </row>
    <row r="299" spans="1:16" x14ac:dyDescent="0.3">
      <c r="A299" t="s">
        <v>46</v>
      </c>
      <c r="B299" t="s">
        <v>60</v>
      </c>
      <c r="C299" t="s">
        <v>53</v>
      </c>
      <c r="D299" t="s">
        <v>48</v>
      </c>
      <c r="E299" t="s">
        <v>59</v>
      </c>
      <c r="F299" t="s">
        <v>50</v>
      </c>
      <c r="G299" t="s">
        <v>55</v>
      </c>
      <c r="H299" t="s">
        <v>3</v>
      </c>
      <c r="I299">
        <v>0.57854378593542599</v>
      </c>
      <c r="J299">
        <v>0.22959433720901201</v>
      </c>
      <c r="K299">
        <v>0.43843026983799099</v>
      </c>
      <c r="L299">
        <v>0.18789540609090799</v>
      </c>
      <c r="M299">
        <v>0.51637704193571199</v>
      </c>
      <c r="N299">
        <v>0.15751962646436901</v>
      </c>
      <c r="O299">
        <v>0.45333001698290698</v>
      </c>
      <c r="P299">
        <v>0.19716186629343899</v>
      </c>
    </row>
    <row r="300" spans="1:16" x14ac:dyDescent="0.3">
      <c r="A300" t="s">
        <v>46</v>
      </c>
      <c r="B300" t="s">
        <v>60</v>
      </c>
      <c r="C300" t="s">
        <v>53</v>
      </c>
      <c r="D300" t="s">
        <v>48</v>
      </c>
      <c r="E300" t="s">
        <v>59</v>
      </c>
      <c r="F300" t="s">
        <v>50</v>
      </c>
      <c r="G300" t="s">
        <v>55</v>
      </c>
      <c r="H300" t="s">
        <v>5</v>
      </c>
      <c r="I300">
        <v>0.54753354830304202</v>
      </c>
      <c r="J300">
        <v>0.190911592071521</v>
      </c>
      <c r="K300">
        <v>0.42214118442739401</v>
      </c>
      <c r="L300">
        <v>0.152578632862335</v>
      </c>
      <c r="M300">
        <v>0.507571343924753</v>
      </c>
      <c r="N300">
        <v>0.133986785600092</v>
      </c>
      <c r="O300">
        <v>0.43042185569275299</v>
      </c>
      <c r="P300">
        <v>0.17208152496813001</v>
      </c>
    </row>
    <row r="301" spans="1:16" x14ac:dyDescent="0.3">
      <c r="A301" t="s">
        <v>46</v>
      </c>
      <c r="B301" t="s">
        <v>60</v>
      </c>
      <c r="C301" t="s">
        <v>53</v>
      </c>
      <c r="D301" t="s">
        <v>48</v>
      </c>
      <c r="E301" t="s">
        <v>59</v>
      </c>
      <c r="F301" t="s">
        <v>50</v>
      </c>
      <c r="G301" t="s">
        <v>55</v>
      </c>
      <c r="H301" t="s">
        <v>2</v>
      </c>
      <c r="I301">
        <v>0.54132235513544402</v>
      </c>
      <c r="J301">
        <v>0.208880806976597</v>
      </c>
      <c r="K301">
        <v>0.40366926849117701</v>
      </c>
      <c r="L301">
        <v>0.123220799195883</v>
      </c>
      <c r="M301">
        <v>0.48746557603007101</v>
      </c>
      <c r="N301">
        <v>0.12135981064047</v>
      </c>
      <c r="O301">
        <v>0.42941669540236699</v>
      </c>
      <c r="P301">
        <v>0.15683721521307001</v>
      </c>
    </row>
    <row r="302" spans="1:16" x14ac:dyDescent="0.3">
      <c r="A302" t="s">
        <v>46</v>
      </c>
      <c r="B302" t="s">
        <v>60</v>
      </c>
      <c r="C302" t="s">
        <v>53</v>
      </c>
      <c r="D302" t="s">
        <v>48</v>
      </c>
      <c r="E302" t="s">
        <v>59</v>
      </c>
      <c r="F302" t="s">
        <v>54</v>
      </c>
      <c r="G302" t="s">
        <v>51</v>
      </c>
      <c r="H302" t="s">
        <v>4</v>
      </c>
      <c r="I302">
        <v>0.71175781122836201</v>
      </c>
      <c r="J302">
        <v>0.225689060801469</v>
      </c>
      <c r="K302">
        <v>0.477294713090748</v>
      </c>
      <c r="L302">
        <v>0.19074889893402699</v>
      </c>
      <c r="M302">
        <v>0.50754438704956695</v>
      </c>
      <c r="N302">
        <v>0.21611805075743201</v>
      </c>
      <c r="O302">
        <v>0.53401609835478503</v>
      </c>
      <c r="P302">
        <v>0.15810884852933199</v>
      </c>
    </row>
    <row r="303" spans="1:16" x14ac:dyDescent="0.3">
      <c r="A303" t="s">
        <v>46</v>
      </c>
      <c r="B303" t="s">
        <v>60</v>
      </c>
      <c r="C303" t="s">
        <v>53</v>
      </c>
      <c r="D303" t="s">
        <v>48</v>
      </c>
      <c r="E303" t="s">
        <v>59</v>
      </c>
      <c r="F303" t="s">
        <v>54</v>
      </c>
      <c r="G303" t="s">
        <v>51</v>
      </c>
      <c r="H303" t="s">
        <v>2</v>
      </c>
      <c r="I303">
        <v>0.70333837127889598</v>
      </c>
      <c r="J303">
        <v>0.217006362327715</v>
      </c>
      <c r="K303">
        <v>0.46089112721444297</v>
      </c>
      <c r="L303">
        <v>0.163216944568846</v>
      </c>
      <c r="M303">
        <v>0.48001875389972698</v>
      </c>
      <c r="N303">
        <v>0.170178599357764</v>
      </c>
      <c r="O303">
        <v>0.52359158739718203</v>
      </c>
      <c r="P303">
        <v>0.14524860041105001</v>
      </c>
    </row>
    <row r="304" spans="1:16" x14ac:dyDescent="0.3">
      <c r="A304" t="s">
        <v>46</v>
      </c>
      <c r="B304" t="s">
        <v>60</v>
      </c>
      <c r="C304" t="s">
        <v>53</v>
      </c>
      <c r="D304" t="s">
        <v>48</v>
      </c>
      <c r="E304" t="s">
        <v>59</v>
      </c>
      <c r="F304" t="s">
        <v>54</v>
      </c>
      <c r="G304" t="s">
        <v>51</v>
      </c>
      <c r="H304" t="s">
        <v>3</v>
      </c>
      <c r="I304">
        <v>0.72026320684330802</v>
      </c>
      <c r="J304">
        <v>0.21689729991235299</v>
      </c>
      <c r="K304">
        <v>0.45680422429502499</v>
      </c>
      <c r="L304">
        <v>0.144547854321874</v>
      </c>
      <c r="M304">
        <v>0.50546044835523396</v>
      </c>
      <c r="N304">
        <v>0.17414251977563999</v>
      </c>
      <c r="O304">
        <v>0.51428482057181002</v>
      </c>
      <c r="P304">
        <v>0.113427367017655</v>
      </c>
    </row>
    <row r="305" spans="1:16" x14ac:dyDescent="0.3">
      <c r="A305" t="s">
        <v>46</v>
      </c>
      <c r="B305" t="s">
        <v>60</v>
      </c>
      <c r="C305" t="s">
        <v>53</v>
      </c>
      <c r="D305" t="s">
        <v>48</v>
      </c>
      <c r="E305" t="s">
        <v>59</v>
      </c>
      <c r="F305" t="s">
        <v>54</v>
      </c>
      <c r="G305" t="s">
        <v>51</v>
      </c>
      <c r="H305" t="s">
        <v>5</v>
      </c>
      <c r="I305">
        <v>0.68858282454490505</v>
      </c>
      <c r="J305">
        <v>0.19419539572772099</v>
      </c>
      <c r="K305">
        <v>0.43802301773454699</v>
      </c>
      <c r="L305">
        <v>8.6673289501042097E-2</v>
      </c>
      <c r="M305">
        <v>0.47748233281110097</v>
      </c>
      <c r="N305">
        <v>0.123382530128648</v>
      </c>
      <c r="O305">
        <v>0.48488820052433101</v>
      </c>
      <c r="P305">
        <v>5.5328891365127301E-2</v>
      </c>
    </row>
    <row r="306" spans="1:16" x14ac:dyDescent="0.3">
      <c r="A306" t="s">
        <v>46</v>
      </c>
      <c r="B306" t="s">
        <v>60</v>
      </c>
      <c r="C306" t="s">
        <v>53</v>
      </c>
      <c r="D306" t="s">
        <v>57</v>
      </c>
      <c r="E306" t="s">
        <v>49</v>
      </c>
      <c r="F306" t="s">
        <v>50</v>
      </c>
      <c r="G306" t="s">
        <v>51</v>
      </c>
      <c r="H306" t="s">
        <v>2</v>
      </c>
      <c r="I306">
        <v>0.86136830975657996</v>
      </c>
      <c r="J306">
        <v>0.152555272459823</v>
      </c>
      <c r="K306">
        <v>1.04875723245421</v>
      </c>
      <c r="L306">
        <v>0.176844376691073</v>
      </c>
      <c r="M306">
        <v>-0.217389573257319</v>
      </c>
      <c r="N306">
        <v>0.25272799750976899</v>
      </c>
    </row>
    <row r="307" spans="1:16" x14ac:dyDescent="0.3">
      <c r="A307" t="s">
        <v>46</v>
      </c>
      <c r="B307" t="s">
        <v>60</v>
      </c>
      <c r="C307" t="s">
        <v>53</v>
      </c>
      <c r="D307" t="s">
        <v>57</v>
      </c>
      <c r="E307" t="s">
        <v>49</v>
      </c>
      <c r="F307" t="s">
        <v>50</v>
      </c>
      <c r="G307" t="s">
        <v>51</v>
      </c>
      <c r="H307" t="s">
        <v>4</v>
      </c>
      <c r="I307">
        <v>0.79347054059426303</v>
      </c>
      <c r="J307">
        <v>0.129198997652126</v>
      </c>
      <c r="K307">
        <v>0.96068171327861496</v>
      </c>
      <c r="L307">
        <v>0.14005331672281501</v>
      </c>
      <c r="M307">
        <v>-1.8330042014623901E-2</v>
      </c>
      <c r="N307">
        <v>8.0553007325608994E-2</v>
      </c>
    </row>
    <row r="308" spans="1:16" x14ac:dyDescent="0.3">
      <c r="A308" t="s">
        <v>46</v>
      </c>
      <c r="B308" t="s">
        <v>60</v>
      </c>
      <c r="C308" t="s">
        <v>53</v>
      </c>
      <c r="D308" t="s">
        <v>57</v>
      </c>
      <c r="E308" t="s">
        <v>49</v>
      </c>
      <c r="F308" t="s">
        <v>50</v>
      </c>
      <c r="G308" t="s">
        <v>51</v>
      </c>
      <c r="H308" t="s">
        <v>5</v>
      </c>
      <c r="I308">
        <v>0.86604612155609195</v>
      </c>
      <c r="J308">
        <v>0.120522793547056</v>
      </c>
      <c r="K308">
        <v>1.05584678028051</v>
      </c>
      <c r="L308">
        <v>0.128574184928896</v>
      </c>
      <c r="M308">
        <v>-0.21464360904415999</v>
      </c>
      <c r="N308">
        <v>0.17018814173090199</v>
      </c>
    </row>
    <row r="309" spans="1:16" x14ac:dyDescent="0.3">
      <c r="A309" t="s">
        <v>46</v>
      </c>
      <c r="B309" t="s">
        <v>60</v>
      </c>
      <c r="C309" t="s">
        <v>53</v>
      </c>
      <c r="D309" t="s">
        <v>57</v>
      </c>
      <c r="E309" t="s">
        <v>49</v>
      </c>
      <c r="F309" t="s">
        <v>50</v>
      </c>
      <c r="G309" t="s">
        <v>51</v>
      </c>
      <c r="H309" t="s">
        <v>3</v>
      </c>
      <c r="I309">
        <v>0.81139959059502498</v>
      </c>
      <c r="J309">
        <v>0.122654364008751</v>
      </c>
      <c r="K309">
        <v>0.98156224276527004</v>
      </c>
      <c r="L309">
        <v>0.13827243421263</v>
      </c>
      <c r="M309">
        <v>-5.964917975852E-2</v>
      </c>
      <c r="N309">
        <v>0.15353319354762299</v>
      </c>
    </row>
    <row r="310" spans="1:16" x14ac:dyDescent="0.3">
      <c r="A310" t="s">
        <v>46</v>
      </c>
      <c r="B310" t="s">
        <v>60</v>
      </c>
      <c r="C310" t="s">
        <v>53</v>
      </c>
      <c r="D310" t="s">
        <v>57</v>
      </c>
      <c r="E310" t="s">
        <v>49</v>
      </c>
      <c r="F310" t="s">
        <v>54</v>
      </c>
      <c r="G310" t="s">
        <v>51</v>
      </c>
      <c r="H310" t="s">
        <v>2</v>
      </c>
      <c r="I310">
        <v>0.86489489493990501</v>
      </c>
      <c r="J310">
        <v>0.104818538945397</v>
      </c>
      <c r="K310">
        <v>1.06080098871224</v>
      </c>
      <c r="L310">
        <v>9.8449476243970296E-2</v>
      </c>
      <c r="M310">
        <v>-0.17418935638119601</v>
      </c>
      <c r="N310">
        <v>0.21541713137514501</v>
      </c>
    </row>
    <row r="311" spans="1:16" x14ac:dyDescent="0.3">
      <c r="A311" t="s">
        <v>46</v>
      </c>
      <c r="B311" t="s">
        <v>60</v>
      </c>
      <c r="C311" t="s">
        <v>53</v>
      </c>
      <c r="D311" t="s">
        <v>57</v>
      </c>
      <c r="E311" t="s">
        <v>49</v>
      </c>
      <c r="F311" t="s">
        <v>54</v>
      </c>
      <c r="G311" t="s">
        <v>51</v>
      </c>
      <c r="H311" t="s">
        <v>4</v>
      </c>
      <c r="I311">
        <v>0.82184100062161403</v>
      </c>
      <c r="J311">
        <v>7.4232495641211302E-2</v>
      </c>
      <c r="K311">
        <v>0.97117666375185996</v>
      </c>
      <c r="L311">
        <v>4.7086378623240402E-2</v>
      </c>
      <c r="M311">
        <v>2.1769552831456301E-2</v>
      </c>
      <c r="N311">
        <v>9.2805560632318096E-2</v>
      </c>
    </row>
    <row r="312" spans="1:16" x14ac:dyDescent="0.3">
      <c r="A312" t="s">
        <v>46</v>
      </c>
      <c r="B312" t="s">
        <v>60</v>
      </c>
      <c r="C312" t="s">
        <v>53</v>
      </c>
      <c r="D312" t="s">
        <v>57</v>
      </c>
      <c r="E312" t="s">
        <v>49</v>
      </c>
      <c r="F312" t="s">
        <v>54</v>
      </c>
      <c r="G312" t="s">
        <v>51</v>
      </c>
      <c r="H312" t="s">
        <v>5</v>
      </c>
      <c r="I312">
        <v>0.87446929475524504</v>
      </c>
      <c r="J312">
        <v>9.9351171947850994E-2</v>
      </c>
      <c r="K312">
        <v>1.05730920209401</v>
      </c>
      <c r="L312">
        <v>8.4175610646516394E-2</v>
      </c>
      <c r="M312">
        <v>-0.163913133638841</v>
      </c>
      <c r="N312">
        <v>0.18633343700181601</v>
      </c>
    </row>
    <row r="313" spans="1:16" x14ac:dyDescent="0.3">
      <c r="A313" t="s">
        <v>46</v>
      </c>
      <c r="B313" t="s">
        <v>60</v>
      </c>
      <c r="C313" t="s">
        <v>53</v>
      </c>
      <c r="D313" t="s">
        <v>57</v>
      </c>
      <c r="E313" t="s">
        <v>49</v>
      </c>
      <c r="F313" t="s">
        <v>54</v>
      </c>
      <c r="G313" t="s">
        <v>51</v>
      </c>
      <c r="H313" t="s">
        <v>3</v>
      </c>
      <c r="I313">
        <v>0.82802419982125097</v>
      </c>
      <c r="J313">
        <v>9.1403915641461997E-2</v>
      </c>
      <c r="K313">
        <v>0.98820088395806605</v>
      </c>
      <c r="L313">
        <v>6.9387526877792705E-2</v>
      </c>
      <c r="M313">
        <v>-1.5272015998085E-2</v>
      </c>
      <c r="N313">
        <v>0.13968152033151701</v>
      </c>
    </row>
    <row r="314" spans="1:16" x14ac:dyDescent="0.3">
      <c r="A314" t="s">
        <v>46</v>
      </c>
      <c r="B314" t="s">
        <v>60</v>
      </c>
      <c r="C314" t="s">
        <v>53</v>
      </c>
      <c r="D314" t="s">
        <v>57</v>
      </c>
      <c r="E314" t="s">
        <v>59</v>
      </c>
      <c r="F314" t="s">
        <v>50</v>
      </c>
      <c r="G314" t="s">
        <v>51</v>
      </c>
      <c r="H314" t="s">
        <v>2</v>
      </c>
      <c r="I314">
        <v>1.78010534312919</v>
      </c>
      <c r="J314">
        <v>0.43221379121217002</v>
      </c>
      <c r="K314">
        <v>2.1145211457926698</v>
      </c>
      <c r="L314">
        <v>0.43354628410298701</v>
      </c>
      <c r="M314">
        <v>-3.5008253461361001</v>
      </c>
      <c r="N314">
        <v>4.5162084305811296</v>
      </c>
    </row>
    <row r="315" spans="1:16" x14ac:dyDescent="0.3">
      <c r="A315" t="s">
        <v>46</v>
      </c>
      <c r="B315" t="s">
        <v>60</v>
      </c>
      <c r="C315" t="s">
        <v>53</v>
      </c>
      <c r="D315" t="s">
        <v>57</v>
      </c>
      <c r="E315" t="s">
        <v>59</v>
      </c>
      <c r="F315" t="s">
        <v>50</v>
      </c>
      <c r="G315" t="s">
        <v>51</v>
      </c>
      <c r="H315" t="s">
        <v>4</v>
      </c>
      <c r="I315">
        <v>1.72790645697939</v>
      </c>
      <c r="J315">
        <v>0.46106159036566002</v>
      </c>
      <c r="K315">
        <v>1.9788734875899401</v>
      </c>
      <c r="L315">
        <v>0.448399059095971</v>
      </c>
      <c r="M315">
        <v>-2.88511107841583</v>
      </c>
      <c r="N315">
        <v>4.0344681381424401</v>
      </c>
    </row>
    <row r="316" spans="1:16" x14ac:dyDescent="0.3">
      <c r="A316" t="s">
        <v>46</v>
      </c>
      <c r="B316" t="s">
        <v>60</v>
      </c>
      <c r="C316" t="s">
        <v>53</v>
      </c>
      <c r="D316" t="s">
        <v>57</v>
      </c>
      <c r="E316" t="s">
        <v>59</v>
      </c>
      <c r="F316" t="s">
        <v>50</v>
      </c>
      <c r="G316" t="s">
        <v>51</v>
      </c>
      <c r="H316" t="s">
        <v>5</v>
      </c>
      <c r="I316">
        <v>1.8212991467901201</v>
      </c>
      <c r="J316">
        <v>0.42975109194510103</v>
      </c>
      <c r="K316">
        <v>2.1517102307289302</v>
      </c>
      <c r="L316">
        <v>0.41320597562509598</v>
      </c>
      <c r="M316">
        <v>-3.49704158276678</v>
      </c>
      <c r="N316">
        <v>4.3475480396670099</v>
      </c>
    </row>
    <row r="317" spans="1:16" x14ac:dyDescent="0.3">
      <c r="A317" t="s">
        <v>46</v>
      </c>
      <c r="B317" t="s">
        <v>60</v>
      </c>
      <c r="C317" t="s">
        <v>53</v>
      </c>
      <c r="D317" t="s">
        <v>57</v>
      </c>
      <c r="E317" t="s">
        <v>59</v>
      </c>
      <c r="F317" t="s">
        <v>50</v>
      </c>
      <c r="G317" t="s">
        <v>51</v>
      </c>
      <c r="H317" t="s">
        <v>3</v>
      </c>
      <c r="I317">
        <v>1.70767436633641</v>
      </c>
      <c r="J317">
        <v>0.41363925956113801</v>
      </c>
      <c r="K317">
        <v>1.9822011967106801</v>
      </c>
      <c r="L317">
        <v>0.425646924824582</v>
      </c>
      <c r="M317">
        <v>-2.9045824192251701</v>
      </c>
      <c r="N317">
        <v>3.9570237669155102</v>
      </c>
    </row>
    <row r="318" spans="1:16" x14ac:dyDescent="0.3">
      <c r="A318" t="s">
        <v>46</v>
      </c>
      <c r="B318" t="s">
        <v>60</v>
      </c>
      <c r="C318" t="s">
        <v>53</v>
      </c>
      <c r="D318" t="s">
        <v>57</v>
      </c>
      <c r="E318" t="s">
        <v>59</v>
      </c>
      <c r="F318" t="s">
        <v>54</v>
      </c>
      <c r="G318" t="s">
        <v>51</v>
      </c>
      <c r="H318" t="s">
        <v>2</v>
      </c>
      <c r="I318">
        <v>2.01235185404345</v>
      </c>
      <c r="J318">
        <v>0.613594701805801</v>
      </c>
      <c r="K318">
        <v>2.3638201892951098</v>
      </c>
      <c r="L318">
        <v>0.63883961040745496</v>
      </c>
      <c r="M318">
        <v>-1.39740866506413</v>
      </c>
      <c r="N318">
        <v>2.71115881736787</v>
      </c>
    </row>
    <row r="319" spans="1:16" x14ac:dyDescent="0.3">
      <c r="A319" t="s">
        <v>46</v>
      </c>
      <c r="B319" t="s">
        <v>60</v>
      </c>
      <c r="C319" t="s">
        <v>53</v>
      </c>
      <c r="D319" t="s">
        <v>57</v>
      </c>
      <c r="E319" t="s">
        <v>59</v>
      </c>
      <c r="F319" t="s">
        <v>54</v>
      </c>
      <c r="G319" t="s">
        <v>51</v>
      </c>
      <c r="H319" t="s">
        <v>4</v>
      </c>
      <c r="I319">
        <v>1.9242476302339599</v>
      </c>
      <c r="J319">
        <v>0.50983939274819201</v>
      </c>
      <c r="K319">
        <v>2.1805127148453001</v>
      </c>
      <c r="L319">
        <v>0.51989682271198601</v>
      </c>
      <c r="M319">
        <v>-1.08358463416304</v>
      </c>
      <c r="N319">
        <v>2.2084985303795999</v>
      </c>
    </row>
    <row r="320" spans="1:16" x14ac:dyDescent="0.3">
      <c r="A320" t="s">
        <v>46</v>
      </c>
      <c r="B320" t="s">
        <v>60</v>
      </c>
      <c r="C320" t="s">
        <v>53</v>
      </c>
      <c r="D320" t="s">
        <v>57</v>
      </c>
      <c r="E320" t="s">
        <v>59</v>
      </c>
      <c r="F320" t="s">
        <v>54</v>
      </c>
      <c r="G320" t="s">
        <v>51</v>
      </c>
      <c r="H320" t="s">
        <v>5</v>
      </c>
      <c r="I320">
        <v>2.0340424888562301</v>
      </c>
      <c r="J320">
        <v>0.48750512817222902</v>
      </c>
      <c r="K320">
        <v>2.3734460395681198</v>
      </c>
      <c r="L320">
        <v>0.48935592414976098</v>
      </c>
      <c r="M320">
        <v>-1.4192645852305901</v>
      </c>
      <c r="N320">
        <v>2.2523445002097402</v>
      </c>
    </row>
    <row r="321" spans="1:16" x14ac:dyDescent="0.3">
      <c r="A321" t="s">
        <v>46</v>
      </c>
      <c r="B321" t="s">
        <v>60</v>
      </c>
      <c r="C321" t="s">
        <v>53</v>
      </c>
      <c r="D321" t="s">
        <v>57</v>
      </c>
      <c r="E321" t="s">
        <v>59</v>
      </c>
      <c r="F321" t="s">
        <v>54</v>
      </c>
      <c r="G321" t="s">
        <v>51</v>
      </c>
      <c r="H321" t="s">
        <v>3</v>
      </c>
      <c r="I321">
        <v>1.9254792365028499</v>
      </c>
      <c r="J321">
        <v>0.50940175527581799</v>
      </c>
      <c r="K321">
        <v>2.2123747333094101</v>
      </c>
      <c r="L321">
        <v>0.51337264640589297</v>
      </c>
      <c r="M321">
        <v>-1.18107250911533</v>
      </c>
      <c r="N321">
        <v>2.3119309910395498</v>
      </c>
    </row>
    <row r="322" spans="1:16" x14ac:dyDescent="0.3">
      <c r="A322" t="s">
        <v>46</v>
      </c>
      <c r="B322" t="s">
        <v>60</v>
      </c>
      <c r="C322" t="s">
        <v>53</v>
      </c>
      <c r="D322" t="s">
        <v>56</v>
      </c>
      <c r="E322" t="s">
        <v>49</v>
      </c>
      <c r="F322" t="s">
        <v>50</v>
      </c>
      <c r="G322" t="s">
        <v>51</v>
      </c>
      <c r="H322" t="s">
        <v>2</v>
      </c>
      <c r="I322">
        <v>0.65624013579319895</v>
      </c>
      <c r="J322">
        <v>0.12654703690278199</v>
      </c>
      <c r="K322">
        <v>0.32807710650913202</v>
      </c>
      <c r="L322">
        <v>0.144675630620478</v>
      </c>
      <c r="M322">
        <v>0.32439913575929402</v>
      </c>
      <c r="N322">
        <v>0.189393910486123</v>
      </c>
      <c r="O322">
        <v>0.37026427575903098</v>
      </c>
      <c r="P322">
        <v>0.12742855154487701</v>
      </c>
    </row>
    <row r="323" spans="1:16" x14ac:dyDescent="0.3">
      <c r="A323" t="s">
        <v>46</v>
      </c>
      <c r="B323" t="s">
        <v>60</v>
      </c>
      <c r="C323" t="s">
        <v>53</v>
      </c>
      <c r="D323" t="s">
        <v>56</v>
      </c>
      <c r="E323" t="s">
        <v>49</v>
      </c>
      <c r="F323" t="s">
        <v>50</v>
      </c>
      <c r="G323" t="s">
        <v>51</v>
      </c>
      <c r="H323" t="s">
        <v>3</v>
      </c>
      <c r="I323">
        <v>0.67561633792643905</v>
      </c>
      <c r="J323">
        <v>0.12693021963852399</v>
      </c>
      <c r="K323">
        <v>0.31400640167968003</v>
      </c>
      <c r="L323">
        <v>0.13237771505265999</v>
      </c>
      <c r="M323">
        <v>0.28779061196081801</v>
      </c>
      <c r="N323">
        <v>0.15161387345956301</v>
      </c>
      <c r="O323">
        <v>0.37137079556710201</v>
      </c>
      <c r="P323">
        <v>0.11741465850654401</v>
      </c>
    </row>
    <row r="324" spans="1:16" x14ac:dyDescent="0.3">
      <c r="A324" t="s">
        <v>46</v>
      </c>
      <c r="B324" t="s">
        <v>60</v>
      </c>
      <c r="C324" t="s">
        <v>53</v>
      </c>
      <c r="D324" t="s">
        <v>56</v>
      </c>
      <c r="E324" t="s">
        <v>49</v>
      </c>
      <c r="F324" t="s">
        <v>50</v>
      </c>
      <c r="G324" t="s">
        <v>51</v>
      </c>
      <c r="H324" t="s">
        <v>4</v>
      </c>
      <c r="I324">
        <v>0.67035877998690196</v>
      </c>
      <c r="J324">
        <v>0.128001526603847</v>
      </c>
      <c r="K324">
        <v>0.31235625456153598</v>
      </c>
      <c r="L324">
        <v>0.13048310111393299</v>
      </c>
      <c r="M324">
        <v>0.27863966850169902</v>
      </c>
      <c r="N324">
        <v>0.14382996651122901</v>
      </c>
      <c r="O324">
        <v>0.37083197715037602</v>
      </c>
      <c r="P324">
        <v>0.116881864289334</v>
      </c>
    </row>
    <row r="325" spans="1:16" x14ac:dyDescent="0.3">
      <c r="A325" t="s">
        <v>46</v>
      </c>
      <c r="B325" t="s">
        <v>60</v>
      </c>
      <c r="C325" t="s">
        <v>53</v>
      </c>
      <c r="D325" t="s">
        <v>56</v>
      </c>
      <c r="E325" t="s">
        <v>49</v>
      </c>
      <c r="F325" t="s">
        <v>50</v>
      </c>
      <c r="G325" t="s">
        <v>51</v>
      </c>
      <c r="H325" t="s">
        <v>5</v>
      </c>
      <c r="I325">
        <v>0.61859517980999001</v>
      </c>
      <c r="J325">
        <v>0.12634195549334701</v>
      </c>
      <c r="K325">
        <v>0.30386658437200698</v>
      </c>
      <c r="L325">
        <v>0.13416181573647501</v>
      </c>
      <c r="M325">
        <v>0.29650354832023001</v>
      </c>
      <c r="N325">
        <v>0.15688773154142599</v>
      </c>
      <c r="O325">
        <v>0.33895619335655802</v>
      </c>
      <c r="P325">
        <v>0.123788267047328</v>
      </c>
    </row>
    <row r="326" spans="1:16" x14ac:dyDescent="0.3">
      <c r="A326" t="s">
        <v>46</v>
      </c>
      <c r="B326" t="s">
        <v>60</v>
      </c>
      <c r="C326" t="s">
        <v>53</v>
      </c>
      <c r="D326" t="s">
        <v>56</v>
      </c>
      <c r="E326" t="s">
        <v>49</v>
      </c>
      <c r="F326" t="s">
        <v>54</v>
      </c>
      <c r="G326" t="s">
        <v>51</v>
      </c>
      <c r="H326" t="s">
        <v>4</v>
      </c>
      <c r="I326">
        <v>0.59298420438384902</v>
      </c>
      <c r="J326">
        <v>0.12546346814864701</v>
      </c>
      <c r="K326">
        <v>0.30429394654092601</v>
      </c>
      <c r="L326">
        <v>7.0759647640922504E-2</v>
      </c>
      <c r="M326">
        <v>0.325942161415683</v>
      </c>
      <c r="N326">
        <v>0.112941731215687</v>
      </c>
      <c r="O326">
        <v>0.35218386871735402</v>
      </c>
      <c r="P326">
        <v>7.2608333945989895E-2</v>
      </c>
    </row>
    <row r="327" spans="1:16" x14ac:dyDescent="0.3">
      <c r="A327" t="s">
        <v>46</v>
      </c>
      <c r="B327" t="s">
        <v>60</v>
      </c>
      <c r="C327" t="s">
        <v>53</v>
      </c>
      <c r="D327" t="s">
        <v>56</v>
      </c>
      <c r="E327" t="s">
        <v>49</v>
      </c>
      <c r="F327" t="s">
        <v>54</v>
      </c>
      <c r="G327" t="s">
        <v>51</v>
      </c>
      <c r="H327" t="s">
        <v>5</v>
      </c>
      <c r="I327">
        <v>0.55250969385799198</v>
      </c>
      <c r="J327">
        <v>0.11874517444798301</v>
      </c>
      <c r="K327">
        <v>0.30405823609423499</v>
      </c>
      <c r="L327">
        <v>6.3883082142740993E-2</v>
      </c>
      <c r="M327">
        <v>0.32983004040720498</v>
      </c>
      <c r="N327">
        <v>0.108335574945363</v>
      </c>
      <c r="O327">
        <v>0.33220294345624202</v>
      </c>
      <c r="P327">
        <v>6.2787773865477806E-2</v>
      </c>
    </row>
    <row r="328" spans="1:16" x14ac:dyDescent="0.3">
      <c r="A328" t="s">
        <v>46</v>
      </c>
      <c r="B328" t="s">
        <v>60</v>
      </c>
      <c r="C328" t="s">
        <v>53</v>
      </c>
      <c r="D328" t="s">
        <v>56</v>
      </c>
      <c r="E328" t="s">
        <v>49</v>
      </c>
      <c r="F328" t="s">
        <v>54</v>
      </c>
      <c r="G328" t="s">
        <v>51</v>
      </c>
      <c r="H328" t="s">
        <v>2</v>
      </c>
      <c r="I328">
        <v>0.58739306212251896</v>
      </c>
      <c r="J328">
        <v>0.13165600512942599</v>
      </c>
      <c r="K328">
        <v>0.29570593833588898</v>
      </c>
      <c r="L328">
        <v>6.3454234753100094E-2</v>
      </c>
      <c r="M328">
        <v>0.32145477614928197</v>
      </c>
      <c r="N328">
        <v>0.11485577389587</v>
      </c>
      <c r="O328">
        <v>0.337934708468839</v>
      </c>
      <c r="P328">
        <v>5.56473687504387E-2</v>
      </c>
    </row>
    <row r="329" spans="1:16" x14ac:dyDescent="0.3">
      <c r="A329" t="s">
        <v>46</v>
      </c>
      <c r="B329" t="s">
        <v>60</v>
      </c>
      <c r="C329" t="s">
        <v>53</v>
      </c>
      <c r="D329" t="s">
        <v>56</v>
      </c>
      <c r="E329" t="s">
        <v>49</v>
      </c>
      <c r="F329" t="s">
        <v>54</v>
      </c>
      <c r="G329" t="s">
        <v>51</v>
      </c>
      <c r="H329" t="s">
        <v>3</v>
      </c>
      <c r="I329">
        <v>0.60501089743240999</v>
      </c>
      <c r="J329">
        <v>0.147227759495063</v>
      </c>
      <c r="K329">
        <v>0.29522389256558201</v>
      </c>
      <c r="L329">
        <v>8.0726301157687905E-2</v>
      </c>
      <c r="M329">
        <v>0.30772729824061201</v>
      </c>
      <c r="N329">
        <v>0.144027578027869</v>
      </c>
      <c r="O329">
        <v>0.35435542735756798</v>
      </c>
      <c r="P329">
        <v>7.1674593153577507E-2</v>
      </c>
    </row>
    <row r="330" spans="1:16" x14ac:dyDescent="0.3">
      <c r="A330" t="s">
        <v>46</v>
      </c>
      <c r="B330" t="s">
        <v>60</v>
      </c>
      <c r="C330" t="s">
        <v>53</v>
      </c>
      <c r="D330" t="s">
        <v>56</v>
      </c>
      <c r="E330" t="s">
        <v>59</v>
      </c>
      <c r="F330" t="s">
        <v>50</v>
      </c>
      <c r="G330" t="s">
        <v>51</v>
      </c>
      <c r="H330" t="s">
        <v>3</v>
      </c>
      <c r="I330">
        <v>0.413069609728836</v>
      </c>
      <c r="J330">
        <v>0.179674206049275</v>
      </c>
      <c r="K330">
        <v>0.27324516440831398</v>
      </c>
      <c r="L330">
        <v>0.134600235799923</v>
      </c>
      <c r="M330">
        <v>0.331690273128941</v>
      </c>
      <c r="N330">
        <v>0.15966539773220201</v>
      </c>
      <c r="O330">
        <v>0.30006303426095998</v>
      </c>
      <c r="P330">
        <v>0.13077167659647099</v>
      </c>
    </row>
    <row r="331" spans="1:16" x14ac:dyDescent="0.3">
      <c r="A331" t="s">
        <v>46</v>
      </c>
      <c r="B331" t="s">
        <v>60</v>
      </c>
      <c r="C331" t="s">
        <v>53</v>
      </c>
      <c r="D331" t="s">
        <v>56</v>
      </c>
      <c r="E331" t="s">
        <v>59</v>
      </c>
      <c r="F331" t="s">
        <v>50</v>
      </c>
      <c r="G331" t="s">
        <v>51</v>
      </c>
      <c r="H331" t="s">
        <v>4</v>
      </c>
      <c r="I331">
        <v>0.410676486016683</v>
      </c>
      <c r="J331">
        <v>0.154338693052892</v>
      </c>
      <c r="K331">
        <v>0.27179072090084999</v>
      </c>
      <c r="L331">
        <v>0.11468547437752399</v>
      </c>
      <c r="M331">
        <v>0.33795895853279301</v>
      </c>
      <c r="N331">
        <v>0.16249847013413601</v>
      </c>
      <c r="O331">
        <v>0.30499463588373799</v>
      </c>
      <c r="P331">
        <v>0.12792488640421201</v>
      </c>
    </row>
    <row r="332" spans="1:16" x14ac:dyDescent="0.3">
      <c r="A332" t="s">
        <v>46</v>
      </c>
      <c r="B332" t="s">
        <v>60</v>
      </c>
      <c r="C332" t="s">
        <v>53</v>
      </c>
      <c r="D332" t="s">
        <v>56</v>
      </c>
      <c r="E332" t="s">
        <v>59</v>
      </c>
      <c r="F332" t="s">
        <v>50</v>
      </c>
      <c r="G332" t="s">
        <v>51</v>
      </c>
      <c r="H332" t="s">
        <v>5</v>
      </c>
      <c r="I332">
        <v>0.37981909001870801</v>
      </c>
      <c r="J332">
        <v>0.15623140194978999</v>
      </c>
      <c r="K332">
        <v>0.263958956908599</v>
      </c>
      <c r="L332">
        <v>0.12476852548018801</v>
      </c>
      <c r="M332">
        <v>0.32102062450899599</v>
      </c>
      <c r="N332">
        <v>0.13502860831147401</v>
      </c>
      <c r="O332">
        <v>0.27035447272865298</v>
      </c>
      <c r="P332">
        <v>0.14121703342082001</v>
      </c>
    </row>
    <row r="333" spans="1:16" x14ac:dyDescent="0.3">
      <c r="A333" t="s">
        <v>46</v>
      </c>
      <c r="B333" t="s">
        <v>60</v>
      </c>
      <c r="C333" t="s">
        <v>53</v>
      </c>
      <c r="D333" t="s">
        <v>56</v>
      </c>
      <c r="E333" t="s">
        <v>59</v>
      </c>
      <c r="F333" t="s">
        <v>50</v>
      </c>
      <c r="G333" t="s">
        <v>51</v>
      </c>
      <c r="H333" t="s">
        <v>2</v>
      </c>
      <c r="I333">
        <v>0.36874663574119898</v>
      </c>
      <c r="J333">
        <v>0.1479740422052</v>
      </c>
      <c r="K333">
        <v>0.258371305498246</v>
      </c>
      <c r="L333">
        <v>0.111904921969896</v>
      </c>
      <c r="M333">
        <v>0.32502670101849301</v>
      </c>
      <c r="N333">
        <v>0.13399677329912099</v>
      </c>
      <c r="O333">
        <v>0.27881341243309299</v>
      </c>
      <c r="P333">
        <v>0.12759688139339101</v>
      </c>
    </row>
    <row r="334" spans="1:16" x14ac:dyDescent="0.3">
      <c r="A334" t="s">
        <v>46</v>
      </c>
      <c r="B334" t="s">
        <v>60</v>
      </c>
      <c r="C334" t="s">
        <v>53</v>
      </c>
      <c r="D334" t="s">
        <v>56</v>
      </c>
      <c r="E334" t="s">
        <v>59</v>
      </c>
      <c r="F334" t="s">
        <v>54</v>
      </c>
      <c r="G334" t="s">
        <v>51</v>
      </c>
      <c r="H334" t="s">
        <v>3</v>
      </c>
      <c r="I334">
        <v>0.50341463878093795</v>
      </c>
      <c r="J334">
        <v>0.17914790015497201</v>
      </c>
      <c r="K334">
        <v>0.31103599561142298</v>
      </c>
      <c r="L334">
        <v>0.10869389864739901</v>
      </c>
      <c r="M334">
        <v>0.34666853443522899</v>
      </c>
      <c r="N334">
        <v>0.12447202907739199</v>
      </c>
      <c r="O334">
        <v>0.36468534375126599</v>
      </c>
      <c r="P334">
        <v>0.13398236893676099</v>
      </c>
    </row>
    <row r="335" spans="1:16" x14ac:dyDescent="0.3">
      <c r="A335" t="s">
        <v>46</v>
      </c>
      <c r="B335" t="s">
        <v>60</v>
      </c>
      <c r="C335" t="s">
        <v>53</v>
      </c>
      <c r="D335" t="s">
        <v>56</v>
      </c>
      <c r="E335" t="s">
        <v>59</v>
      </c>
      <c r="F335" t="s">
        <v>54</v>
      </c>
      <c r="G335" t="s">
        <v>51</v>
      </c>
      <c r="H335" t="s">
        <v>5</v>
      </c>
      <c r="I335">
        <v>0.46516403851157501</v>
      </c>
      <c r="J335">
        <v>0.16572887120929</v>
      </c>
      <c r="K335">
        <v>0.31102311125305598</v>
      </c>
      <c r="L335">
        <v>0.10474158101719</v>
      </c>
      <c r="M335">
        <v>0.33478599206200299</v>
      </c>
      <c r="N335">
        <v>0.112359525456807</v>
      </c>
      <c r="O335">
        <v>0.33649726272731101</v>
      </c>
      <c r="P335">
        <v>0.110205799007278</v>
      </c>
    </row>
    <row r="336" spans="1:16" x14ac:dyDescent="0.3">
      <c r="A336" t="s">
        <v>46</v>
      </c>
      <c r="B336" t="s">
        <v>60</v>
      </c>
      <c r="C336" t="s">
        <v>53</v>
      </c>
      <c r="D336" t="s">
        <v>56</v>
      </c>
      <c r="E336" t="s">
        <v>59</v>
      </c>
      <c r="F336" t="s">
        <v>54</v>
      </c>
      <c r="G336" t="s">
        <v>51</v>
      </c>
      <c r="H336" t="s">
        <v>4</v>
      </c>
      <c r="I336">
        <v>0.48754707671587899</v>
      </c>
      <c r="J336">
        <v>0.19661433420673599</v>
      </c>
      <c r="K336">
        <v>0.30702462441938799</v>
      </c>
      <c r="L336">
        <v>0.116388910134906</v>
      </c>
      <c r="M336">
        <v>0.34393692728861103</v>
      </c>
      <c r="N336">
        <v>0.127215765318619</v>
      </c>
      <c r="O336">
        <v>0.34737291134805998</v>
      </c>
      <c r="P336">
        <v>0.118476124019502</v>
      </c>
    </row>
    <row r="337" spans="1:16" x14ac:dyDescent="0.3">
      <c r="A337" t="s">
        <v>46</v>
      </c>
      <c r="B337" t="s">
        <v>60</v>
      </c>
      <c r="C337" t="s">
        <v>53</v>
      </c>
      <c r="D337" t="s">
        <v>56</v>
      </c>
      <c r="E337" t="s">
        <v>59</v>
      </c>
      <c r="F337" t="s">
        <v>54</v>
      </c>
      <c r="G337" t="s">
        <v>51</v>
      </c>
      <c r="H337" t="s">
        <v>2</v>
      </c>
      <c r="I337">
        <v>0.44956960667606799</v>
      </c>
      <c r="J337">
        <v>0.175349782848507</v>
      </c>
      <c r="K337">
        <v>0.28891901775402501</v>
      </c>
      <c r="L337">
        <v>0.103821224024905</v>
      </c>
      <c r="M337">
        <v>0.334210431229222</v>
      </c>
      <c r="N337">
        <v>0.14202721264910001</v>
      </c>
      <c r="O337">
        <v>0.31821593532787101</v>
      </c>
      <c r="P337">
        <v>0.12596107260780401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43688-E9FF-412A-AC91-3B1EB1DAB781}">
  <sheetPr codeName="Sheet3">
    <tabColor theme="6" tint="0.79998168889431442"/>
  </sheetPr>
  <dimension ref="B2:AM30"/>
  <sheetViews>
    <sheetView topLeftCell="A6" workbookViewId="0">
      <selection activeCell="I10" sqref="I10"/>
    </sheetView>
  </sheetViews>
  <sheetFormatPr defaultRowHeight="14.4" x14ac:dyDescent="0.3"/>
  <cols>
    <col min="2" max="2" width="8.88671875" style="6"/>
    <col min="3" max="3" width="12.44140625" bestFit="1" customWidth="1"/>
    <col min="4" max="4" width="17" bestFit="1" customWidth="1"/>
    <col min="5" max="5" width="18.77734375" customWidth="1"/>
    <col min="6" max="7" width="13.5546875" hidden="1" customWidth="1"/>
    <col min="8" max="8" width="16.44140625" hidden="1" customWidth="1"/>
    <col min="9" max="9" width="18.77734375" customWidth="1"/>
    <col min="10" max="12" width="14.6640625" hidden="1" customWidth="1"/>
    <col min="13" max="13" width="18.77734375" customWidth="1"/>
    <col min="14" max="16" width="14" hidden="1" customWidth="1"/>
    <col min="17" max="17" width="18.77734375" customWidth="1"/>
    <col min="18" max="20" width="12" hidden="1" customWidth="1"/>
    <col min="22" max="22" width="0" hidden="1" customWidth="1"/>
    <col min="23" max="25" width="10" hidden="1" customWidth="1"/>
    <col min="26" max="39" width="0" hidden="1" customWidth="1"/>
  </cols>
  <sheetData>
    <row r="2" spans="2:39" ht="22.05" customHeight="1" x14ac:dyDescent="0.3">
      <c r="B2" s="6" t="str">
        <f>VLOOKUP(D2,FilterMode,3,0)</f>
        <v>noBaselineNeutral</v>
      </c>
      <c r="C2" s="1" t="s">
        <v>14</v>
      </c>
      <c r="D2" s="1">
        <v>1</v>
      </c>
      <c r="V2">
        <v>1</v>
      </c>
      <c r="W2" t="s">
        <v>12</v>
      </c>
      <c r="X2" t="s">
        <v>53</v>
      </c>
      <c r="Y2">
        <v>1</v>
      </c>
      <c r="Z2" t="s">
        <v>24</v>
      </c>
      <c r="AA2" t="s">
        <v>50</v>
      </c>
      <c r="AB2">
        <v>1</v>
      </c>
      <c r="AC2" t="s">
        <v>18</v>
      </c>
      <c r="AD2" t="s">
        <v>51</v>
      </c>
      <c r="AE2">
        <v>1</v>
      </c>
      <c r="AF2" s="8" t="s">
        <v>20</v>
      </c>
      <c r="AG2" s="8" t="s">
        <v>48</v>
      </c>
      <c r="AH2" s="8">
        <v>1</v>
      </c>
      <c r="AI2" t="s">
        <v>30</v>
      </c>
      <c r="AJ2" s="8" t="s">
        <v>58</v>
      </c>
      <c r="AK2">
        <v>1</v>
      </c>
      <c r="AL2" t="s">
        <v>18</v>
      </c>
      <c r="AM2" t="s">
        <v>49</v>
      </c>
    </row>
    <row r="3" spans="2:39" ht="22.05" customHeight="1" x14ac:dyDescent="0.3">
      <c r="B3" s="6" t="str">
        <f>VLOOKUP(D3,FastMode,3,0)</f>
        <v>fast</v>
      </c>
      <c r="C3" s="1" t="s">
        <v>15</v>
      </c>
      <c r="D3" s="1">
        <v>1</v>
      </c>
      <c r="V3">
        <v>2</v>
      </c>
      <c r="W3" t="s">
        <v>13</v>
      </c>
      <c r="X3" t="s">
        <v>47</v>
      </c>
      <c r="Y3">
        <v>2</v>
      </c>
      <c r="Z3" t="s">
        <v>17</v>
      </c>
      <c r="AA3" t="s">
        <v>54</v>
      </c>
      <c r="AB3">
        <v>2</v>
      </c>
      <c r="AC3" t="s">
        <v>19</v>
      </c>
      <c r="AD3" t="s">
        <v>55</v>
      </c>
      <c r="AE3">
        <v>2</v>
      </c>
      <c r="AF3" s="8" t="s">
        <v>21</v>
      </c>
      <c r="AG3" s="8" t="s">
        <v>56</v>
      </c>
      <c r="AH3" s="8">
        <v>2</v>
      </c>
      <c r="AI3" t="s">
        <v>31</v>
      </c>
      <c r="AJ3" s="8" t="s">
        <v>46</v>
      </c>
      <c r="AK3">
        <v>2</v>
      </c>
      <c r="AL3" t="s">
        <v>19</v>
      </c>
      <c r="AM3" t="s">
        <v>59</v>
      </c>
    </row>
    <row r="4" spans="2:39" ht="22.05" customHeight="1" x14ac:dyDescent="0.3">
      <c r="B4" s="6" t="str">
        <f>VLOOKUP(D4,ClassMode,3,0)</f>
        <v>ternary</v>
      </c>
      <c r="C4" s="1" t="s">
        <v>16</v>
      </c>
      <c r="D4" s="1">
        <v>2</v>
      </c>
      <c r="AE4">
        <v>3</v>
      </c>
      <c r="AF4" s="8" t="s">
        <v>22</v>
      </c>
      <c r="AG4" s="8" t="s">
        <v>57</v>
      </c>
      <c r="AH4" s="8"/>
    </row>
    <row r="5" spans="2:39" ht="22.05" customHeight="1" x14ac:dyDescent="0.3">
      <c r="B5" s="6" t="str">
        <f>VLOOKUP(D5,RunMode,3,0)</f>
        <v>aggregated</v>
      </c>
      <c r="C5" s="1" t="s">
        <v>23</v>
      </c>
      <c r="D5" s="1">
        <v>2</v>
      </c>
    </row>
    <row r="6" spans="2:39" ht="22.05" customHeight="1" x14ac:dyDescent="0.3">
      <c r="B6" s="6" t="str">
        <f>VLOOKUP(D6,LabelMode,3,0)</f>
        <v>arousal</v>
      </c>
      <c r="C6" s="1" t="s">
        <v>29</v>
      </c>
      <c r="D6">
        <v>2</v>
      </c>
    </row>
    <row r="7" spans="2:39" ht="22.05" customHeight="1" x14ac:dyDescent="0.3">
      <c r="B7" s="6" t="str">
        <f>VLOOKUP(D7,NormalMode,3,0)</f>
        <v>normalized</v>
      </c>
      <c r="C7" s="1" t="s">
        <v>34</v>
      </c>
      <c r="D7">
        <v>1</v>
      </c>
    </row>
    <row r="8" spans="2:39" ht="15" thickBot="1" x14ac:dyDescent="0.35"/>
    <row r="9" spans="2:39" ht="67.2" customHeight="1" thickBot="1" x14ac:dyDescent="0.35">
      <c r="C9" s="10"/>
      <c r="D9" s="31" t="s">
        <v>25</v>
      </c>
      <c r="E9" s="32" t="s">
        <v>2</v>
      </c>
      <c r="F9" s="32" t="str">
        <f>_xlfn.CONCAT(E9,"_Main")</f>
        <v>SVM_Main</v>
      </c>
      <c r="G9" s="32" t="str">
        <f>_xlfn.CONCAT(E9,"_Std")</f>
        <v>SVM_Std</v>
      </c>
      <c r="H9" s="32" t="str">
        <f>_xlfn.CONCAT(E9,"_IsMax")</f>
        <v>SVM_IsMax</v>
      </c>
      <c r="I9" s="32" t="s">
        <v>4</v>
      </c>
      <c r="J9" s="32" t="str">
        <f>_xlfn.CONCAT(I9,"_Main")</f>
        <v>Random Forest_Main</v>
      </c>
      <c r="K9" s="32" t="str">
        <f>_xlfn.CONCAT(I9,"_Std")</f>
        <v>Random Forest_Std</v>
      </c>
      <c r="L9" s="32" t="str">
        <f>_xlfn.CONCAT(I9,"_IsMax")</f>
        <v>Random Forest_IsMax</v>
      </c>
      <c r="M9" s="32" t="s">
        <v>3</v>
      </c>
      <c r="N9" s="32" t="str">
        <f>_xlfn.CONCAT(M9,"_Main")</f>
        <v>XGBoost_Main</v>
      </c>
      <c r="O9" s="32" t="str">
        <f>_xlfn.CONCAT(M9,"_Std")</f>
        <v>XGBoost_Std</v>
      </c>
      <c r="P9" s="32" t="str">
        <f>_xlfn.CONCAT(M9,"_IsMax")</f>
        <v>XGBoost_IsMax</v>
      </c>
      <c r="Q9" s="33" t="s">
        <v>5</v>
      </c>
      <c r="R9" s="13" t="str">
        <f>_xlfn.CONCAT(Q9,"_Main")</f>
        <v>KNN_Main</v>
      </c>
      <c r="S9" s="9" t="str">
        <f>_xlfn.CONCAT(Q9,"_Std")</f>
        <v>KNN_Std</v>
      </c>
      <c r="T9" s="9" t="str">
        <f>_xlfn.CONCAT(Q9,"_IsMax")</f>
        <v>KNN_IsMax</v>
      </c>
    </row>
    <row r="10" spans="2:39" ht="19.95" customHeight="1" x14ac:dyDescent="0.3">
      <c r="B10" s="6" t="s">
        <v>52</v>
      </c>
      <c r="C10" s="40" t="s">
        <v>10</v>
      </c>
      <c r="D10" s="28" t="s">
        <v>6</v>
      </c>
      <c r="E10" s="14" t="str">
        <f>TEXT(ROUND(F10*100,4),"0.0000") &amp; " ± " &amp; TEXT(ROUND(G10*100,2),"0.00")</f>
        <v>61.1296 ± 15.77</v>
      </c>
      <c r="F10" s="14">
        <f>SUMIFS(Data!$I:$I,Data!$H:$H,E$9,Data!$A:$A,$B$6,Data!$B:$B,$B$10,Data!$C:$C,$B$5,Data!$D:$D,$B$4,Data!$E:$E,$B$7,Data!$F:$F,$B$2,Data!$G:$G,$B$3)</f>
        <v>0.61129568106312204</v>
      </c>
      <c r="G10" s="14">
        <f>SUMIFS(Data!$J:$J,Data!$H:$H,E$9,Data!$A:$A,$B$6,Data!$B:$B,$B$10,Data!$C:$C,$B$5,Data!$D:$D,$B$4,Data!$E:$E,$B$7,Data!$F:$F,$B$2,Data!$G:$G,$B$3)</f>
        <v>0.157655329859409</v>
      </c>
      <c r="H10" s="14" t="b">
        <f>MAX($F10,$J10,$N10,$R10)=F10</f>
        <v>0</v>
      </c>
      <c r="I10" s="14" t="str">
        <f>TEXT(ROUND(J10*100,4),"0.0000") &amp; " ± " &amp; TEXT(ROUND(K10*100,2),"0.00")</f>
        <v>67.2342 ± 13.98</v>
      </c>
      <c r="J10" s="14">
        <f>SUMIFS(Data!$I:$I,Data!$H:$H,I$9,Data!$A:$A,$B$6,Data!$B:$B,$B$10,Data!$C:$C,$B$5,Data!$D:$D,$B$4,Data!$E:$E,$B$7,Data!$F:$F,$B$2,Data!$G:$G,$B$3)</f>
        <v>0.67234219269102902</v>
      </c>
      <c r="K10" s="14">
        <f>SUMIFS(Data!$J:$J,Data!$H:$H,I$9,Data!$A:$A,$B$6,Data!$B:$B,$B$10,Data!$C:$C,$B$5,Data!$D:$D,$B$4,Data!$E:$E,$B$7,Data!$F:$F,$B$2,Data!$G:$G,$B$3)</f>
        <v>0.13975471135027501</v>
      </c>
      <c r="L10" s="14" t="b">
        <f>MAX($F10,$J10,$N10,$R10)=J10</f>
        <v>1</v>
      </c>
      <c r="M10" s="14" t="str">
        <f>TEXT(ROUND(N10*100,4),"0.0000") &amp; " ± " &amp; TEXT(ROUND(O10*100,2),"0.00")</f>
        <v>63.3998 ± 14.62</v>
      </c>
      <c r="N10" s="14">
        <f>SUMIFS(Data!$I:$I,Data!$H:$H,M$9,Data!$A:$A,$B$6,Data!$B:$B,$B$10,Data!$C:$C,$B$5,Data!$D:$D,$B$4,Data!$E:$E,$B$7,Data!$F:$F,$B$2,Data!$G:$G,$B$3)</f>
        <v>0.63399778516057503</v>
      </c>
      <c r="O10" s="14">
        <f>SUMIFS(Data!$J:$J,Data!$H:$H,M$9,Data!$A:$A,$B$6,Data!$B:$B,$B$10,Data!$C:$C,$B$5,Data!$D:$D,$B$4,Data!$E:$E,$B$7,Data!$F:$F,$B$2,Data!$G:$G,$B$3)</f>
        <v>0.14623955837111199</v>
      </c>
      <c r="P10" s="14" t="b">
        <f>MAX($F10,$J10,$N10,$R10)=N10</f>
        <v>0</v>
      </c>
      <c r="Q10" s="15" t="str">
        <f>TEXT(ROUND(R10*100,4),"0.0000") &amp; " ± " &amp; TEXT(ROUND(S10*100,2),"0.00")</f>
        <v>60.8389 ± 17.17</v>
      </c>
      <c r="R10" s="11">
        <f>SUMIFS(Data!$I:$I,Data!$H:$H,Q$9,Data!$A:$A,$B$6,Data!$B:$B,$B$10,Data!$C:$C,$B$5,Data!$D:$D,$B$4,Data!$E:$E,$B$7,Data!$F:$F,$B$2,Data!$G:$G,$B$3)</f>
        <v>0.60838870431893699</v>
      </c>
      <c r="S10" s="2">
        <f>SUMIFS(Data!$J:$J,Data!$H:$H,Q$9,Data!$A:$A,$B$6,Data!$B:$B,$B$10,Data!$C:$C,$B$5,Data!$D:$D,$B$4,Data!$E:$E,$B$7,Data!$F:$F,$B$2,Data!$G:$G,$B$3)</f>
        <v>0.17172918638280801</v>
      </c>
      <c r="T10" s="2" t="b">
        <f>MAX($F10,$J10,$N10,$R10)=R10</f>
        <v>0</v>
      </c>
    </row>
    <row r="11" spans="2:39" ht="19.95" customHeight="1" x14ac:dyDescent="0.3">
      <c r="C11" s="41"/>
      <c r="D11" s="11" t="s">
        <v>7</v>
      </c>
      <c r="E11" s="2" t="str">
        <f t="shared" ref="E11:E13" si="0">TEXT(ROUND(F11*100,4),"0.0000") &amp; " ± " &amp; TEXT(ROUND(G11*100,2),"0.00")</f>
        <v>30.3764 ± 14.33</v>
      </c>
      <c r="F11" s="2">
        <f>SUMIFS(Data!$K:$K,Data!$H:$H,E$9,Data!$A:$A,$B$6,Data!$B:$B,$B$10,Data!$C:$C,$B$5,Data!$D:$D,$B$4,Data!$E:$E,$B$7,Data!$F:$F,$B$2,Data!$G:$G,$B$3)</f>
        <v>0.30376445260166102</v>
      </c>
      <c r="G11" s="2">
        <f>SUMIFS(Data!$L:$L,Data!$H:$H,E$9,Data!$A:$A,$B$6,Data!$B:$B,$B$10,Data!$C:$C,$B$5,Data!$D:$D,$B$4,Data!$E:$E,$B$7,Data!$F:$F,$B$2,Data!$G:$G,$B$3)</f>
        <v>0.14329298342355701</v>
      </c>
      <c r="H11" s="2" t="b">
        <f t="shared" ref="H11:H16" si="1">MAX($F11,$J11,$N11,$R11)=F11</f>
        <v>0</v>
      </c>
      <c r="I11" s="2" t="str">
        <f t="shared" ref="I11:I13" si="2">TEXT(ROUND(J11*100,4),"0.0000") &amp; " ± " &amp; TEXT(ROUND(K11*100,2),"0.00")</f>
        <v>33.3854 ± 14.37</v>
      </c>
      <c r="J11" s="2">
        <f>SUMIFS(Data!$K:$K,Data!$H:$H,I$9,Data!$A:$A,$B$6,Data!$B:$B,$B$10,Data!$C:$C,$B$5,Data!$D:$D,$B$4,Data!$E:$E,$B$7,Data!$F:$F,$B$2,Data!$G:$G,$B$3)</f>
        <v>0.333854259435654</v>
      </c>
      <c r="K11" s="2">
        <f>SUMIFS(Data!$L:$L,Data!$H:$H,I$9,Data!$A:$A,$B$6,Data!$B:$B,$B$10,Data!$C:$C,$B$5,Data!$D:$D,$B$4,Data!$E:$E,$B$7,Data!$F:$F,$B$2,Data!$G:$G,$B$3)</f>
        <v>0.143683244230667</v>
      </c>
      <c r="L11" s="2" t="b">
        <f t="shared" ref="L11:L16" si="3">MAX($F11,$J11,$N11,$R11)=J11</f>
        <v>0</v>
      </c>
      <c r="M11" s="2" t="str">
        <f t="shared" ref="M11:M13" si="4">TEXT(ROUND(N11*100,4),"0.0000") &amp; " ± " &amp; TEXT(ROUND(O11*100,2),"0.00")</f>
        <v>32.2055 ± 14.44</v>
      </c>
      <c r="N11" s="2">
        <f>SUMIFS(Data!$K:$K,Data!$H:$H,M$9,Data!$A:$A,$B$6,Data!$B:$B,$B$10,Data!$C:$C,$B$5,Data!$D:$D,$B$4,Data!$E:$E,$B$7,Data!$F:$F,$B$2,Data!$G:$G,$B$3)</f>
        <v>0.32205468949654997</v>
      </c>
      <c r="O11" s="2">
        <f>SUMIFS(Data!$L:$L,Data!$H:$H,M$9,Data!$A:$A,$B$6,Data!$B:$B,$B$10,Data!$C:$C,$B$5,Data!$D:$D,$B$4,Data!$E:$E,$B$7,Data!$F:$F,$B$2,Data!$G:$G,$B$3)</f>
        <v>0.144389856127042</v>
      </c>
      <c r="P11" s="2" t="b">
        <f t="shared" ref="P11:P16" si="5">MAX($F11,$J11,$N11,$R11)=N11</f>
        <v>0</v>
      </c>
      <c r="Q11" s="12" t="str">
        <f t="shared" ref="Q11:Q13" si="6">TEXT(ROUND(R11*100,4),"0.0000") &amp; " ± " &amp; TEXT(ROUND(S11*100,2),"0.00")</f>
        <v>33.8601 ± 18.43</v>
      </c>
      <c r="R11" s="11">
        <f>SUMIFS(Data!$K:$K,Data!$H:$H,Q$9,Data!$A:$A,$B$6,Data!$B:$B,$B$10,Data!$C:$C,$B$5,Data!$D:$D,$B$4,Data!$E:$E,$B$7,Data!$F:$F,$B$2,Data!$G:$G,$B$3)</f>
        <v>0.33860127813616098</v>
      </c>
      <c r="S11" s="2">
        <f>SUMIFS(Data!$L:$L,Data!$H:$H,Q$9,Data!$A:$A,$B$6,Data!$B:$B,$B$10,Data!$C:$C,$B$5,Data!$D:$D,$B$4,Data!$E:$E,$B$7,Data!$F:$F,$B$2,Data!$G:$G,$B$3)</f>
        <v>0.18427820192011901</v>
      </c>
      <c r="T11" s="2" t="b">
        <f t="shared" ref="T11:T16" si="7">MAX($F11,$J11,$N11,$R11)=R11</f>
        <v>1</v>
      </c>
    </row>
    <row r="12" spans="2:39" ht="19.95" customHeight="1" x14ac:dyDescent="0.3">
      <c r="C12" s="41"/>
      <c r="D12" s="29" t="s">
        <v>8</v>
      </c>
      <c r="E12" s="18" t="str">
        <f t="shared" si="0"/>
        <v>27.7953 ± 15.63</v>
      </c>
      <c r="F12" s="18">
        <f>SUMIFS(Data!$M:$M,Data!$H:$H,E$9,Data!$A:$A,$B$6,Data!$B:$B,$B$10,Data!$C:$C,$B$5,Data!$D:$D,$B$4,Data!$E:$E,$B$7,Data!$F:$F,$B$2,Data!$G:$G,$B$3)</f>
        <v>0.27795311923218902</v>
      </c>
      <c r="G12" s="18">
        <f>SUMIFS(Data!$N:$N,Data!$H:$H,E$9,Data!$A:$A,$B$6,Data!$B:$B,$B$10,Data!$C:$C,$B$5,Data!$D:$D,$B$4,Data!$E:$E,$B$7,Data!$F:$F,$B$2,Data!$G:$G,$B$3)</f>
        <v>0.156316084534461</v>
      </c>
      <c r="H12" s="18" t="b">
        <f t="shared" si="1"/>
        <v>0</v>
      </c>
      <c r="I12" s="18" t="str">
        <f t="shared" si="2"/>
        <v>30.4333 ± 16.70</v>
      </c>
      <c r="J12" s="18">
        <f>SUMIFS(Data!$M:$M,Data!$H:$H,I$9,Data!$A:$A,$B$6,Data!$B:$B,$B$10,Data!$C:$C,$B$5,Data!$D:$D,$B$4,Data!$E:$E,$B$7,Data!$F:$F,$B$2,Data!$G:$G,$B$3)</f>
        <v>0.30433277962347699</v>
      </c>
      <c r="K12" s="18">
        <f>SUMIFS(Data!$N:$N,Data!$H:$H,I$9,Data!$A:$A,$B$6,Data!$B:$B,$B$10,Data!$C:$C,$B$5,Data!$D:$D,$B$4,Data!$E:$E,$B$7,Data!$F:$F,$B$2,Data!$G:$G,$B$3)</f>
        <v>0.16702112509383599</v>
      </c>
      <c r="L12" s="18" t="b">
        <f t="shared" si="3"/>
        <v>0</v>
      </c>
      <c r="M12" s="18" t="str">
        <f t="shared" si="4"/>
        <v>29.9566 ± 16.72</v>
      </c>
      <c r="N12" s="18">
        <f>SUMIFS(Data!$M:$M,Data!$H:$H,M$9,Data!$A:$A,$B$6,Data!$B:$B,$B$10,Data!$C:$C,$B$5,Data!$D:$D,$B$4,Data!$E:$E,$B$7,Data!$F:$F,$B$2,Data!$G:$G,$B$3)</f>
        <v>0.29956626061277197</v>
      </c>
      <c r="O12" s="18">
        <f>SUMIFS(Data!$N:$N,Data!$H:$H,M$9,Data!$A:$A,$B$6,Data!$B:$B,$B$10,Data!$C:$C,$B$5,Data!$D:$D,$B$4,Data!$E:$E,$B$7,Data!$F:$F,$B$2,Data!$G:$G,$B$3)</f>
        <v>0.16722833591245601</v>
      </c>
      <c r="P12" s="18" t="b">
        <f t="shared" si="5"/>
        <v>0</v>
      </c>
      <c r="Q12" s="20" t="str">
        <f t="shared" si="6"/>
        <v>31.9578 ± 20.51</v>
      </c>
      <c r="R12" s="11">
        <f>SUMIFS(Data!$M:$M,Data!$H:$H,Q$9,Data!$A:$A,$B$6,Data!$B:$B,$B$10,Data!$C:$C,$B$5,Data!$D:$D,$B$4,Data!$E:$E,$B$7,Data!$F:$F,$B$2,Data!$G:$G,$B$3)</f>
        <v>0.31957825765965298</v>
      </c>
      <c r="S12" s="2">
        <f>SUMIFS(Data!$N:$N,Data!$H:$H,Q$9,Data!$A:$A,$B$6,Data!$B:$B,$B$10,Data!$C:$C,$B$5,Data!$D:$D,$B$4,Data!$E:$E,$B$7,Data!$F:$F,$B$2,Data!$G:$G,$B$3)</f>
        <v>0.20514472950094401</v>
      </c>
      <c r="T12" s="2" t="b">
        <f t="shared" si="7"/>
        <v>1</v>
      </c>
    </row>
    <row r="13" spans="2:39" ht="19.95" customHeight="1" thickBot="1" x14ac:dyDescent="0.35">
      <c r="C13" s="41"/>
      <c r="D13" s="11" t="s">
        <v>9</v>
      </c>
      <c r="E13" s="2" t="str">
        <f t="shared" si="0"/>
        <v>35.5205 ± 13.50</v>
      </c>
      <c r="F13" s="2">
        <f>SUMIFS(Data!$O:$O,Data!$H:$H,E$9,Data!$A:$A,$B$6,Data!$B:$B,$B$10,Data!$C:$C,$B$5,Data!$D:$D,$B$4,Data!$E:$E,$B$7,Data!$F:$F,$B$2,Data!$G:$G,$B$3)</f>
        <v>0.35520487264673301</v>
      </c>
      <c r="G13" s="2">
        <f>SUMIFS(Data!$P:$P,Data!$H:$H,E$9,Data!$A:$A,$B$6,Data!$B:$B,$B$10,Data!$C:$C,$B$5,Data!$D:$D,$B$4,Data!$E:$E,$B$7,Data!$F:$F,$B$2,Data!$G:$G,$B$3)</f>
        <v>0.13498134502850201</v>
      </c>
      <c r="H13" s="2" t="b">
        <f t="shared" si="1"/>
        <v>0</v>
      </c>
      <c r="I13" s="2" t="str">
        <f t="shared" si="2"/>
        <v>39.5367 ± 12.01</v>
      </c>
      <c r="J13" s="2">
        <f>SUMIFS(Data!$O:$O,Data!$H:$H,I$9,Data!$A:$A,$B$6,Data!$B:$B,$B$10,Data!$C:$C,$B$5,Data!$D:$D,$B$4,Data!$E:$E,$B$7,Data!$F:$F,$B$2,Data!$G:$G,$B$3)</f>
        <v>0.39536729420450301</v>
      </c>
      <c r="K13" s="2">
        <f>SUMIFS(Data!$P:$P,Data!$H:$H,I$9,Data!$A:$A,$B$6,Data!$B:$B,$B$10,Data!$C:$C,$B$5,Data!$D:$D,$B$4,Data!$E:$E,$B$7,Data!$F:$F,$B$2,Data!$G:$G,$B$3)</f>
        <v>0.120117980130793</v>
      </c>
      <c r="L13" s="2" t="b">
        <f t="shared" si="3"/>
        <v>1</v>
      </c>
      <c r="M13" s="2" t="str">
        <f t="shared" si="4"/>
        <v>37.4197 ± 12.81</v>
      </c>
      <c r="N13" s="2">
        <f>SUMIFS(Data!$O:$O,Data!$H:$H,M$9,Data!$A:$A,$B$6,Data!$B:$B,$B$10,Data!$C:$C,$B$5,Data!$D:$D,$B$4,Data!$E:$E,$B$7,Data!$F:$F,$B$2,Data!$G:$G,$B$3)</f>
        <v>0.374197120708748</v>
      </c>
      <c r="O13" s="2">
        <f>SUMIFS(Data!$P:$P,Data!$H:$H,M$9,Data!$A:$A,$B$6,Data!$B:$B,$B$10,Data!$C:$C,$B$5,Data!$D:$D,$B$4,Data!$E:$E,$B$7,Data!$F:$F,$B$2,Data!$G:$G,$B$3)</f>
        <v>0.12811527530069999</v>
      </c>
      <c r="P13" s="2" t="b">
        <f t="shared" si="5"/>
        <v>0</v>
      </c>
      <c r="Q13" s="12" t="str">
        <f t="shared" si="6"/>
        <v>37.6061 ± 16.68</v>
      </c>
      <c r="R13" s="11">
        <f>SUMIFS(Data!$O:$O,Data!$H:$H,Q$9,Data!$A:$A,$B$6,Data!$B:$B,$B$10,Data!$C:$C,$B$5,Data!$D:$D,$B$4,Data!$E:$E,$B$7,Data!$F:$F,$B$2,Data!$G:$G,$B$3)</f>
        <v>0.37606127722406701</v>
      </c>
      <c r="S13" s="2">
        <f>SUMIFS(Data!$P:$P,Data!$H:$H,Q$9,Data!$A:$A,$B$6,Data!$B:$B,$B$10,Data!$C:$C,$B$5,Data!$D:$D,$B$4,Data!$E:$E,$B$7,Data!$F:$F,$B$2,Data!$G:$G,$B$3)</f>
        <v>0.16679554600017499</v>
      </c>
      <c r="T13" s="2" t="b">
        <f t="shared" si="7"/>
        <v>0</v>
      </c>
    </row>
    <row r="14" spans="2:39" ht="19.95" hidden="1" customHeight="1" x14ac:dyDescent="0.3">
      <c r="C14" s="41"/>
      <c r="D14" s="29" t="s">
        <v>26</v>
      </c>
      <c r="E14" s="18" t="str">
        <f>TEXT(ROUND(F14,4),"0.0000") &amp; " ± " &amp; TEXT(ROUND(G14*100,2),"0.00")</f>
        <v>0.6113 ± 15.77</v>
      </c>
      <c r="F14" s="18">
        <f>SUMIFS(Data!$I:$I,Data!$H:$H,E$9,Data!$A:$A,$B$6,Data!$B:$B,$B$10,Data!$C:$C,$B$5,Data!$D:$D,$B$4,Data!$E:$E,$B$7,Data!$F:$F,$B$2,Data!$G:$G,$B$3)</f>
        <v>0.61129568106312204</v>
      </c>
      <c r="G14" s="18">
        <f>SUMIFS(Data!$J:$J,Data!$H:$H,E$9,Data!$A:$A,$B$6,Data!$B:$B,$B$10,Data!$C:$C,$B$5,Data!$D:$D,$B$4,Data!$E:$E,$B$7,Data!$F:$F,$B$2,Data!$G:$G,$B$3)</f>
        <v>0.157655329859409</v>
      </c>
      <c r="H14" s="18" t="b">
        <f>MAX($F14,$J14,$N14,$R14)=F14</f>
        <v>0</v>
      </c>
      <c r="I14" s="18" t="str">
        <f>TEXT(ROUND(J14,4),"0.0000") &amp; " ± " &amp; TEXT(ROUND(K14*100,2),"0.00")</f>
        <v>0.6723 ± 13.98</v>
      </c>
      <c r="J14" s="18">
        <f>SUMIFS(Data!$I:$I,Data!$H:$H,I$9,Data!$A:$A,$B$6,Data!$B:$B,$B$10,Data!$C:$C,$B$5,Data!$D:$D,$B$4,Data!$E:$E,$B$7,Data!$F:$F,$B$2,Data!$G:$G,$B$3)</f>
        <v>0.67234219269102902</v>
      </c>
      <c r="K14" s="18">
        <f>SUMIFS(Data!$J:$J,Data!$H:$H,I$9,Data!$A:$A,$B$6,Data!$B:$B,$B$10,Data!$C:$C,$B$5,Data!$D:$D,$B$4,Data!$E:$E,$B$7,Data!$F:$F,$B$2,Data!$G:$G,$B$3)</f>
        <v>0.13975471135027501</v>
      </c>
      <c r="L14" s="18" t="b">
        <f>MAX($F14,$J14,$N14,$R14)=J14</f>
        <v>1</v>
      </c>
      <c r="M14" s="18" t="str">
        <f>TEXT(ROUND(N14,4),"0.0000") &amp; " ± " &amp; TEXT(ROUND(O14*100,2),"0.00")</f>
        <v>0.6340 ± 14.62</v>
      </c>
      <c r="N14" s="18">
        <f>SUMIFS(Data!$I:$I,Data!$H:$H,M$9,Data!$A:$A,$B$6,Data!$B:$B,$B$10,Data!$C:$C,$B$5,Data!$D:$D,$B$4,Data!$E:$E,$B$7,Data!$F:$F,$B$2,Data!$G:$G,$B$3)</f>
        <v>0.63399778516057503</v>
      </c>
      <c r="O14" s="18">
        <f>SUMIFS(Data!$J:$J,Data!$H:$H,M$9,Data!$A:$A,$B$6,Data!$B:$B,$B$10,Data!$C:$C,$B$5,Data!$D:$D,$B$4,Data!$E:$E,$B$7,Data!$F:$F,$B$2,Data!$G:$G,$B$3)</f>
        <v>0.14623955837111199</v>
      </c>
      <c r="P14" s="18" t="b">
        <f>MAX($F14,$J14,$N14,$R14)=N14</f>
        <v>0</v>
      </c>
      <c r="Q14" s="20" t="str">
        <f>TEXT(ROUND(R14,4),"0.0000") &amp; " ± " &amp; TEXT(ROUND(S14*100,2),"0.00")</f>
        <v>0.6084 ± 17.17</v>
      </c>
      <c r="R14" s="11">
        <f>SUMIFS(Data!$I:$I,Data!$H:$H,Q$9,Data!$A:$A,$B$6,Data!$B:$B,$B$10,Data!$C:$C,$B$5,Data!$D:$D,$B$4,Data!$E:$E,$B$7,Data!$F:$F,$B$2,Data!$G:$G,$B$3)</f>
        <v>0.60838870431893699</v>
      </c>
      <c r="S14" s="2">
        <f>SUMIFS(Data!$J:$J,Data!$H:$H,Q$9,Data!$A:$A,$B$6,Data!$B:$B,$B$10,Data!$C:$C,$B$5,Data!$D:$D,$B$4,Data!$E:$E,$B$7,Data!$F:$F,$B$2,Data!$G:$G,$B$3)</f>
        <v>0.17172918638280801</v>
      </c>
      <c r="T14" s="2" t="b">
        <f>MAX($F14,$J14,$N14,$R14)=R14</f>
        <v>0</v>
      </c>
    </row>
    <row r="15" spans="2:39" ht="19.95" hidden="1" customHeight="1" x14ac:dyDescent="0.3">
      <c r="C15" s="41"/>
      <c r="D15" s="11" t="s">
        <v>27</v>
      </c>
      <c r="E15" s="2" t="str">
        <f t="shared" ref="E15:E16" si="8">TEXT(ROUND(F15,4),"0.0000") &amp; " ± " &amp; TEXT(ROUND(G15*100,2),"0.00")</f>
        <v>0.3038 ± 14.33</v>
      </c>
      <c r="F15" s="2">
        <f>SUMIFS(Data!$K:$K,Data!$H:$H,E$9,Data!$A:$A,$B$6,Data!$B:$B,$B$10,Data!$C:$C,$B$5,Data!$D:$D,$B$4,Data!$E:$E,$B$7,Data!$F:$F,$B$2,Data!$G:$G,$B$3)</f>
        <v>0.30376445260166102</v>
      </c>
      <c r="G15" s="2">
        <f>SUMIFS(Data!$L:$L,Data!$H:$H,E$9,Data!$A:$A,$B$6,Data!$B:$B,$B$10,Data!$C:$C,$B$5,Data!$D:$D,$B$4,Data!$E:$E,$B$7,Data!$F:$F,$B$2,Data!$G:$G,$B$3)</f>
        <v>0.14329298342355701</v>
      </c>
      <c r="H15" s="2" t="b">
        <f t="shared" si="1"/>
        <v>0</v>
      </c>
      <c r="I15" s="2" t="str">
        <f t="shared" ref="I15:I16" si="9">TEXT(ROUND(J15,4),"0.0000") &amp; " ± " &amp; TEXT(ROUND(K15*100,2),"0.00")</f>
        <v>0.3339 ± 14.37</v>
      </c>
      <c r="J15" s="2">
        <f>SUMIFS(Data!$K:$K,Data!$H:$H,I$9,Data!$A:$A,$B$6,Data!$B:$B,$B$10,Data!$C:$C,$B$5,Data!$D:$D,$B$4,Data!$E:$E,$B$7,Data!$F:$F,$B$2,Data!$G:$G,$B$3)</f>
        <v>0.333854259435654</v>
      </c>
      <c r="K15" s="2">
        <f>SUMIFS(Data!$L:$L,Data!$H:$H,I$9,Data!$A:$A,$B$6,Data!$B:$B,$B$10,Data!$C:$C,$B$5,Data!$D:$D,$B$4,Data!$E:$E,$B$7,Data!$F:$F,$B$2,Data!$G:$G,$B$3)</f>
        <v>0.143683244230667</v>
      </c>
      <c r="L15" s="2" t="b">
        <f t="shared" si="3"/>
        <v>0</v>
      </c>
      <c r="M15" s="2" t="str">
        <f t="shared" ref="M15:M16" si="10">TEXT(ROUND(N15,4),"0.0000") &amp; " ± " &amp; TEXT(ROUND(O15*100,2),"0.00")</f>
        <v>0.3221 ± 14.44</v>
      </c>
      <c r="N15" s="2">
        <f>SUMIFS(Data!$K:$K,Data!$H:$H,M$9,Data!$A:$A,$B$6,Data!$B:$B,$B$10,Data!$C:$C,$B$5,Data!$D:$D,$B$4,Data!$E:$E,$B$7,Data!$F:$F,$B$2,Data!$G:$G,$B$3)</f>
        <v>0.32205468949654997</v>
      </c>
      <c r="O15" s="2">
        <f>SUMIFS(Data!$L:$L,Data!$H:$H,M$9,Data!$A:$A,$B$6,Data!$B:$B,$B$10,Data!$C:$C,$B$5,Data!$D:$D,$B$4,Data!$E:$E,$B$7,Data!$F:$F,$B$2,Data!$G:$G,$B$3)</f>
        <v>0.144389856127042</v>
      </c>
      <c r="P15" s="2" t="b">
        <f t="shared" si="5"/>
        <v>0</v>
      </c>
      <c r="Q15" s="12" t="str">
        <f t="shared" ref="Q15:Q16" si="11">TEXT(ROUND(R15,4),"0.0000") &amp; " ± " &amp; TEXT(ROUND(S15*100,2),"0.00")</f>
        <v>0.3386 ± 18.43</v>
      </c>
      <c r="R15" s="11">
        <f>SUMIFS(Data!$K:$K,Data!$H:$H,Q$9,Data!$A:$A,$B$6,Data!$B:$B,$B$10,Data!$C:$C,$B$5,Data!$D:$D,$B$4,Data!$E:$E,$B$7,Data!$F:$F,$B$2,Data!$G:$G,$B$3)</f>
        <v>0.33860127813616098</v>
      </c>
      <c r="S15" s="2">
        <f>SUMIFS(Data!$L:$L,Data!$H:$H,Q$9,Data!$A:$A,$B$6,Data!$B:$B,$B$10,Data!$C:$C,$B$5,Data!$D:$D,$B$4,Data!$E:$E,$B$7,Data!$F:$F,$B$2,Data!$G:$G,$B$3)</f>
        <v>0.18427820192011901</v>
      </c>
      <c r="T15" s="2" t="b">
        <f t="shared" si="7"/>
        <v>1</v>
      </c>
    </row>
    <row r="16" spans="2:39" ht="19.95" hidden="1" customHeight="1" thickBot="1" x14ac:dyDescent="0.35">
      <c r="C16" s="42"/>
      <c r="D16" s="30" t="s">
        <v>28</v>
      </c>
      <c r="E16" s="21" t="str">
        <f t="shared" si="8"/>
        <v>0.2780 ± 15.63</v>
      </c>
      <c r="F16" s="21">
        <f>SUMIFS(Data!$M:$M,Data!$H:$H,E$9,Data!$A:$A,$B$6,Data!$B:$B,$B$10,Data!$C:$C,$B$5,Data!$D:$D,$B$4,Data!$E:$E,$B$7,Data!$F:$F,$B$2,Data!$G:$G,$B$3)</f>
        <v>0.27795311923218902</v>
      </c>
      <c r="G16" s="21">
        <f>SUMIFS(Data!$N:$N,Data!$H:$H,E$9,Data!$A:$A,$B$6,Data!$B:$B,$B$10,Data!$C:$C,$B$5,Data!$D:$D,$B$4,Data!$E:$E,$B$7,Data!$F:$F,$B$2,Data!$G:$G,$B$3)</f>
        <v>0.156316084534461</v>
      </c>
      <c r="H16" s="21" t="b">
        <f t="shared" si="1"/>
        <v>0</v>
      </c>
      <c r="I16" s="21" t="str">
        <f t="shared" si="9"/>
        <v>0.3043 ± 16.70</v>
      </c>
      <c r="J16" s="21">
        <f>SUMIFS(Data!$M:$M,Data!$H:$H,I$9,Data!$A:$A,$B$6,Data!$B:$B,$B$10,Data!$C:$C,$B$5,Data!$D:$D,$B$4,Data!$E:$E,$B$7,Data!$F:$F,$B$2,Data!$G:$G,$B$3)</f>
        <v>0.30433277962347699</v>
      </c>
      <c r="K16" s="21">
        <f>SUMIFS(Data!$N:$N,Data!$H:$H,I$9,Data!$A:$A,$B$6,Data!$B:$B,$B$10,Data!$C:$C,$B$5,Data!$D:$D,$B$4,Data!$E:$E,$B$7,Data!$F:$F,$B$2,Data!$G:$G,$B$3)</f>
        <v>0.16702112509383599</v>
      </c>
      <c r="L16" s="21" t="b">
        <f t="shared" si="3"/>
        <v>0</v>
      </c>
      <c r="M16" s="21" t="str">
        <f t="shared" si="10"/>
        <v>0.2996 ± 16.72</v>
      </c>
      <c r="N16" s="21">
        <f>SUMIFS(Data!$M:$M,Data!$H:$H,M$9,Data!$A:$A,$B$6,Data!$B:$B,$B$10,Data!$C:$C,$B$5,Data!$D:$D,$B$4,Data!$E:$E,$B$7,Data!$F:$F,$B$2,Data!$G:$G,$B$3)</f>
        <v>0.29956626061277197</v>
      </c>
      <c r="O16" s="21">
        <f>SUMIFS(Data!$N:$N,Data!$H:$H,M$9,Data!$A:$A,$B$6,Data!$B:$B,$B$10,Data!$C:$C,$B$5,Data!$D:$D,$B$4,Data!$E:$E,$B$7,Data!$F:$F,$B$2,Data!$G:$G,$B$3)</f>
        <v>0.16722833591245601</v>
      </c>
      <c r="P16" s="21" t="b">
        <f t="shared" si="5"/>
        <v>0</v>
      </c>
      <c r="Q16" s="22" t="str">
        <f t="shared" si="11"/>
        <v>0.3196 ± 20.51</v>
      </c>
      <c r="R16" s="11">
        <f>SUMIFS(Data!$M:$M,Data!$H:$H,Q$9,Data!$A:$A,$B$6,Data!$B:$B,$B$10,Data!$C:$C,$B$5,Data!$D:$D,$B$4,Data!$E:$E,$B$7,Data!$F:$F,$B$2,Data!$G:$G,$B$3)</f>
        <v>0.31957825765965298</v>
      </c>
      <c r="S16" s="2">
        <f>SUMIFS(Data!$N:$N,Data!$H:$H,Q$9,Data!$A:$A,$B$6,Data!$B:$B,$B$10,Data!$C:$C,$B$5,Data!$D:$D,$B$4,Data!$E:$E,$B$7,Data!$F:$F,$B$2,Data!$G:$G,$B$3)</f>
        <v>0.20514472950094401</v>
      </c>
      <c r="T16" s="2" t="b">
        <f t="shared" si="7"/>
        <v>1</v>
      </c>
    </row>
    <row r="17" spans="2:20" ht="19.95" customHeight="1" x14ac:dyDescent="0.3">
      <c r="B17" s="6" t="s">
        <v>60</v>
      </c>
      <c r="C17" s="34" t="s">
        <v>61</v>
      </c>
      <c r="D17" s="7" t="s">
        <v>6</v>
      </c>
      <c r="E17" s="7" t="str">
        <f>TEXT(ROUND(F17*100,4),"0.0000") &amp; " ± " &amp; TEXT(ROUND(G17*100,2),"0.00")</f>
        <v>67.5249 ± 17.47</v>
      </c>
      <c r="F17" s="7">
        <f>SUMIFS(Data!$I:$I,Data!$H:$H,E$9,Data!$A:$A,$B$6,Data!$B:$B,$B$17,Data!$C:$C,$B$5,Data!$D:$D,$B$4,Data!$E:$E,$B$7,Data!$F:$F,$B$2,Data!$G:$G,$B$3)</f>
        <v>0.67524916943521596</v>
      </c>
      <c r="G17" s="7">
        <f>SUMIFS(Data!$J:$J,Data!$H:$H,E$9,Data!$A:$A,$B$6,Data!$B:$B,$B$17,Data!$C:$C,$B$5,Data!$D:$D,$B$4,Data!$E:$E,$B$7,Data!$F:$F,$B$2,Data!$G:$G,$B$3)</f>
        <v>0.17467746966390699</v>
      </c>
      <c r="H17" s="7" t="b">
        <f>MAX($F17,$J17,$N17,$R17)=F17</f>
        <v>1</v>
      </c>
      <c r="I17" s="7" t="str">
        <f>TEXT(ROUND(J17*100,4),"0.0000") &amp; " ± " &amp; TEXT(ROUND(K17*100,2),"0.00")</f>
        <v>65.7807 ± 14.26</v>
      </c>
      <c r="J17" s="7">
        <f>SUMIFS(Data!$I:$I,Data!$H:$H,I$9,Data!$A:$A,$B$6,Data!$B:$B,$B$17,Data!$C:$C,$B$5,Data!$D:$D,$B$4,Data!$E:$E,$B$7,Data!$F:$F,$B$2,Data!$G:$G,$B$3)</f>
        <v>0.65780730897009898</v>
      </c>
      <c r="K17" s="7">
        <f>SUMIFS(Data!$J:$J,Data!$H:$H,I$9,Data!$A:$A,$B$6,Data!$B:$B,$B$17,Data!$C:$C,$B$5,Data!$D:$D,$B$4,Data!$E:$E,$B$7,Data!$F:$F,$B$2,Data!$G:$G,$B$3)</f>
        <v>0.14259372685539301</v>
      </c>
      <c r="L17" s="7" t="b">
        <f>MAX($F17,$J17,$N17,$R17)=J17</f>
        <v>0</v>
      </c>
      <c r="M17" s="7" t="str">
        <f>TEXT(ROUND(N17*100,4),"0.0000") &amp; " ± " &amp; TEXT(ROUND(O17*100,2),"0.00")</f>
        <v>64.9502 ± 14.64</v>
      </c>
      <c r="N17" s="7">
        <f>SUMIFS(Data!$I:$I,Data!$H:$H,M$9,Data!$A:$A,$B$6,Data!$B:$B,$B$17,Data!$C:$C,$B$5,Data!$D:$D,$B$4,Data!$E:$E,$B$7,Data!$F:$F,$B$2,Data!$G:$G,$B$3)</f>
        <v>0.64950166112956798</v>
      </c>
      <c r="O17" s="7">
        <f>SUMIFS(Data!$J:$J,Data!$H:$H,M$9,Data!$A:$A,$B$6,Data!$B:$B,$B$17,Data!$C:$C,$B$5,Data!$D:$D,$B$4,Data!$E:$E,$B$7,Data!$F:$F,$B$2,Data!$G:$G,$B$3)</f>
        <v>0.14639632048074799</v>
      </c>
      <c r="P17" s="7" t="b">
        <f>MAX($F17,$J17,$N17,$R17)=N17</f>
        <v>0</v>
      </c>
      <c r="Q17" s="3" t="str">
        <f>TEXT(ROUND(R17*100,4),"0.0000") &amp; " ± " &amp; TEXT(ROUND(S17*100,2),"0.00")</f>
        <v>62.8738 ± 14.63</v>
      </c>
      <c r="R17" s="11">
        <f>SUMIFS(Data!$I:$I,Data!$H:$H,Q$9,Data!$A:$A,$B$6,Data!$B:$B,$B$17,Data!$C:$C,$B$5,Data!$D:$D,$B$4,Data!$E:$E,$B$7,Data!$F:$F,$B$2,Data!$G:$G,$B$3)</f>
        <v>0.62873754152823902</v>
      </c>
      <c r="S17" s="2">
        <f>SUMIFS(Data!$J:$J,Data!$H:$H,Q$9,Data!$A:$A,$B$6,Data!$B:$B,$B$17,Data!$C:$C,$B$5,Data!$D:$D,$B$4,Data!$E:$E,$B$7,Data!$F:$F,$B$2,Data!$G:$G,$B$3)</f>
        <v>0.14627139584927301</v>
      </c>
      <c r="T17" s="2" t="b">
        <f>MAX($F17,$J17,$N17,$R17)=R17</f>
        <v>0</v>
      </c>
    </row>
    <row r="18" spans="2:20" ht="19.95" customHeight="1" x14ac:dyDescent="0.3">
      <c r="C18" s="35"/>
      <c r="D18" s="2" t="s">
        <v>7</v>
      </c>
      <c r="E18" s="2" t="str">
        <f t="shared" ref="E18:E20" si="12">TEXT(ROUND(F18*100,4),"0.0000") &amp; " ± " &amp; TEXT(ROUND(G18*100,2),"0.00")</f>
        <v>42.7842 ± 22.10</v>
      </c>
      <c r="F18" s="2">
        <f>SUMIFS(Data!$K:$K,Data!$H:$H,E$9,Data!$A:$A,$B$6,Data!$B:$B,$B$17,Data!$C:$C,$B$5,Data!$D:$D,$B$4,Data!$E:$E,$B$7,Data!$F:$F,$B$2,Data!$G:$G,$B$3)</f>
        <v>0.42784179644644699</v>
      </c>
      <c r="G18" s="2">
        <f>SUMIFS(Data!$L:$L,Data!$H:$H,E$9,Data!$A:$A,$B$6,Data!$B:$B,$B$17,Data!$C:$C,$B$5,Data!$D:$D,$B$4,Data!$E:$E,$B$7,Data!$F:$F,$B$2,Data!$G:$G,$B$3)</f>
        <v>0.22095752767059099</v>
      </c>
      <c r="H18" s="2" t="b">
        <f t="shared" ref="H18:H20" si="13">MAX($F18,$J18,$N18,$R18)=F18</f>
        <v>1</v>
      </c>
      <c r="I18" s="2" t="str">
        <f t="shared" ref="I18:I20" si="14">TEXT(ROUND(J18*100,4),"0.0000") &amp; " ± " &amp; TEXT(ROUND(K18*100,2),"0.00")</f>
        <v>32.1032 ± 14.15</v>
      </c>
      <c r="J18" s="2">
        <f>SUMIFS(Data!$K:$K,Data!$H:$H,I$9,Data!$A:$A,$B$6,Data!$B:$B,$B$17,Data!$C:$C,$B$5,Data!$D:$D,$B$4,Data!$E:$E,$B$7,Data!$F:$F,$B$2,Data!$G:$G,$B$3)</f>
        <v>0.32103245591617602</v>
      </c>
      <c r="K18" s="2">
        <f>SUMIFS(Data!$L:$L,Data!$H:$H,I$9,Data!$A:$A,$B$6,Data!$B:$B,$B$17,Data!$C:$C,$B$5,Data!$D:$D,$B$4,Data!$E:$E,$B$7,Data!$F:$F,$B$2,Data!$G:$G,$B$3)</f>
        <v>0.141539114119662</v>
      </c>
      <c r="L18" s="2" t="b">
        <f t="shared" ref="L18:L20" si="15">MAX($F18,$J18,$N18,$R18)=J18</f>
        <v>0</v>
      </c>
      <c r="M18" s="2" t="str">
        <f t="shared" ref="M18:M20" si="16">TEXT(ROUND(N18*100,4),"0.0000") &amp; " ± " &amp; TEXT(ROUND(O18*100,2),"0.00")</f>
        <v>32.8389 ± 14.87</v>
      </c>
      <c r="N18" s="2">
        <f>SUMIFS(Data!$K:$K,Data!$H:$H,M$9,Data!$A:$A,$B$6,Data!$B:$B,$B$17,Data!$C:$C,$B$5,Data!$D:$D,$B$4,Data!$E:$E,$B$7,Data!$F:$F,$B$2,Data!$G:$G,$B$3)</f>
        <v>0.32838944001734699</v>
      </c>
      <c r="O18" s="2">
        <f>SUMIFS(Data!$L:$L,Data!$H:$H,M$9,Data!$A:$A,$B$6,Data!$B:$B,$B$17,Data!$C:$C,$B$5,Data!$D:$D,$B$4,Data!$E:$E,$B$7,Data!$F:$F,$B$2,Data!$G:$G,$B$3)</f>
        <v>0.148711480923894</v>
      </c>
      <c r="P18" s="2" t="b">
        <f t="shared" ref="P18:P20" si="17">MAX($F18,$J18,$N18,$R18)=N18</f>
        <v>0</v>
      </c>
      <c r="Q18" s="12" t="str">
        <f t="shared" ref="Q18:Q20" si="18">TEXT(ROUND(R18*100,4),"0.0000") &amp; " ± " &amp; TEXT(ROUND(S18*100,2),"0.00")</f>
        <v>38.3430 ± 18.76</v>
      </c>
      <c r="R18" s="11">
        <f>SUMIFS(Data!$K:$K,Data!$H:$H,Q$9,Data!$A:$A,$B$6,Data!$B:$B,$B$17,Data!$C:$C,$B$5,Data!$D:$D,$B$4,Data!$E:$E,$B$7,Data!$F:$F,$B$2,Data!$G:$G,$B$3)</f>
        <v>0.38343026482561299</v>
      </c>
      <c r="S18" s="2">
        <f>SUMIFS(Data!$L:$L,Data!$H:$H,Q$9,Data!$A:$A,$B$6,Data!$B:$B,$B$17,Data!$C:$C,$B$5,Data!$D:$D,$B$4,Data!$E:$E,$B$7,Data!$F:$F,$B$2,Data!$G:$G,$B$3)</f>
        <v>0.18763263298875099</v>
      </c>
      <c r="T18" s="2" t="b">
        <f t="shared" ref="T18:T20" si="19">MAX($F18,$J18,$N18,$R18)=R18</f>
        <v>0</v>
      </c>
    </row>
    <row r="19" spans="2:20" ht="19.95" customHeight="1" x14ac:dyDescent="0.3">
      <c r="C19" s="35"/>
      <c r="D19" s="4" t="s">
        <v>8</v>
      </c>
      <c r="E19" s="4" t="str">
        <f t="shared" si="12"/>
        <v>41.6159 ± 24.08</v>
      </c>
      <c r="F19" s="4">
        <f>SUMIFS(Data!$M:$M,Data!$H:$H,E$9,Data!$A:$A,$B$6,Data!$B:$B,$B$17,Data!$C:$C,$B$5,Data!$D:$D,$B$4,Data!$E:$E,$B$7,Data!$F:$F,$B$2,Data!$G:$G,$B$3)</f>
        <v>0.41615909929863398</v>
      </c>
      <c r="G19" s="4">
        <f>SUMIFS(Data!$N:$N,Data!$H:$H,E$9,Data!$A:$A,$B$6,Data!$B:$B,$B$17,Data!$C:$C,$B$5,Data!$D:$D,$B$4,Data!$E:$E,$B$7,Data!$F:$F,$B$2,Data!$G:$G,$B$3)</f>
        <v>0.24082497691350799</v>
      </c>
      <c r="H19" s="4" t="b">
        <f t="shared" si="13"/>
        <v>1</v>
      </c>
      <c r="I19" s="4" t="str">
        <f t="shared" si="14"/>
        <v>28.7029 ± 15.77</v>
      </c>
      <c r="J19" s="4">
        <f>SUMIFS(Data!$M:$M,Data!$H:$H,I$9,Data!$A:$A,$B$6,Data!$B:$B,$B$17,Data!$C:$C,$B$5,Data!$D:$D,$B$4,Data!$E:$E,$B$7,Data!$F:$F,$B$2,Data!$G:$G,$B$3)</f>
        <v>0.28702934662236901</v>
      </c>
      <c r="K19" s="4">
        <f>SUMIFS(Data!$N:$N,Data!$H:$H,I$9,Data!$A:$A,$B$6,Data!$B:$B,$B$17,Data!$C:$C,$B$5,Data!$D:$D,$B$4,Data!$E:$E,$B$7,Data!$F:$F,$B$2,Data!$G:$G,$B$3)</f>
        <v>0.15766599504220599</v>
      </c>
      <c r="L19" s="4" t="b">
        <f t="shared" si="15"/>
        <v>0</v>
      </c>
      <c r="M19" s="4" t="str">
        <f t="shared" si="16"/>
        <v>30.4563 ± 16.72</v>
      </c>
      <c r="N19" s="4">
        <f>SUMIFS(Data!$M:$M,Data!$H:$H,M$9,Data!$A:$A,$B$6,Data!$B:$B,$B$17,Data!$C:$C,$B$5,Data!$D:$D,$B$4,Data!$E:$E,$B$7,Data!$F:$F,$B$2,Data!$G:$G,$B$3)</f>
        <v>0.30456349206349198</v>
      </c>
      <c r="O19" s="4">
        <f>SUMIFS(Data!$N:$N,Data!$H:$H,M$9,Data!$A:$A,$B$6,Data!$B:$B,$B$17,Data!$C:$C,$B$5,Data!$D:$D,$B$4,Data!$E:$E,$B$7,Data!$F:$F,$B$2,Data!$G:$G,$B$3)</f>
        <v>0.167245327128413</v>
      </c>
      <c r="P19" s="4" t="b">
        <f t="shared" si="17"/>
        <v>0</v>
      </c>
      <c r="Q19" s="5" t="str">
        <f t="shared" si="18"/>
        <v>37.8705 ± 21.48</v>
      </c>
      <c r="R19" s="11">
        <f>SUMIFS(Data!$M:$M,Data!$H:$H,Q$9,Data!$A:$A,$B$6,Data!$B:$B,$B$17,Data!$C:$C,$B$5,Data!$D:$D,$B$4,Data!$E:$E,$B$7,Data!$F:$F,$B$2,Data!$G:$G,$B$3)</f>
        <v>0.378705241786637</v>
      </c>
      <c r="S19" s="2">
        <f>SUMIFS(Data!$N:$N,Data!$H:$H,Q$9,Data!$A:$A,$B$6,Data!$B:$B,$B$17,Data!$C:$C,$B$5,Data!$D:$D,$B$4,Data!$E:$E,$B$7,Data!$F:$F,$B$2,Data!$G:$G,$B$3)</f>
        <v>0.21476887411239401</v>
      </c>
      <c r="T19" s="2" t="b">
        <f t="shared" si="19"/>
        <v>0</v>
      </c>
    </row>
    <row r="20" spans="2:20" ht="19.95" customHeight="1" thickBot="1" x14ac:dyDescent="0.35">
      <c r="C20" s="35"/>
      <c r="D20" s="2" t="s">
        <v>9</v>
      </c>
      <c r="E20" s="2" t="str">
        <f t="shared" si="12"/>
        <v>47.1392 ± 20.60</v>
      </c>
      <c r="F20" s="2">
        <f>SUMIFS(Data!$O:$O,Data!$H:$H,E$9,Data!$A:$A,$B$6,Data!$B:$B,$B$17,Data!$C:$C,$B$5,Data!$D:$D,$B$4,Data!$E:$E,$B$7,Data!$F:$F,$B$2,Data!$G:$G,$B$3)</f>
        <v>0.47139165743816902</v>
      </c>
      <c r="G20" s="2">
        <f>SUMIFS(Data!$P:$P,Data!$H:$H,E$9,Data!$A:$A,$B$6,Data!$B:$B,$B$17,Data!$C:$C,$B$5,Data!$D:$D,$B$4,Data!$E:$E,$B$7,Data!$F:$F,$B$2,Data!$G:$G,$B$3)</f>
        <v>0.20596337508829299</v>
      </c>
      <c r="H20" s="2" t="b">
        <f t="shared" si="13"/>
        <v>1</v>
      </c>
      <c r="I20" s="2" t="str">
        <f t="shared" si="14"/>
        <v>38.4127 ± 12.42</v>
      </c>
      <c r="J20" s="2">
        <f>SUMIFS(Data!$O:$O,Data!$H:$H,I$9,Data!$A:$A,$B$6,Data!$B:$B,$B$17,Data!$C:$C,$B$5,Data!$D:$D,$B$4,Data!$E:$E,$B$7,Data!$F:$F,$B$2,Data!$G:$G,$B$3)</f>
        <v>0.38412698412698398</v>
      </c>
      <c r="K20" s="2">
        <f>SUMIFS(Data!$P:$P,Data!$H:$H,I$9,Data!$A:$A,$B$6,Data!$B:$B,$B$17,Data!$C:$C,$B$5,Data!$D:$D,$B$4,Data!$E:$E,$B$7,Data!$F:$F,$B$2,Data!$G:$G,$B$3)</f>
        <v>0.12415499217159399</v>
      </c>
      <c r="L20" s="2" t="b">
        <f t="shared" si="15"/>
        <v>0</v>
      </c>
      <c r="M20" s="2" t="str">
        <f t="shared" si="16"/>
        <v>38.2023 ± 13.60</v>
      </c>
      <c r="N20" s="2">
        <f>SUMIFS(Data!$O:$O,Data!$H:$H,M$9,Data!$A:$A,$B$6,Data!$B:$B,$B$17,Data!$C:$C,$B$5,Data!$D:$D,$B$4,Data!$E:$E,$B$7,Data!$F:$F,$B$2,Data!$G:$G,$B$3)</f>
        <v>0.38202288667404899</v>
      </c>
      <c r="O20" s="2">
        <f>SUMIFS(Data!$P:$P,Data!$H:$H,M$9,Data!$A:$A,$B$6,Data!$B:$B,$B$17,Data!$C:$C,$B$5,Data!$D:$D,$B$4,Data!$E:$E,$B$7,Data!$F:$F,$B$2,Data!$G:$G,$B$3)</f>
        <v>0.13595890471559799</v>
      </c>
      <c r="P20" s="2" t="b">
        <f t="shared" si="17"/>
        <v>0</v>
      </c>
      <c r="Q20" s="12" t="str">
        <f t="shared" si="18"/>
        <v>42.3385 ± 17.56</v>
      </c>
      <c r="R20" s="11">
        <f>SUMIFS(Data!$O:$O,Data!$H:$H,Q$9,Data!$A:$A,$B$6,Data!$B:$B,$B$17,Data!$C:$C,$B$5,Data!$D:$D,$B$4,Data!$E:$E,$B$7,Data!$F:$F,$B$2,Data!$G:$G,$B$3)</f>
        <v>0.423385012919896</v>
      </c>
      <c r="S20" s="2">
        <f>SUMIFS(Data!$P:$P,Data!$H:$H,Q$9,Data!$A:$A,$B$6,Data!$B:$B,$B$17,Data!$C:$C,$B$5,Data!$D:$D,$B$4,Data!$E:$E,$B$7,Data!$F:$F,$B$2,Data!$G:$G,$B$3)</f>
        <v>0.17557978401646501</v>
      </c>
      <c r="T20" s="2" t="b">
        <f t="shared" si="19"/>
        <v>0</v>
      </c>
    </row>
    <row r="21" spans="2:20" ht="19.95" hidden="1" customHeight="1" x14ac:dyDescent="0.3">
      <c r="C21" s="35"/>
      <c r="D21" s="4" t="s">
        <v>26</v>
      </c>
      <c r="E21" s="4" t="str">
        <f>TEXT(ROUND(F21,4),"0.0000") &amp; " ± " &amp; TEXT(ROUND(G21*100,2),"0.00")</f>
        <v>0.6752 ± 17.47</v>
      </c>
      <c r="F21" s="4">
        <f>SUMIFS(Data!$I:$I,Data!$H:$H,E$9,Data!$A:$A,$B$6,Data!$B:$B,$B$17,Data!$C:$C,$B$5,Data!$D:$D,$B$4,Data!$E:$E,$B$7,Data!$F:$F,$B$2,Data!$G:$G,$B$3)</f>
        <v>0.67524916943521596</v>
      </c>
      <c r="G21" s="4">
        <f>SUMIFS(Data!$J:$J,Data!$H:$H,E$9,Data!$A:$A,$B$6,Data!$B:$B,$B$17,Data!$C:$C,$B$5,Data!$D:$D,$B$4,Data!$E:$E,$B$7,Data!$F:$F,$B$2,Data!$G:$G,$B$3)</f>
        <v>0.17467746966390699</v>
      </c>
      <c r="H21" s="4" t="b">
        <f>MAX($F21,$J21,$N21,$R21)=F21</f>
        <v>1</v>
      </c>
      <c r="I21" s="4" t="str">
        <f>TEXT(ROUND(J21,4),"0.0000") &amp; " ± " &amp; TEXT(ROUND(K21*100,2),"0.00")</f>
        <v>0.6578 ± 14.26</v>
      </c>
      <c r="J21" s="4">
        <f>SUMIFS(Data!$I:$I,Data!$H:$H,I$9,Data!$A:$A,$B$6,Data!$B:$B,$B$17,Data!$C:$C,$B$5,Data!$D:$D,$B$4,Data!$E:$E,$B$7,Data!$F:$F,$B$2,Data!$G:$G,$B$3)</f>
        <v>0.65780730897009898</v>
      </c>
      <c r="K21" s="4">
        <f>SUMIFS(Data!$J:$J,Data!$H:$H,I$9,Data!$A:$A,$B$6,Data!$B:$B,$B$17,Data!$C:$C,$B$5,Data!$D:$D,$B$4,Data!$E:$E,$B$7,Data!$F:$F,$B$2,Data!$G:$G,$B$3)</f>
        <v>0.14259372685539301</v>
      </c>
      <c r="L21" s="4" t="b">
        <f>MAX($F21,$J21,$N21,$R21)=J21</f>
        <v>0</v>
      </c>
      <c r="M21" s="4" t="str">
        <f>TEXT(ROUND(N21,4),"0.0000") &amp; " ± " &amp; TEXT(ROUND(O21*100,2),"0.00")</f>
        <v>0.6495 ± 14.64</v>
      </c>
      <c r="N21" s="4">
        <f>SUMIFS(Data!$I:$I,Data!$H:$H,M$9,Data!$A:$A,$B$6,Data!$B:$B,$B$17,Data!$C:$C,$B$5,Data!$D:$D,$B$4,Data!$E:$E,$B$7,Data!$F:$F,$B$2,Data!$G:$G,$B$3)</f>
        <v>0.64950166112956798</v>
      </c>
      <c r="O21" s="4">
        <f>SUMIFS(Data!$J:$J,Data!$H:$H,M$9,Data!$A:$A,$B$6,Data!$B:$B,$B$17,Data!$C:$C,$B$5,Data!$D:$D,$B$4,Data!$E:$E,$B$7,Data!$F:$F,$B$2,Data!$G:$G,$B$3)</f>
        <v>0.14639632048074799</v>
      </c>
      <c r="P21" s="4" t="b">
        <f>MAX($F21,$J21,$N21,$R21)=N21</f>
        <v>0</v>
      </c>
      <c r="Q21" s="5" t="str">
        <f>TEXT(ROUND(R21,4),"0.0000") &amp; " ± " &amp; TEXT(ROUND(S21*100,2),"0.00")</f>
        <v>0.6287 ± 14.63</v>
      </c>
      <c r="R21" s="11">
        <f>SUMIFS(Data!$I:$I,Data!$H:$H,Q$9,Data!$A:$A,$B$6,Data!$B:$B,$B$17,Data!$C:$C,$B$5,Data!$D:$D,$B$4,Data!$E:$E,$B$7,Data!$F:$F,$B$2,Data!$G:$G,$B$3)</f>
        <v>0.62873754152823902</v>
      </c>
      <c r="S21" s="2">
        <f>SUMIFS(Data!$J:$J,Data!$H:$H,Q$9,Data!$A:$A,$B$6,Data!$B:$B,$B$17,Data!$C:$C,$B$5,Data!$D:$D,$B$4,Data!$E:$E,$B$7,Data!$F:$F,$B$2,Data!$G:$G,$B$3)</f>
        <v>0.14627139584927301</v>
      </c>
      <c r="T21" s="2" t="b">
        <f>MAX($F21,$J21,$N21,$R21)=R21</f>
        <v>0</v>
      </c>
    </row>
    <row r="22" spans="2:20" ht="19.95" hidden="1" customHeight="1" x14ac:dyDescent="0.3">
      <c r="C22" s="35"/>
      <c r="D22" s="2" t="s">
        <v>27</v>
      </c>
      <c r="E22" s="2" t="str">
        <f t="shared" ref="E22:E23" si="20">TEXT(ROUND(F22,4),"0.0000") &amp; " ± " &amp; TEXT(ROUND(G22*100,2),"0.00")</f>
        <v>0.4278 ± 22.10</v>
      </c>
      <c r="F22" s="2">
        <f>SUMIFS(Data!$K:$K,Data!$H:$H,E$9,Data!$A:$A,$B$6,Data!$B:$B,$B$17,Data!$C:$C,$B$5,Data!$D:$D,$B$4,Data!$E:$E,$B$7,Data!$F:$F,$B$2,Data!$G:$G,$B$3)</f>
        <v>0.42784179644644699</v>
      </c>
      <c r="G22" s="2">
        <f>SUMIFS(Data!$L:$L,Data!$H:$H,E$9,Data!$A:$A,$B$6,Data!$B:$B,$B$17,Data!$C:$C,$B$5,Data!$D:$D,$B$4,Data!$E:$E,$B$7,Data!$F:$F,$B$2,Data!$G:$G,$B$3)</f>
        <v>0.22095752767059099</v>
      </c>
      <c r="H22" s="2" t="b">
        <f t="shared" ref="H22:H23" si="21">MAX($F22,$J22,$N22,$R22)=F22</f>
        <v>1</v>
      </c>
      <c r="I22" s="2" t="str">
        <f t="shared" ref="I22:I23" si="22">TEXT(ROUND(J22,4),"0.0000") &amp; " ± " &amp; TEXT(ROUND(K22*100,2),"0.00")</f>
        <v>0.3210 ± 14.15</v>
      </c>
      <c r="J22" s="2">
        <f>SUMIFS(Data!$K:$K,Data!$H:$H,I$9,Data!$A:$A,$B$6,Data!$B:$B,$B$17,Data!$C:$C,$B$5,Data!$D:$D,$B$4,Data!$E:$E,$B$7,Data!$F:$F,$B$2,Data!$G:$G,$B$3)</f>
        <v>0.32103245591617602</v>
      </c>
      <c r="K22" s="2">
        <f>SUMIFS(Data!$L:$L,Data!$H:$H,I$9,Data!$A:$A,$B$6,Data!$B:$B,$B$17,Data!$C:$C,$B$5,Data!$D:$D,$B$4,Data!$E:$E,$B$7,Data!$F:$F,$B$2,Data!$G:$G,$B$3)</f>
        <v>0.141539114119662</v>
      </c>
      <c r="L22" s="2" t="b">
        <f t="shared" ref="L22:L23" si="23">MAX($F22,$J22,$N22,$R22)=J22</f>
        <v>0</v>
      </c>
      <c r="M22" s="2" t="str">
        <f t="shared" ref="M22:M23" si="24">TEXT(ROUND(N22,4),"0.0000") &amp; " ± " &amp; TEXT(ROUND(O22*100,2),"0.00")</f>
        <v>0.3284 ± 14.87</v>
      </c>
      <c r="N22" s="2">
        <f>SUMIFS(Data!$K:$K,Data!$H:$H,M$9,Data!$A:$A,$B$6,Data!$B:$B,$B$17,Data!$C:$C,$B$5,Data!$D:$D,$B$4,Data!$E:$E,$B$7,Data!$F:$F,$B$2,Data!$G:$G,$B$3)</f>
        <v>0.32838944001734699</v>
      </c>
      <c r="O22" s="2">
        <f>SUMIFS(Data!$L:$L,Data!$H:$H,M$9,Data!$A:$A,$B$6,Data!$B:$B,$B$17,Data!$C:$C,$B$5,Data!$D:$D,$B$4,Data!$E:$E,$B$7,Data!$F:$F,$B$2,Data!$G:$G,$B$3)</f>
        <v>0.148711480923894</v>
      </c>
      <c r="P22" s="2" t="b">
        <f t="shared" ref="P22:P23" si="25">MAX($F22,$J22,$N22,$R22)=N22</f>
        <v>0</v>
      </c>
      <c r="Q22" s="12" t="str">
        <f t="shared" ref="Q22:Q23" si="26">TEXT(ROUND(R22,4),"0.0000") &amp; " ± " &amp; TEXT(ROUND(S22*100,2),"0.00")</f>
        <v>0.3834 ± 18.76</v>
      </c>
      <c r="R22" s="11">
        <f>SUMIFS(Data!$K:$K,Data!$H:$H,Q$9,Data!$A:$A,$B$6,Data!$B:$B,$B$17,Data!$C:$C,$B$5,Data!$D:$D,$B$4,Data!$E:$E,$B$7,Data!$F:$F,$B$2,Data!$G:$G,$B$3)</f>
        <v>0.38343026482561299</v>
      </c>
      <c r="S22" s="2">
        <f>SUMIFS(Data!$L:$L,Data!$H:$H,Q$9,Data!$A:$A,$B$6,Data!$B:$B,$B$17,Data!$C:$C,$B$5,Data!$D:$D,$B$4,Data!$E:$E,$B$7,Data!$F:$F,$B$2,Data!$G:$G,$B$3)</f>
        <v>0.18763263298875099</v>
      </c>
      <c r="T22" s="2" t="b">
        <f t="shared" ref="T22:T23" si="27">MAX($F22,$J22,$N22,$R22)=R22</f>
        <v>0</v>
      </c>
    </row>
    <row r="23" spans="2:20" ht="19.95" hidden="1" customHeight="1" thickBot="1" x14ac:dyDescent="0.35">
      <c r="C23" s="36"/>
      <c r="D23" s="23" t="s">
        <v>28</v>
      </c>
      <c r="E23" s="23" t="str">
        <f t="shared" si="20"/>
        <v>0.4162 ± 24.08</v>
      </c>
      <c r="F23" s="23">
        <f>SUMIFS(Data!$M:$M,Data!$H:$H,E$9,Data!$A:$A,$B$6,Data!$B:$B,$B$17,Data!$C:$C,$B$5,Data!$D:$D,$B$4,Data!$E:$E,$B$7,Data!$F:$F,$B$2,Data!$G:$G,$B$3)</f>
        <v>0.41615909929863398</v>
      </c>
      <c r="G23" s="23">
        <f>SUMIFS(Data!$N:$N,Data!$H:$H,E$9,Data!$A:$A,$B$6,Data!$B:$B,$B$17,Data!$C:$C,$B$5,Data!$D:$D,$B$4,Data!$E:$E,$B$7,Data!$F:$F,$B$2,Data!$G:$G,$B$3)</f>
        <v>0.24082497691350799</v>
      </c>
      <c r="H23" s="23" t="b">
        <f t="shared" si="21"/>
        <v>1</v>
      </c>
      <c r="I23" s="23" t="str">
        <f t="shared" si="22"/>
        <v>0.2870 ± 15.77</v>
      </c>
      <c r="J23" s="23">
        <f>SUMIFS(Data!$M:$M,Data!$H:$H,I$9,Data!$A:$A,$B$6,Data!$B:$B,$B$17,Data!$C:$C,$B$5,Data!$D:$D,$B$4,Data!$E:$E,$B$7,Data!$F:$F,$B$2,Data!$G:$G,$B$3)</f>
        <v>0.28702934662236901</v>
      </c>
      <c r="K23" s="23">
        <f>SUMIFS(Data!$N:$N,Data!$H:$H,I$9,Data!$A:$A,$B$6,Data!$B:$B,$B$17,Data!$C:$C,$B$5,Data!$D:$D,$B$4,Data!$E:$E,$B$7,Data!$F:$F,$B$2,Data!$G:$G,$B$3)</f>
        <v>0.15766599504220599</v>
      </c>
      <c r="L23" s="23" t="b">
        <f t="shared" si="23"/>
        <v>0</v>
      </c>
      <c r="M23" s="23" t="str">
        <f t="shared" si="24"/>
        <v>0.3046 ± 16.72</v>
      </c>
      <c r="N23" s="23">
        <f>SUMIFS(Data!$M:$M,Data!$H:$H,M$9,Data!$A:$A,$B$6,Data!$B:$B,$B$17,Data!$C:$C,$B$5,Data!$D:$D,$B$4,Data!$E:$E,$B$7,Data!$F:$F,$B$2,Data!$G:$G,$B$3)</f>
        <v>0.30456349206349198</v>
      </c>
      <c r="O23" s="23">
        <f>SUMIFS(Data!$N:$N,Data!$H:$H,M$9,Data!$A:$A,$B$6,Data!$B:$B,$B$17,Data!$C:$C,$B$5,Data!$D:$D,$B$4,Data!$E:$E,$B$7,Data!$F:$F,$B$2,Data!$G:$G,$B$3)</f>
        <v>0.167245327128413</v>
      </c>
      <c r="P23" s="23" t="b">
        <f t="shared" si="25"/>
        <v>0</v>
      </c>
      <c r="Q23" s="24" t="str">
        <f t="shared" si="26"/>
        <v>0.3787 ± 21.48</v>
      </c>
      <c r="R23" s="11">
        <f>SUMIFS(Data!$M:$M,Data!$H:$H,Q$9,Data!$A:$A,$B$6,Data!$B:$B,$B$17,Data!$C:$C,$B$5,Data!$D:$D,$B$4,Data!$E:$E,$B$7,Data!$F:$F,$B$2,Data!$G:$G,$B$3)</f>
        <v>0.378705241786637</v>
      </c>
      <c r="S23" s="2">
        <f>SUMIFS(Data!$N:$N,Data!$H:$H,Q$9,Data!$A:$A,$B$6,Data!$B:$B,$B$17,Data!$C:$C,$B$5,Data!$D:$D,$B$4,Data!$E:$E,$B$7,Data!$F:$F,$B$2,Data!$G:$G,$B$3)</f>
        <v>0.21476887411239401</v>
      </c>
      <c r="T23" s="2" t="b">
        <f t="shared" si="27"/>
        <v>0</v>
      </c>
    </row>
    <row r="24" spans="2:20" ht="19.95" customHeight="1" x14ac:dyDescent="0.3">
      <c r="B24" s="6" t="s">
        <v>63</v>
      </c>
      <c r="C24" s="37" t="s">
        <v>62</v>
      </c>
      <c r="D24" s="16" t="s">
        <v>6</v>
      </c>
      <c r="E24" s="16" t="str">
        <f>TEXT(ROUND(F24*100,4),"0.0000") &amp; " ± " &amp; TEXT(ROUND(G24*100,2),"0.00")</f>
        <v>65.7807 ± 16.17</v>
      </c>
      <c r="F24" s="16">
        <f>SUMIFS(Data!$I:$I,Data!$H:$H,E$9,Data!$A:$A,$B$6,Data!$B:$B,$B$24,Data!$C:$C,$B$5,Data!$D:$D,$B$4,Data!$E:$E,$B$7,Data!$F:$F,$B$2,Data!$G:$G,$B$3)</f>
        <v>0.65780730897009898</v>
      </c>
      <c r="G24" s="16">
        <f>SUMIFS(Data!$J:$J,Data!$H:$H,E$9,Data!$A:$A,$B$6,Data!$B:$B,$B$24,Data!$C:$C,$B$5,Data!$D:$D,$B$4,Data!$E:$E,$B$7,Data!$F:$F,$B$2,Data!$G:$G,$B$3)</f>
        <v>0.16170010645291</v>
      </c>
      <c r="H24" s="16" t="b">
        <f>MAX($F24,$J24,$N24,$R24)=F24</f>
        <v>0</v>
      </c>
      <c r="I24" s="16" t="str">
        <f>TEXT(ROUND(J24*100,4),"0.0000") &amp; " ± " &amp; TEXT(ROUND(K24*100,2),"0.00")</f>
        <v>66.9435 ± 14.20</v>
      </c>
      <c r="J24" s="16">
        <f>SUMIFS(Data!$I:$I,Data!$H:$H,I$9,Data!$A:$A,$B$6,Data!$B:$B,$B$24,Data!$C:$C,$B$5,Data!$D:$D,$B$4,Data!$E:$E,$B$7,Data!$F:$F,$B$2,Data!$G:$G,$B$3)</f>
        <v>0.66943521594684396</v>
      </c>
      <c r="K24" s="16">
        <f>SUMIFS(Data!$J:$J,Data!$H:$H,I$9,Data!$A:$A,$B$6,Data!$B:$B,$B$24,Data!$C:$C,$B$5,Data!$D:$D,$B$4,Data!$E:$E,$B$7,Data!$F:$F,$B$2,Data!$G:$G,$B$3)</f>
        <v>0.14199135970253199</v>
      </c>
      <c r="L24" s="16" t="b">
        <f>MAX($F24,$J24,$N24,$R24)=J24</f>
        <v>1</v>
      </c>
      <c r="M24" s="16" t="str">
        <f>TEXT(ROUND(N24*100,4),"0.0000") &amp; " ± " &amp; TEXT(ROUND(O24*100,2),"0.00")</f>
        <v>64.0365 ± 15.52</v>
      </c>
      <c r="N24" s="16">
        <f>SUMIFS(Data!$I:$I,Data!$H:$H,M$9,Data!$A:$A,$B$6,Data!$B:$B,$B$24,Data!$C:$C,$B$5,Data!$D:$D,$B$4,Data!$E:$E,$B$7,Data!$F:$F,$B$2,Data!$G:$G,$B$3)</f>
        <v>0.640365448504983</v>
      </c>
      <c r="O24" s="16">
        <f>SUMIFS(Data!$J:$J,Data!$H:$H,M$9,Data!$A:$A,$B$6,Data!$B:$B,$B$24,Data!$C:$C,$B$5,Data!$D:$D,$B$4,Data!$E:$E,$B$7,Data!$F:$F,$B$2,Data!$G:$G,$B$3)</f>
        <v>0.15517786632376701</v>
      </c>
      <c r="P24" s="16" t="b">
        <f>MAX($F24,$J24,$N24,$R24)=N24</f>
        <v>0</v>
      </c>
      <c r="Q24" s="17" t="str">
        <f>TEXT(ROUND(R24*100,4),"0.0000") &amp; " ± " &amp; TEXT(ROUND(S24*100,2),"0.00")</f>
        <v>59.3439 ± 16.18</v>
      </c>
      <c r="R24" s="11">
        <f>SUMIFS(Data!$I:$I,Data!$H:$H,Q$9,Data!$A:$A,$B$6,Data!$B:$B,$B$24,Data!$C:$C,$B$5,Data!$D:$D,$B$4,Data!$E:$E,$B$7,Data!$F:$F,$B$2,Data!$G:$G,$B$3)</f>
        <v>0.59343853820598003</v>
      </c>
      <c r="S24" s="2">
        <f>SUMIFS(Data!$J:$J,Data!$H:$H,Q$9,Data!$A:$A,$B$6,Data!$B:$B,$B$24,Data!$C:$C,$B$5,Data!$D:$D,$B$4,Data!$E:$E,$B$7,Data!$F:$F,$B$2,Data!$G:$G,$B$3)</f>
        <v>0.161833368911249</v>
      </c>
      <c r="T24" s="2" t="b">
        <f>MAX($F24,$J24,$N24,$R24)=R24</f>
        <v>0</v>
      </c>
    </row>
    <row r="25" spans="2:20" ht="19.95" customHeight="1" x14ac:dyDescent="0.3">
      <c r="C25" s="38"/>
      <c r="D25" s="2" t="s">
        <v>7</v>
      </c>
      <c r="E25" s="2" t="str">
        <f t="shared" ref="E25:E27" si="28">TEXT(ROUND(F25*100,4),"0.0000") &amp; " ± " &amp; TEXT(ROUND(G25*100,2),"0.00")</f>
        <v>36.3997 ± 19.14</v>
      </c>
      <c r="F25" s="2">
        <f>SUMIFS(Data!$K:$K,Data!$H:$H,E$9,Data!$A:$A,$B$6,Data!$B:$B,$B$24,Data!$C:$C,$B$5,Data!$D:$D,$B$4,Data!$E:$E,$B$7,Data!$F:$F,$B$2,Data!$G:$G,$B$3)</f>
        <v>0.36399672678742401</v>
      </c>
      <c r="G25" s="2">
        <f>SUMIFS(Data!$L:$L,Data!$H:$H,E$9,Data!$A:$A,$B$6,Data!$B:$B,$B$24,Data!$C:$C,$B$5,Data!$D:$D,$B$4,Data!$E:$E,$B$7,Data!$F:$F,$B$2,Data!$G:$G,$B$3)</f>
        <v>0.191355664540583</v>
      </c>
      <c r="H25" s="2" t="b">
        <f t="shared" ref="H25:H27" si="29">MAX($F25,$J25,$N25,$R25)=F25</f>
        <v>1</v>
      </c>
      <c r="I25" s="2" t="str">
        <f t="shared" ref="I25:I27" si="30">TEXT(ROUND(J25*100,4),"0.0000") &amp; " ± " &amp; TEXT(ROUND(K25*100,2),"0.00")</f>
        <v>33.1398 ± 14.27</v>
      </c>
      <c r="J25" s="2">
        <f>SUMIFS(Data!$K:$K,Data!$H:$H,I$9,Data!$A:$A,$B$6,Data!$B:$B,$B$24,Data!$C:$C,$B$5,Data!$D:$D,$B$4,Data!$E:$E,$B$7,Data!$F:$F,$B$2,Data!$G:$G,$B$3)</f>
        <v>0.33139805930503602</v>
      </c>
      <c r="K25" s="2">
        <f>SUMIFS(Data!$L:$L,Data!$H:$H,I$9,Data!$A:$A,$B$6,Data!$B:$B,$B$24,Data!$C:$C,$B$5,Data!$D:$D,$B$4,Data!$E:$E,$B$7,Data!$F:$F,$B$2,Data!$G:$G,$B$3)</f>
        <v>0.14267390600496299</v>
      </c>
      <c r="L25" s="2" t="b">
        <f t="shared" ref="L25:L27" si="31">MAX($F25,$J25,$N25,$R25)=J25</f>
        <v>0</v>
      </c>
      <c r="M25" s="2" t="str">
        <f t="shared" ref="M25:M27" si="32">TEXT(ROUND(N25*100,4),"0.0000") &amp; " ± " &amp; TEXT(ROUND(O25*100,2),"0.00")</f>
        <v>31.9923 ± 15.44</v>
      </c>
      <c r="N25" s="2">
        <f>SUMIFS(Data!$K:$K,Data!$H:$H,M$9,Data!$A:$A,$B$6,Data!$B:$B,$B$24,Data!$C:$C,$B$5,Data!$D:$D,$B$4,Data!$E:$E,$B$7,Data!$F:$F,$B$2,Data!$G:$G,$B$3)</f>
        <v>0.31992297108576101</v>
      </c>
      <c r="O25" s="2">
        <f>SUMIFS(Data!$L:$L,Data!$H:$H,M$9,Data!$A:$A,$B$6,Data!$B:$B,$B$24,Data!$C:$C,$B$5,Data!$D:$D,$B$4,Data!$E:$E,$B$7,Data!$F:$F,$B$2,Data!$G:$G,$B$3)</f>
        <v>0.15435910953641199</v>
      </c>
      <c r="P25" s="2" t="b">
        <f t="shared" ref="P25:P27" si="33">MAX($F25,$J25,$N25,$R25)=N25</f>
        <v>0</v>
      </c>
      <c r="Q25" s="12" t="str">
        <f t="shared" ref="Q25:Q27" si="34">TEXT(ROUND(R25*100,4),"0.0000") &amp; " ± " &amp; TEXT(ROUND(S25*100,2),"0.00")</f>
        <v>31.8988 ± 16.20</v>
      </c>
      <c r="R25" s="11">
        <f>SUMIFS(Data!$K:$K,Data!$H:$H,Q$9,Data!$A:$A,$B$6,Data!$B:$B,$B$24,Data!$C:$C,$B$5,Data!$D:$D,$B$4,Data!$E:$E,$B$7,Data!$F:$F,$B$2,Data!$G:$G,$B$3)</f>
        <v>0.318987644569039</v>
      </c>
      <c r="S25" s="2">
        <f>SUMIFS(Data!$L:$L,Data!$H:$H,Q$9,Data!$A:$A,$B$6,Data!$B:$B,$B$24,Data!$C:$C,$B$5,Data!$D:$D,$B$4,Data!$E:$E,$B$7,Data!$F:$F,$B$2,Data!$G:$G,$B$3)</f>
        <v>0.16201029800114</v>
      </c>
      <c r="T25" s="2" t="b">
        <f t="shared" ref="T25:T27" si="35">MAX($F25,$J25,$N25,$R25)=R25</f>
        <v>0</v>
      </c>
    </row>
    <row r="26" spans="2:20" ht="19.95" customHeight="1" x14ac:dyDescent="0.3">
      <c r="C26" s="38"/>
      <c r="D26" s="19" t="s">
        <v>8</v>
      </c>
      <c r="E26" s="19" t="str">
        <f t="shared" si="28"/>
        <v>34.1270 ± 20.82</v>
      </c>
      <c r="F26" s="19">
        <f>SUMIFS(Data!$M:$M,Data!$H:$H,E$9,Data!$A:$A,$B$6,Data!$B:$B,$B$24,Data!$C:$C,$B$5,Data!$D:$D,$B$4,Data!$E:$E,$B$7,Data!$F:$F,$B$2,Data!$G:$G,$B$3)</f>
        <v>0.341269841269841</v>
      </c>
      <c r="G26" s="19">
        <f>SUMIFS(Data!$N:$N,Data!$H:$H,E$9,Data!$A:$A,$B$6,Data!$B:$B,$B$24,Data!$C:$C,$B$5,Data!$D:$D,$B$4,Data!$E:$E,$B$7,Data!$F:$F,$B$2,Data!$G:$G,$B$3)</f>
        <v>0.208242786489439</v>
      </c>
      <c r="H26" s="19" t="b">
        <f t="shared" si="29"/>
        <v>1</v>
      </c>
      <c r="I26" s="19" t="str">
        <f t="shared" si="30"/>
        <v>29.8657 ± 16.29</v>
      </c>
      <c r="J26" s="19">
        <f>SUMIFS(Data!$M:$M,Data!$H:$H,I$9,Data!$A:$A,$B$6,Data!$B:$B,$B$24,Data!$C:$C,$B$5,Data!$D:$D,$B$4,Data!$E:$E,$B$7,Data!$F:$F,$B$2,Data!$G:$G,$B$3)</f>
        <v>0.29865725359911399</v>
      </c>
      <c r="K26" s="19">
        <f>SUMIFS(Data!$N:$N,Data!$H:$H,I$9,Data!$A:$A,$B$6,Data!$B:$B,$B$24,Data!$C:$C,$B$5,Data!$D:$D,$B$4,Data!$E:$E,$B$7,Data!$F:$F,$B$2,Data!$G:$G,$B$3)</f>
        <v>0.16285068951125201</v>
      </c>
      <c r="L26" s="19" t="b">
        <f t="shared" si="31"/>
        <v>0</v>
      </c>
      <c r="M26" s="19" t="str">
        <f t="shared" si="32"/>
        <v>28.7532 ± 16.80</v>
      </c>
      <c r="N26" s="19">
        <f>SUMIFS(Data!$M:$M,Data!$H:$H,M$9,Data!$A:$A,$B$6,Data!$B:$B,$B$24,Data!$C:$C,$B$5,Data!$D:$D,$B$4,Data!$E:$E,$B$7,Data!$F:$F,$B$2,Data!$G:$G,$B$3)</f>
        <v>0.28753229974160199</v>
      </c>
      <c r="O26" s="19">
        <f>SUMIFS(Data!$N:$N,Data!$H:$H,M$9,Data!$A:$A,$B$6,Data!$B:$B,$B$24,Data!$C:$C,$B$5,Data!$D:$D,$B$4,Data!$E:$E,$B$7,Data!$F:$F,$B$2,Data!$G:$G,$B$3)</f>
        <v>0.167951086510361</v>
      </c>
      <c r="P26" s="19" t="b">
        <f t="shared" si="33"/>
        <v>0</v>
      </c>
      <c r="Q26" s="25" t="str">
        <f t="shared" si="34"/>
        <v>30.5468 ± 18.23</v>
      </c>
      <c r="R26" s="11">
        <f>SUMIFS(Data!$M:$M,Data!$H:$H,Q$9,Data!$A:$A,$B$6,Data!$B:$B,$B$24,Data!$C:$C,$B$5,Data!$D:$D,$B$4,Data!$E:$E,$B$7,Data!$F:$F,$B$2,Data!$G:$G,$B$3)</f>
        <v>0.30546788482834902</v>
      </c>
      <c r="S26" s="2">
        <f>SUMIFS(Data!$N:$N,Data!$H:$H,Q$9,Data!$A:$A,$B$6,Data!$B:$B,$B$24,Data!$C:$C,$B$5,Data!$D:$D,$B$4,Data!$E:$E,$B$7,Data!$F:$F,$B$2,Data!$G:$G,$B$3)</f>
        <v>0.18231207975684199</v>
      </c>
      <c r="T26" s="2" t="b">
        <f t="shared" si="35"/>
        <v>0</v>
      </c>
    </row>
    <row r="27" spans="2:20" ht="19.95" customHeight="1" x14ac:dyDescent="0.3">
      <c r="C27" s="38"/>
      <c r="D27" s="2" t="s">
        <v>9</v>
      </c>
      <c r="E27" s="2" t="str">
        <f t="shared" si="28"/>
        <v>41.3068 ± 17.38</v>
      </c>
      <c r="F27" s="2">
        <f>SUMIFS(Data!$O:$O,Data!$H:$H,E$9,Data!$A:$A,$B$6,Data!$B:$B,$B$24,Data!$C:$C,$B$5,Data!$D:$D,$B$4,Data!$E:$E,$B$7,Data!$F:$F,$B$2,Data!$G:$G,$B$3)</f>
        <v>0.41306755260243599</v>
      </c>
      <c r="G27" s="2">
        <f>SUMIFS(Data!$P:$P,Data!$H:$H,E$9,Data!$A:$A,$B$6,Data!$B:$B,$B$24,Data!$C:$C,$B$5,Data!$D:$D,$B$4,Data!$E:$E,$B$7,Data!$F:$F,$B$2,Data!$G:$G,$B$3)</f>
        <v>0.17384734800821</v>
      </c>
      <c r="H27" s="2" t="b">
        <f t="shared" si="29"/>
        <v>1</v>
      </c>
      <c r="I27" s="2" t="str">
        <f t="shared" si="30"/>
        <v>39.5109 ± 12.04</v>
      </c>
      <c r="J27" s="2">
        <f>SUMIFS(Data!$O:$O,Data!$H:$H,I$9,Data!$A:$A,$B$6,Data!$B:$B,$B$24,Data!$C:$C,$B$5,Data!$D:$D,$B$4,Data!$E:$E,$B$7,Data!$F:$F,$B$2,Data!$G:$G,$B$3)</f>
        <v>0.39510889627168599</v>
      </c>
      <c r="K27" s="2">
        <f>SUMIFS(Data!$P:$P,Data!$H:$H,I$9,Data!$A:$A,$B$6,Data!$B:$B,$B$24,Data!$C:$C,$B$5,Data!$D:$D,$B$4,Data!$E:$E,$B$7,Data!$F:$F,$B$2,Data!$G:$G,$B$3)</f>
        <v>0.12038232114925899</v>
      </c>
      <c r="L27" s="2" t="b">
        <f t="shared" si="31"/>
        <v>0</v>
      </c>
      <c r="M27" s="2" t="str">
        <f t="shared" si="32"/>
        <v>37.5932 ± 13.68</v>
      </c>
      <c r="N27" s="2">
        <f>SUMIFS(Data!$O:$O,Data!$H:$H,M$9,Data!$A:$A,$B$6,Data!$B:$B,$B$24,Data!$C:$C,$B$5,Data!$D:$D,$B$4,Data!$E:$E,$B$7,Data!$F:$F,$B$2,Data!$G:$G,$B$3)</f>
        <v>0.37593207825765901</v>
      </c>
      <c r="O27" s="2">
        <f>SUMIFS(Data!$P:$P,Data!$H:$H,M$9,Data!$A:$A,$B$6,Data!$B:$B,$B$24,Data!$C:$C,$B$5,Data!$D:$D,$B$4,Data!$E:$E,$B$7,Data!$F:$F,$B$2,Data!$G:$G,$B$3)</f>
        <v>0.136755349472092</v>
      </c>
      <c r="P27" s="2" t="b">
        <f t="shared" si="33"/>
        <v>0</v>
      </c>
      <c r="Q27" s="12" t="str">
        <f t="shared" si="34"/>
        <v>35.4208 ± 15.11</v>
      </c>
      <c r="R27" s="11">
        <f>SUMIFS(Data!$O:$O,Data!$H:$H,Q$9,Data!$A:$A,$B$6,Data!$B:$B,$B$24,Data!$C:$C,$B$5,Data!$D:$D,$B$4,Data!$E:$E,$B$7,Data!$F:$F,$B$2,Data!$G:$G,$B$3)</f>
        <v>0.35420819490586902</v>
      </c>
      <c r="S27" s="2">
        <f>SUMIFS(Data!$P:$P,Data!$H:$H,Q$9,Data!$A:$A,$B$6,Data!$B:$B,$B$24,Data!$C:$C,$B$5,Data!$D:$D,$B$4,Data!$E:$E,$B$7,Data!$F:$F,$B$2,Data!$G:$G,$B$3)</f>
        <v>0.15113234823861901</v>
      </c>
      <c r="T27" s="2" t="b">
        <f t="shared" si="35"/>
        <v>0</v>
      </c>
    </row>
    <row r="28" spans="2:20" ht="19.95" hidden="1" customHeight="1" x14ac:dyDescent="0.3">
      <c r="C28" s="38"/>
      <c r="D28" s="19" t="s">
        <v>26</v>
      </c>
      <c r="E28" s="19" t="str">
        <f>TEXT(ROUND(F28,4),"0.0000") &amp; " ± " &amp; TEXT(ROUND(G28*100,2),"0.00")</f>
        <v>0.6578 ± 16.17</v>
      </c>
      <c r="F28" s="19">
        <f>SUMIFS(Data!$I:$I,Data!$H:$H,E$9,Data!$A:$A,$B$6,Data!$B:$B,$B$24,Data!$C:$C,$B$5,Data!$D:$D,$B$4,Data!$E:$E,$B$7,Data!$F:$F,$B$2,Data!$G:$G,$B$3)</f>
        <v>0.65780730897009898</v>
      </c>
      <c r="G28" s="19">
        <f>SUMIFS(Data!$J:$J,Data!$H:$H,E$9,Data!$A:$A,$B$6,Data!$B:$B,$B$24,Data!$C:$C,$B$5,Data!$D:$D,$B$4,Data!$E:$E,$B$7,Data!$F:$F,$B$2,Data!$G:$G,$B$3)</f>
        <v>0.16170010645291</v>
      </c>
      <c r="H28" s="19" t="b">
        <f>MAX($F28,$J28,$N28,$R28)=F28</f>
        <v>0</v>
      </c>
      <c r="I28" s="19" t="str">
        <f>TEXT(ROUND(J28,4),"0.0000") &amp; " ± " &amp; TEXT(ROUND(K28*100,2),"0.00")</f>
        <v>0.6694 ± 14.20</v>
      </c>
      <c r="J28" s="19">
        <f>SUMIFS(Data!$I:$I,Data!$H:$H,I$9,Data!$A:$A,$B$6,Data!$B:$B,$B$24,Data!$C:$C,$B$5,Data!$D:$D,$B$4,Data!$E:$E,$B$7,Data!$F:$F,$B$2,Data!$G:$G,$B$3)</f>
        <v>0.66943521594684396</v>
      </c>
      <c r="K28" s="19">
        <f>SUMIFS(Data!$J:$J,Data!$H:$H,I$9,Data!$A:$A,$B$6,Data!$B:$B,$B$24,Data!$C:$C,$B$5,Data!$D:$D,$B$4,Data!$E:$E,$B$7,Data!$F:$F,$B$2,Data!$G:$G,$B$3)</f>
        <v>0.14199135970253199</v>
      </c>
      <c r="L28" s="19" t="b">
        <f>MAX($F28,$J28,$N28,$R28)=J28</f>
        <v>1</v>
      </c>
      <c r="M28" s="19" t="str">
        <f>TEXT(ROUND(N28,4),"0.0000") &amp; " ± " &amp; TEXT(ROUND(O28*100,2),"0.00")</f>
        <v>0.6404 ± 15.52</v>
      </c>
      <c r="N28" s="19">
        <f>SUMIFS(Data!$I:$I,Data!$H:$H,M$9,Data!$A:$A,$B$6,Data!$B:$B,$B$24,Data!$C:$C,$B$5,Data!$D:$D,$B$4,Data!$E:$E,$B$7,Data!$F:$F,$B$2,Data!$G:$G,$B$3)</f>
        <v>0.640365448504983</v>
      </c>
      <c r="O28" s="19">
        <f>SUMIFS(Data!$J:$J,Data!$H:$H,M$9,Data!$A:$A,$B$6,Data!$B:$B,$B$24,Data!$C:$C,$B$5,Data!$D:$D,$B$4,Data!$E:$E,$B$7,Data!$F:$F,$B$2,Data!$G:$G,$B$3)</f>
        <v>0.15517786632376701</v>
      </c>
      <c r="P28" s="19" t="b">
        <f>MAX($F28,$J28,$N28,$R28)=N28</f>
        <v>0</v>
      </c>
      <c r="Q28" s="25" t="str">
        <f>TEXT(ROUND(R28,4),"0.0000") &amp; " ± " &amp; TEXT(ROUND(S28*100,2),"0.00")</f>
        <v>0.5934 ± 16.18</v>
      </c>
      <c r="R28" s="11">
        <f>SUMIFS(Data!$I:$I,Data!$H:$H,Q$9,Data!$A:$A,$B$6,Data!$B:$B,$B$24,Data!$C:$C,$B$5,Data!$D:$D,$B$4,Data!$E:$E,$B$7,Data!$F:$F,$B$2,Data!$G:$G,$B$3)</f>
        <v>0.59343853820598003</v>
      </c>
      <c r="S28" s="2">
        <f>SUMIFS(Data!$J:$J,Data!$H:$H,Q$9,Data!$A:$A,$B$6,Data!$B:$B,$B$24,Data!$C:$C,$B$5,Data!$D:$D,$B$4,Data!$E:$E,$B$7,Data!$F:$F,$B$2,Data!$G:$G,$B$3)</f>
        <v>0.161833368911249</v>
      </c>
      <c r="T28" s="2" t="b">
        <f>MAX($F28,$J28,$N28,$R28)=R28</f>
        <v>0</v>
      </c>
    </row>
    <row r="29" spans="2:20" ht="19.95" hidden="1" customHeight="1" x14ac:dyDescent="0.3">
      <c r="C29" s="38"/>
      <c r="D29" s="2" t="s">
        <v>27</v>
      </c>
      <c r="E29" s="2" t="str">
        <f t="shared" ref="E29:E30" si="36">TEXT(ROUND(F29,4),"0.0000") &amp; " ± " &amp; TEXT(ROUND(G29*100,2),"0.00")</f>
        <v>0.3640 ± 19.14</v>
      </c>
      <c r="F29" s="2">
        <f>SUMIFS(Data!$K:$K,Data!$H:$H,E$9,Data!$A:$A,$B$6,Data!$B:$B,$B$24,Data!$C:$C,$B$5,Data!$D:$D,$B$4,Data!$E:$E,$B$7,Data!$F:$F,$B$2,Data!$G:$G,$B$3)</f>
        <v>0.36399672678742401</v>
      </c>
      <c r="G29" s="2">
        <f>SUMIFS(Data!$L:$L,Data!$H:$H,E$9,Data!$A:$A,$B$6,Data!$B:$B,$B$24,Data!$C:$C,$B$5,Data!$D:$D,$B$4,Data!$E:$E,$B$7,Data!$F:$F,$B$2,Data!$G:$G,$B$3)</f>
        <v>0.191355664540583</v>
      </c>
      <c r="H29" s="2" t="b">
        <f t="shared" ref="H29:H30" si="37">MAX($F29,$J29,$N29,$R29)=F29</f>
        <v>1</v>
      </c>
      <c r="I29" s="2" t="str">
        <f t="shared" ref="I29:I30" si="38">TEXT(ROUND(J29,4),"0.0000") &amp; " ± " &amp; TEXT(ROUND(K29*100,2),"0.00")</f>
        <v>0.3314 ± 14.27</v>
      </c>
      <c r="J29" s="2">
        <f>SUMIFS(Data!$K:$K,Data!$H:$H,I$9,Data!$A:$A,$B$6,Data!$B:$B,$B$24,Data!$C:$C,$B$5,Data!$D:$D,$B$4,Data!$E:$E,$B$7,Data!$F:$F,$B$2,Data!$G:$G,$B$3)</f>
        <v>0.33139805930503602</v>
      </c>
      <c r="K29" s="2">
        <f>SUMIFS(Data!$L:$L,Data!$H:$H,I$9,Data!$A:$A,$B$6,Data!$B:$B,$B$24,Data!$C:$C,$B$5,Data!$D:$D,$B$4,Data!$E:$E,$B$7,Data!$F:$F,$B$2,Data!$G:$G,$B$3)</f>
        <v>0.14267390600496299</v>
      </c>
      <c r="L29" s="2" t="b">
        <f t="shared" ref="L29:L30" si="39">MAX($F29,$J29,$N29,$R29)=J29</f>
        <v>0</v>
      </c>
      <c r="M29" s="2" t="str">
        <f t="shared" ref="M29:M30" si="40">TEXT(ROUND(N29,4),"0.0000") &amp; " ± " &amp; TEXT(ROUND(O29*100,2),"0.00")</f>
        <v>0.3199 ± 15.44</v>
      </c>
      <c r="N29" s="2">
        <f>SUMIFS(Data!$K:$K,Data!$H:$H,M$9,Data!$A:$A,$B$6,Data!$B:$B,$B$24,Data!$C:$C,$B$5,Data!$D:$D,$B$4,Data!$E:$E,$B$7,Data!$F:$F,$B$2,Data!$G:$G,$B$3)</f>
        <v>0.31992297108576101</v>
      </c>
      <c r="O29" s="2">
        <f>SUMIFS(Data!$L:$L,Data!$H:$H,M$9,Data!$A:$A,$B$6,Data!$B:$B,$B$24,Data!$C:$C,$B$5,Data!$D:$D,$B$4,Data!$E:$E,$B$7,Data!$F:$F,$B$2,Data!$G:$G,$B$3)</f>
        <v>0.15435910953641199</v>
      </c>
      <c r="P29" s="2" t="b">
        <f t="shared" ref="P29:P30" si="41">MAX($F29,$J29,$N29,$R29)=N29</f>
        <v>0</v>
      </c>
      <c r="Q29" s="12" t="str">
        <f t="shared" ref="Q29:Q30" si="42">TEXT(ROUND(R29,4),"0.0000") &amp; " ± " &amp; TEXT(ROUND(S29*100,2),"0.00")</f>
        <v>0.3190 ± 16.20</v>
      </c>
      <c r="R29" s="11">
        <f>SUMIFS(Data!$K:$K,Data!$H:$H,Q$9,Data!$A:$A,$B$6,Data!$B:$B,$B$24,Data!$C:$C,$B$5,Data!$D:$D,$B$4,Data!$E:$E,$B$7,Data!$F:$F,$B$2,Data!$G:$G,$B$3)</f>
        <v>0.318987644569039</v>
      </c>
      <c r="S29" s="2">
        <f>SUMIFS(Data!$L:$L,Data!$H:$H,Q$9,Data!$A:$A,$B$6,Data!$B:$B,$B$24,Data!$C:$C,$B$5,Data!$D:$D,$B$4,Data!$E:$E,$B$7,Data!$F:$F,$B$2,Data!$G:$G,$B$3)</f>
        <v>0.16201029800114</v>
      </c>
      <c r="T29" s="2" t="b">
        <f t="shared" ref="T29:T30" si="43">MAX($F29,$J29,$N29,$R29)=R29</f>
        <v>0</v>
      </c>
    </row>
    <row r="30" spans="2:20" ht="19.95" hidden="1" customHeight="1" thickBot="1" x14ac:dyDescent="0.35">
      <c r="C30" s="39"/>
      <c r="D30" s="26" t="s">
        <v>28</v>
      </c>
      <c r="E30" s="26" t="str">
        <f t="shared" si="36"/>
        <v>0.3413 ± 20.82</v>
      </c>
      <c r="F30" s="26">
        <f>SUMIFS(Data!$M:$M,Data!$H:$H,E$9,Data!$A:$A,$B$6,Data!$B:$B,$B$24,Data!$C:$C,$B$5,Data!$D:$D,$B$4,Data!$E:$E,$B$7,Data!$F:$F,$B$2,Data!$G:$G,$B$3)</f>
        <v>0.341269841269841</v>
      </c>
      <c r="G30" s="26">
        <f>SUMIFS(Data!$N:$N,Data!$H:$H,E$9,Data!$A:$A,$B$6,Data!$B:$B,$B$24,Data!$C:$C,$B$5,Data!$D:$D,$B$4,Data!$E:$E,$B$7,Data!$F:$F,$B$2,Data!$G:$G,$B$3)</f>
        <v>0.208242786489439</v>
      </c>
      <c r="H30" s="26" t="b">
        <f t="shared" si="37"/>
        <v>1</v>
      </c>
      <c r="I30" s="26" t="str">
        <f t="shared" si="38"/>
        <v>0.2987 ± 16.29</v>
      </c>
      <c r="J30" s="26">
        <f>SUMIFS(Data!$M:$M,Data!$H:$H,I$9,Data!$A:$A,$B$6,Data!$B:$B,$B$24,Data!$C:$C,$B$5,Data!$D:$D,$B$4,Data!$E:$E,$B$7,Data!$F:$F,$B$2,Data!$G:$G,$B$3)</f>
        <v>0.29865725359911399</v>
      </c>
      <c r="K30" s="26">
        <f>SUMIFS(Data!$N:$N,Data!$H:$H,I$9,Data!$A:$A,$B$6,Data!$B:$B,$B$24,Data!$C:$C,$B$5,Data!$D:$D,$B$4,Data!$E:$E,$B$7,Data!$F:$F,$B$2,Data!$G:$G,$B$3)</f>
        <v>0.16285068951125201</v>
      </c>
      <c r="L30" s="26" t="b">
        <f t="shared" si="39"/>
        <v>0</v>
      </c>
      <c r="M30" s="26" t="str">
        <f t="shared" si="40"/>
        <v>0.2875 ± 16.80</v>
      </c>
      <c r="N30" s="26">
        <f>SUMIFS(Data!$M:$M,Data!$H:$H,M$9,Data!$A:$A,$B$6,Data!$B:$B,$B$24,Data!$C:$C,$B$5,Data!$D:$D,$B$4,Data!$E:$E,$B$7,Data!$F:$F,$B$2,Data!$G:$G,$B$3)</f>
        <v>0.28753229974160199</v>
      </c>
      <c r="O30" s="26">
        <f>SUMIFS(Data!$N:$N,Data!$H:$H,M$9,Data!$A:$A,$B$6,Data!$B:$B,$B$24,Data!$C:$C,$B$5,Data!$D:$D,$B$4,Data!$E:$E,$B$7,Data!$F:$F,$B$2,Data!$G:$G,$B$3)</f>
        <v>0.167951086510361</v>
      </c>
      <c r="P30" s="26" t="b">
        <f t="shared" si="41"/>
        <v>0</v>
      </c>
      <c r="Q30" s="27" t="str">
        <f t="shared" si="42"/>
        <v>0.3055 ± 18.23</v>
      </c>
      <c r="R30" s="11">
        <f>SUMIFS(Data!$M:$M,Data!$H:$H,Q$9,Data!$A:$A,$B$6,Data!$B:$B,$B$24,Data!$C:$C,$B$5,Data!$D:$D,$B$4,Data!$E:$E,$B$7,Data!$F:$F,$B$2,Data!$G:$G,$B$3)</f>
        <v>0.30546788482834902</v>
      </c>
      <c r="S30" s="2">
        <f>SUMIFS(Data!$N:$N,Data!$H:$H,Q$9,Data!$A:$A,$B$6,Data!$B:$B,$B$24,Data!$C:$C,$B$5,Data!$D:$D,$B$4,Data!$E:$E,$B$7,Data!$F:$F,$B$2,Data!$G:$G,$B$3)</f>
        <v>0.18231207975684199</v>
      </c>
      <c r="T30" s="2" t="b">
        <f t="shared" si="43"/>
        <v>0</v>
      </c>
    </row>
  </sheetData>
  <mergeCells count="3">
    <mergeCell ref="C17:C23"/>
    <mergeCell ref="C24:C30"/>
    <mergeCell ref="C10:C16"/>
  </mergeCells>
  <conditionalFormatting sqref="Q10:Q30">
    <cfRule type="expression" dxfId="3" priority="12">
      <formula>$T10=TRUE</formula>
    </cfRule>
  </conditionalFormatting>
  <conditionalFormatting sqref="M10:M30">
    <cfRule type="expression" dxfId="2" priority="11">
      <formula>$P10=TRUE</formula>
    </cfRule>
  </conditionalFormatting>
  <conditionalFormatting sqref="I10:I30">
    <cfRule type="expression" dxfId="1" priority="9">
      <formula>$L10=TRUE</formula>
    </cfRule>
  </conditionalFormatting>
  <conditionalFormatting sqref="E10:E30">
    <cfRule type="expression" dxfId="0" priority="10">
      <formula>$H10=TRUE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3</xdr:col>
                    <xdr:colOff>15240</xdr:colOff>
                    <xdr:row>1</xdr:row>
                    <xdr:rowOff>38100</xdr:rowOff>
                  </from>
                  <to>
                    <xdr:col>3</xdr:col>
                    <xdr:colOff>1158240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15240</xdr:colOff>
                    <xdr:row>2</xdr:row>
                    <xdr:rowOff>22860</xdr:rowOff>
                  </from>
                  <to>
                    <xdr:col>3</xdr:col>
                    <xdr:colOff>1158240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 macro="[0]!Sheet3.DropDown4_Change">
                <anchor moveWithCells="1">
                  <from>
                    <xdr:col>3</xdr:col>
                    <xdr:colOff>15240</xdr:colOff>
                    <xdr:row>3</xdr:row>
                    <xdr:rowOff>22860</xdr:rowOff>
                  </from>
                  <to>
                    <xdr:col>3</xdr:col>
                    <xdr:colOff>1158240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3</xdr:col>
                    <xdr:colOff>15240</xdr:colOff>
                    <xdr:row>4</xdr:row>
                    <xdr:rowOff>30480</xdr:rowOff>
                  </from>
                  <to>
                    <xdr:col>3</xdr:col>
                    <xdr:colOff>1158240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>
                <anchor moveWithCells="1">
                  <from>
                    <xdr:col>3</xdr:col>
                    <xdr:colOff>15240</xdr:colOff>
                    <xdr:row>5</xdr:row>
                    <xdr:rowOff>38100</xdr:rowOff>
                  </from>
                  <to>
                    <xdr:col>3</xdr:col>
                    <xdr:colOff>1158240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defaultSize="0" autoLine="0" autoPict="0">
                <anchor moveWithCells="1">
                  <from>
                    <xdr:col>3</xdr:col>
                    <xdr:colOff>15240</xdr:colOff>
                    <xdr:row>6</xdr:row>
                    <xdr:rowOff>45720</xdr:rowOff>
                  </from>
                  <to>
                    <xdr:col>3</xdr:col>
                    <xdr:colOff>1158240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heet1.ImportSimulationResults">
                <anchor>
                  <from>
                    <xdr:col>4</xdr:col>
                    <xdr:colOff>685800</xdr:colOff>
                    <xdr:row>1</xdr:row>
                    <xdr:rowOff>7620</xdr:rowOff>
                  </from>
                  <to>
                    <xdr:col>8</xdr:col>
                    <xdr:colOff>320040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</vt:lpstr>
      <vt:lpstr>Comparison</vt:lpstr>
      <vt:lpstr>ClassMode</vt:lpstr>
      <vt:lpstr>FastMode</vt:lpstr>
      <vt:lpstr>FilterMode</vt:lpstr>
      <vt:lpstr>LabelMode</vt:lpstr>
      <vt:lpstr>NormalMode</vt:lpstr>
      <vt:lpstr>RunMode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Hanifi</dc:creator>
  <cp:lastModifiedBy>Nikoo Amjadi</cp:lastModifiedBy>
  <dcterms:created xsi:type="dcterms:W3CDTF">2026-06-07T13:23:22Z</dcterms:created>
  <dcterms:modified xsi:type="dcterms:W3CDTF">2026-07-08T18:06:43Z</dcterms:modified>
</cp:coreProperties>
</file>