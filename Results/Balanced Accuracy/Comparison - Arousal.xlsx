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o\Desktop\Thesis\Source\"/>
    </mc:Choice>
  </mc:AlternateContent>
  <xr:revisionPtr revIDLastSave="0" documentId="13_ncr:1_{B7D28A4C-C36D-4137-94B8-D0B40434501C}" xr6:coauthVersionLast="47" xr6:coauthVersionMax="47" xr10:uidLastSave="{00000000-0000-0000-0000-000000000000}"/>
  <bookViews>
    <workbookView xWindow="-108" yWindow="-108" windowWidth="23256" windowHeight="12456" activeTab="1" xr2:uid="{8D592C9F-CC51-43DD-B2E3-0BF015735963}"/>
  </bookViews>
  <sheets>
    <sheet name="Sheet1" sheetId="1" r:id="rId1"/>
    <sheet name="Sheet2" sheetId="2" r:id="rId2"/>
  </sheets>
  <definedNames>
    <definedName name="_xlnm._FilterDatabase" localSheetId="0" hidden="1">Sheet1!$A$1:$K$25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E4" i="2"/>
  <c r="F4" i="2"/>
  <c r="G4" i="2"/>
  <c r="H4" i="2"/>
  <c r="I4" i="2"/>
  <c r="J4" i="2"/>
  <c r="K4" i="2"/>
  <c r="L4" i="2"/>
  <c r="M4" i="2"/>
  <c r="N4" i="2"/>
  <c r="O4" i="2"/>
  <c r="D5" i="2"/>
  <c r="E5" i="2"/>
  <c r="F5" i="2"/>
  <c r="G5" i="2"/>
  <c r="H5" i="2"/>
  <c r="I5" i="2"/>
  <c r="J5" i="2"/>
  <c r="K5" i="2"/>
  <c r="L5" i="2"/>
  <c r="M5" i="2"/>
  <c r="N5" i="2"/>
  <c r="O5" i="2"/>
  <c r="D6" i="2"/>
  <c r="E6" i="2"/>
  <c r="F6" i="2"/>
  <c r="G6" i="2"/>
  <c r="H6" i="2"/>
  <c r="I6" i="2"/>
  <c r="J6" i="2"/>
  <c r="K6" i="2"/>
  <c r="L6" i="2"/>
  <c r="M6" i="2"/>
  <c r="N6" i="2"/>
  <c r="O6" i="2"/>
  <c r="D7" i="2"/>
  <c r="E7" i="2"/>
  <c r="F7" i="2"/>
  <c r="G7" i="2"/>
  <c r="H7" i="2"/>
  <c r="I7" i="2"/>
  <c r="J7" i="2"/>
  <c r="K7" i="2"/>
  <c r="L7" i="2"/>
  <c r="M7" i="2"/>
  <c r="N7" i="2"/>
  <c r="O7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D11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</calcChain>
</file>

<file path=xl/sharedStrings.xml><?xml version="1.0" encoding="utf-8"?>
<sst xmlns="http://schemas.openxmlformats.org/spreadsheetml/2006/main" count="149" uniqueCount="32">
  <si>
    <t>Model</t>
  </si>
  <si>
    <t>Acc_mean</t>
  </si>
  <si>
    <t>Acc_std</t>
  </si>
  <si>
    <t>F1_mean</t>
  </si>
  <si>
    <t>F1_std</t>
  </si>
  <si>
    <t>Prec_mean</t>
  </si>
  <si>
    <t>Prec_std</t>
  </si>
  <si>
    <t>Rec_mean</t>
  </si>
  <si>
    <t>Rec_std</t>
  </si>
  <si>
    <t>Run Type</t>
  </si>
  <si>
    <t>Data Type</t>
  </si>
  <si>
    <t>SVM</t>
  </si>
  <si>
    <t>XGBoost</t>
  </si>
  <si>
    <t>Random Forest</t>
  </si>
  <si>
    <t>KNN</t>
  </si>
  <si>
    <t>Raw</t>
  </si>
  <si>
    <t>Agg</t>
  </si>
  <si>
    <t>Win</t>
  </si>
  <si>
    <t>Raw + VG</t>
  </si>
  <si>
    <t>VG</t>
  </si>
  <si>
    <t>Model Name</t>
  </si>
  <si>
    <t>Accuracy (±std)</t>
  </si>
  <si>
    <t>F1 Score (±std)</t>
  </si>
  <si>
    <t>Precision (±std)</t>
  </si>
  <si>
    <t>Recall (±std)</t>
  </si>
  <si>
    <t>Input Mode</t>
  </si>
  <si>
    <t>Raw Features</t>
  </si>
  <si>
    <t>Visibility Graph Features</t>
  </si>
  <si>
    <t>Raw + Visibility Graph Features</t>
  </si>
  <si>
    <t>Run Mode</t>
  </si>
  <si>
    <t>Windowed</t>
  </si>
  <si>
    <t>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</si>
</sst>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2" borderId="2" xfId="0" applyFill="1" applyBorder="1" applyAlignment="1">
      <alignment horizontal="center" vertical="center"/>
    </xf>
    <xf numFmtId="0" fontId="0" fillId="2" borderId="4" xfId="0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/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7" xfId="0" applyFill="1" applyBorder="1"/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0A1F-9449-4A91-8C37-2E569624DE33}">
  <dimension ref="A1:K25"/>
  <sheetViews>
    <sheetView workbookViewId="0">
      <selection activeCell="C22" sqref="C22:K25"/>
    </sheetView>
  </sheetViews>
  <sheetFormatPr defaultRowHeight="14.4" x14ac:dyDescent="0.3"/>
  <cols>
    <col min="1" max="1" width="8.88671875" bestFit="1" customWidth="1"/>
    <col min="2" max="2" width="9.5546875" bestFit="1" customWidth="1"/>
    <col min="3" max="3" width="14.44140625" bestFit="1" customWidth="1"/>
    <col min="4" max="6" width="12" bestFit="1" customWidth="1"/>
    <col min="7" max="7" width="12" customWidth="1"/>
    <col min="8" max="11" width="12" bestFit="1" customWidth="1"/>
  </cols>
  <sheetData>
    <row r="1" spans="1:11" x14ac:dyDescent="0.3">
      <c r="A1" s="2" t="s">
        <v>9</v>
      </c>
      <c r="B1" s="2" t="s">
        <v>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16</v>
      </c>
      <c r="B2" s="2" t="s">
        <v>15</v>
      </c>
      <c r="C2" t="s">
        <v>12</v>
      </c>
      <c r="D2">
        <v>0.58179217423403395</v>
      </c>
      <c r="E2">
        <v>0.19825034349200299</v>
      </c>
      <c r="F2">
        <v>0.315987759011014</v>
      </c>
      <c r="G2">
        <v>0.29705813199457198</v>
      </c>
      <c r="H2">
        <v>0.41345514950166101</v>
      </c>
      <c r="I2">
        <v>0.40477033530433598</v>
      </c>
      <c r="J2">
        <v>0.35326688815060903</v>
      </c>
      <c r="K2">
        <v>0.37063176709575701</v>
      </c>
    </row>
    <row r="3" spans="1:11" x14ac:dyDescent="0.3">
      <c r="A3" s="2" t="s">
        <v>16</v>
      </c>
      <c r="B3" s="2" t="s">
        <v>15</v>
      </c>
      <c r="C3" t="s">
        <v>13</v>
      </c>
      <c r="D3">
        <v>0.58480066445182699</v>
      </c>
      <c r="E3">
        <v>0.23329011445622899</v>
      </c>
      <c r="F3">
        <v>0.28344407530454002</v>
      </c>
      <c r="G3">
        <v>0.29875849708199498</v>
      </c>
      <c r="H3">
        <v>0.40271317829457298</v>
      </c>
      <c r="I3">
        <v>0.433540949556799</v>
      </c>
      <c r="J3">
        <v>0.27959579180509397</v>
      </c>
      <c r="K3">
        <v>0.332664510690106</v>
      </c>
    </row>
    <row r="4" spans="1:11" x14ac:dyDescent="0.3">
      <c r="A4" s="2" t="s">
        <v>16</v>
      </c>
      <c r="B4" s="2" t="s">
        <v>15</v>
      </c>
      <c r="C4" t="s">
        <v>14</v>
      </c>
      <c r="D4">
        <v>0.58143226282761096</v>
      </c>
      <c r="E4">
        <v>0.21387296628095701</v>
      </c>
      <c r="F4">
        <v>0.17906976744186001</v>
      </c>
      <c r="G4">
        <v>0.231442558272343</v>
      </c>
      <c r="H4">
        <v>0.30232558139534799</v>
      </c>
      <c r="I4">
        <v>0.40067097140932001</v>
      </c>
      <c r="J4">
        <v>0.16561461794019899</v>
      </c>
      <c r="K4">
        <v>0.25536073540239201</v>
      </c>
    </row>
    <row r="5" spans="1:11" x14ac:dyDescent="0.3">
      <c r="A5" s="2" t="s">
        <v>16</v>
      </c>
      <c r="B5" s="2" t="s">
        <v>15</v>
      </c>
      <c r="C5" t="s">
        <v>11</v>
      </c>
      <c r="D5">
        <v>0.557991878922111</v>
      </c>
      <c r="E5">
        <v>0.21608948154482999</v>
      </c>
      <c r="F5">
        <v>0.13464881371858101</v>
      </c>
      <c r="G5">
        <v>0.230773038409925</v>
      </c>
      <c r="H5">
        <v>0.241085271317829</v>
      </c>
      <c r="I5">
        <v>0.40384695397866499</v>
      </c>
      <c r="J5">
        <v>0.133803986710963</v>
      </c>
      <c r="K5">
        <v>0.26780898293945998</v>
      </c>
    </row>
    <row r="6" spans="1:11" x14ac:dyDescent="0.3">
      <c r="A6" s="2" t="s">
        <v>16</v>
      </c>
      <c r="B6" s="2" t="s">
        <v>18</v>
      </c>
      <c r="C6" t="s">
        <v>12</v>
      </c>
      <c r="D6">
        <v>0.57668881506090797</v>
      </c>
      <c r="E6">
        <v>0.16441898511569</v>
      </c>
      <c r="F6">
        <v>0.293630658746937</v>
      </c>
      <c r="G6">
        <v>0.27395147647380702</v>
      </c>
      <c r="H6">
        <v>0.430620155038759</v>
      </c>
      <c r="I6">
        <v>0.41384205741159602</v>
      </c>
      <c r="J6">
        <v>0.29858803986710902</v>
      </c>
      <c r="K6">
        <v>0.32348581384518299</v>
      </c>
    </row>
    <row r="7" spans="1:11" x14ac:dyDescent="0.3">
      <c r="A7" s="2" t="s">
        <v>16</v>
      </c>
      <c r="B7" s="2" t="s">
        <v>18</v>
      </c>
      <c r="C7" t="s">
        <v>13</v>
      </c>
      <c r="D7">
        <v>0.58877814691768104</v>
      </c>
      <c r="E7">
        <v>0.223506911271037</v>
      </c>
      <c r="F7">
        <v>0.24306520353031899</v>
      </c>
      <c r="G7">
        <v>0.295861648792964</v>
      </c>
      <c r="H7">
        <v>0.36899224806201503</v>
      </c>
      <c r="I7">
        <v>0.43629846295525299</v>
      </c>
      <c r="J7">
        <v>0.220265780730897</v>
      </c>
      <c r="K7">
        <v>0.30410436666768198</v>
      </c>
    </row>
    <row r="8" spans="1:11" x14ac:dyDescent="0.3">
      <c r="A8" s="2" t="s">
        <v>16</v>
      </c>
      <c r="B8" s="2" t="s">
        <v>18</v>
      </c>
      <c r="C8" t="s">
        <v>11</v>
      </c>
      <c r="D8">
        <v>0.58392395717977097</v>
      </c>
      <c r="E8">
        <v>0.212597346488196</v>
      </c>
      <c r="F8">
        <v>0.181155407899593</v>
      </c>
      <c r="G8">
        <v>0.236608071947846</v>
      </c>
      <c r="H8">
        <v>0.31550387596899199</v>
      </c>
      <c r="I8">
        <v>0.40877638278394601</v>
      </c>
      <c r="J8">
        <v>0.168355481727574</v>
      </c>
      <c r="K8">
        <v>0.26097845763543198</v>
      </c>
    </row>
    <row r="9" spans="1:11" x14ac:dyDescent="0.3">
      <c r="A9" s="2" t="s">
        <v>16</v>
      </c>
      <c r="B9" s="2" t="s">
        <v>18</v>
      </c>
      <c r="C9" t="s">
        <v>14</v>
      </c>
      <c r="D9">
        <v>0.566205241786637</v>
      </c>
      <c r="E9">
        <v>0.235938054931492</v>
      </c>
      <c r="F9">
        <v>0.17705795496493101</v>
      </c>
      <c r="G9">
        <v>0.223208000088915</v>
      </c>
      <c r="H9">
        <v>0.35542635658914701</v>
      </c>
      <c r="I9">
        <v>0.44542928413006999</v>
      </c>
      <c r="J9">
        <v>0.15456810631229201</v>
      </c>
      <c r="K9">
        <v>0.225980395859705</v>
      </c>
    </row>
    <row r="10" spans="1:11" x14ac:dyDescent="0.3">
      <c r="A10" s="2" t="s">
        <v>17</v>
      </c>
      <c r="B10" s="2" t="s">
        <v>18</v>
      </c>
      <c r="C10" t="s">
        <v>13</v>
      </c>
      <c r="D10">
        <v>0.62126173882786395</v>
      </c>
      <c r="E10">
        <v>0.22486412164074601</v>
      </c>
      <c r="F10">
        <v>0.16491644217651899</v>
      </c>
      <c r="G10">
        <v>0.22777011808991801</v>
      </c>
      <c r="H10">
        <v>0.26151950524655498</v>
      </c>
      <c r="I10">
        <v>0.36306776862044499</v>
      </c>
      <c r="J10">
        <v>0.21666641295574199</v>
      </c>
      <c r="K10">
        <v>0.335769133543252</v>
      </c>
    </row>
    <row r="11" spans="1:11" x14ac:dyDescent="0.3">
      <c r="A11" s="2" t="s">
        <v>17</v>
      </c>
      <c r="B11" s="2" t="s">
        <v>18</v>
      </c>
      <c r="C11" t="s">
        <v>12</v>
      </c>
      <c r="D11">
        <v>0.61295232314833004</v>
      </c>
      <c r="E11">
        <v>0.25084020454906197</v>
      </c>
      <c r="F11">
        <v>0.15690725310655501</v>
      </c>
      <c r="G11">
        <v>0.21561463977043399</v>
      </c>
      <c r="H11">
        <v>0.21244095473114599</v>
      </c>
      <c r="I11">
        <v>0.31708340638460403</v>
      </c>
      <c r="J11">
        <v>0.202504631078502</v>
      </c>
      <c r="K11">
        <v>0.308790168457032</v>
      </c>
    </row>
    <row r="12" spans="1:11" x14ac:dyDescent="0.3">
      <c r="A12" s="2" t="s">
        <v>17</v>
      </c>
      <c r="B12" s="2" t="s">
        <v>18</v>
      </c>
      <c r="C12" t="s">
        <v>14</v>
      </c>
      <c r="D12">
        <v>0.62957251619449295</v>
      </c>
      <c r="E12">
        <v>0.22218406508268801</v>
      </c>
      <c r="F12">
        <v>0.12053210539075</v>
      </c>
      <c r="G12">
        <v>0.15169010555742801</v>
      </c>
      <c r="H12">
        <v>0.21377976029138801</v>
      </c>
      <c r="I12">
        <v>0.28419160824453799</v>
      </c>
      <c r="J12">
        <v>0.13961806181008399</v>
      </c>
      <c r="K12">
        <v>0.247801300451089</v>
      </c>
    </row>
    <row r="13" spans="1:11" x14ac:dyDescent="0.3">
      <c r="A13" s="2" t="s">
        <v>17</v>
      </c>
      <c r="B13" s="2" t="s">
        <v>18</v>
      </c>
      <c r="C13" t="s">
        <v>11</v>
      </c>
      <c r="D13">
        <v>0.64887074474477202</v>
      </c>
      <c r="E13">
        <v>0.239827768735762</v>
      </c>
      <c r="F13">
        <v>0.11017090354096599</v>
      </c>
      <c r="G13">
        <v>0.15171805256356399</v>
      </c>
      <c r="H13">
        <v>0.25293466223698702</v>
      </c>
      <c r="I13">
        <v>0.364227655970775</v>
      </c>
      <c r="J13">
        <v>0.11591771481612299</v>
      </c>
      <c r="K13">
        <v>0.223570214789473</v>
      </c>
    </row>
    <row r="14" spans="1:11" x14ac:dyDescent="0.3">
      <c r="A14" s="2" t="s">
        <v>17</v>
      </c>
      <c r="B14" s="2" t="s">
        <v>15</v>
      </c>
      <c r="C14" t="s">
        <v>12</v>
      </c>
      <c r="D14">
        <v>0.62444014836872097</v>
      </c>
      <c r="E14">
        <v>0.23231752113617499</v>
      </c>
      <c r="F14">
        <v>0.16698164642937299</v>
      </c>
      <c r="G14">
        <v>0.23388375897007299</v>
      </c>
      <c r="H14">
        <v>0.20526444153758799</v>
      </c>
      <c r="I14">
        <v>0.29873931029970602</v>
      </c>
      <c r="J14">
        <v>0.200376891457062</v>
      </c>
      <c r="K14">
        <v>0.29489070379217203</v>
      </c>
    </row>
    <row r="15" spans="1:11" x14ac:dyDescent="0.3">
      <c r="A15" s="2" t="s">
        <v>17</v>
      </c>
      <c r="B15" s="2" t="s">
        <v>15</v>
      </c>
      <c r="C15" t="s">
        <v>13</v>
      </c>
      <c r="D15">
        <v>0.62024594417771095</v>
      </c>
      <c r="E15">
        <v>0.21867884881458099</v>
      </c>
      <c r="F15">
        <v>0.16205034625891601</v>
      </c>
      <c r="G15">
        <v>0.20558627084284201</v>
      </c>
      <c r="H15">
        <v>0.26056373834723601</v>
      </c>
      <c r="I15">
        <v>0.34485634071936</v>
      </c>
      <c r="J15">
        <v>0.18828386895382301</v>
      </c>
      <c r="K15">
        <v>0.28127340855673999</v>
      </c>
    </row>
    <row r="16" spans="1:11" x14ac:dyDescent="0.3">
      <c r="A16" s="2" t="s">
        <v>17</v>
      </c>
      <c r="B16" s="2" t="s">
        <v>15</v>
      </c>
      <c r="C16" t="s">
        <v>11</v>
      </c>
      <c r="D16">
        <v>0.65070979433828502</v>
      </c>
      <c r="E16">
        <v>0.21170234940938501</v>
      </c>
      <c r="F16">
        <v>0.16188975216802901</v>
      </c>
      <c r="G16">
        <v>0.21450280384525999</v>
      </c>
      <c r="H16">
        <v>0.30797509983556498</v>
      </c>
      <c r="I16">
        <v>0.37957981279063902</v>
      </c>
      <c r="J16">
        <v>0.15990997629794501</v>
      </c>
      <c r="K16">
        <v>0.26055863836096399</v>
      </c>
    </row>
    <row r="17" spans="1:11" x14ac:dyDescent="0.3">
      <c r="A17" s="2" t="s">
        <v>17</v>
      </c>
      <c r="B17" s="2" t="s">
        <v>15</v>
      </c>
      <c r="C17" t="s">
        <v>14</v>
      </c>
      <c r="D17">
        <v>0.65727093106758305</v>
      </c>
      <c r="E17">
        <v>0.21911289043579801</v>
      </c>
      <c r="F17">
        <v>0.14812494540551499</v>
      </c>
      <c r="G17">
        <v>0.174483928029735</v>
      </c>
      <c r="H17">
        <v>0.28696013289036498</v>
      </c>
      <c r="I17">
        <v>0.34606546842382102</v>
      </c>
      <c r="J17">
        <v>0.13943832162296399</v>
      </c>
      <c r="K17">
        <v>0.201907349165873</v>
      </c>
    </row>
    <row r="18" spans="1:11" x14ac:dyDescent="0.3">
      <c r="A18" s="2" t="s">
        <v>16</v>
      </c>
      <c r="B18" s="2" t="s">
        <v>19</v>
      </c>
      <c r="C18" t="s">
        <v>12</v>
      </c>
      <c r="D18">
        <v>0.60182724252491604</v>
      </c>
      <c r="E18">
        <v>0.183411961240243</v>
      </c>
      <c r="F18">
        <v>0.33905422742632002</v>
      </c>
      <c r="G18">
        <v>0.30452456011920398</v>
      </c>
      <c r="H18">
        <v>0.45813953488372</v>
      </c>
      <c r="I18">
        <v>0.42176527163139599</v>
      </c>
      <c r="J18">
        <v>0.322729789590254</v>
      </c>
      <c r="K18">
        <v>0.316917694775668</v>
      </c>
    </row>
    <row r="19" spans="1:11" x14ac:dyDescent="0.3">
      <c r="A19" s="2" t="s">
        <v>16</v>
      </c>
      <c r="B19" s="2" t="s">
        <v>19</v>
      </c>
      <c r="C19" t="s">
        <v>11</v>
      </c>
      <c r="D19">
        <v>0.58142303433001097</v>
      </c>
      <c r="E19">
        <v>0.20518640942559499</v>
      </c>
      <c r="F19">
        <v>0.286019665089432</v>
      </c>
      <c r="G19">
        <v>0.26719405119941297</v>
      </c>
      <c r="H19">
        <v>0.42093023255813899</v>
      </c>
      <c r="I19">
        <v>0.417372936663506</v>
      </c>
      <c r="J19">
        <v>0.31337209302325503</v>
      </c>
      <c r="K19">
        <v>0.34784243542968102</v>
      </c>
    </row>
    <row r="20" spans="1:11" x14ac:dyDescent="0.3">
      <c r="A20" s="2" t="s">
        <v>16</v>
      </c>
      <c r="B20" s="2" t="s">
        <v>19</v>
      </c>
      <c r="C20" t="s">
        <v>13</v>
      </c>
      <c r="D20">
        <v>0.59012550756736804</v>
      </c>
      <c r="E20">
        <v>0.223766276745337</v>
      </c>
      <c r="F20">
        <v>0.22674250813785601</v>
      </c>
      <c r="G20">
        <v>0.25987873506500098</v>
      </c>
      <c r="H20">
        <v>0.35542635658914701</v>
      </c>
      <c r="I20">
        <v>0.42005169071344201</v>
      </c>
      <c r="J20">
        <v>0.193217054263565</v>
      </c>
      <c r="K20">
        <v>0.23778267619218599</v>
      </c>
    </row>
    <row r="21" spans="1:11" x14ac:dyDescent="0.3">
      <c r="A21" s="2" t="s">
        <v>16</v>
      </c>
      <c r="B21" s="2" t="s">
        <v>19</v>
      </c>
      <c r="C21" t="s">
        <v>14</v>
      </c>
      <c r="D21">
        <v>0.58261351052048704</v>
      </c>
      <c r="E21">
        <v>0.23701399094083</v>
      </c>
      <c r="F21">
        <v>0.178386858619416</v>
      </c>
      <c r="G21">
        <v>0.22069591570726399</v>
      </c>
      <c r="H21">
        <v>0.31395348837209303</v>
      </c>
      <c r="I21">
        <v>0.40059597450245599</v>
      </c>
      <c r="J21">
        <v>0.16738648947951201</v>
      </c>
      <c r="K21">
        <v>0.25316396061007501</v>
      </c>
    </row>
    <row r="22" spans="1:11" x14ac:dyDescent="0.3">
      <c r="A22" s="2" t="s">
        <v>17</v>
      </c>
      <c r="B22" s="2" t="s">
        <v>19</v>
      </c>
      <c r="C22" t="s">
        <v>12</v>
      </c>
      <c r="D22">
        <v>0.62668136970889199</v>
      </c>
      <c r="E22">
        <v>0.17074990585637201</v>
      </c>
      <c r="F22">
        <v>0.255326639656341</v>
      </c>
      <c r="G22">
        <v>0.242505084969901</v>
      </c>
      <c r="H22">
        <v>0.37783297214141698</v>
      </c>
      <c r="I22">
        <v>0.37802003490278802</v>
      </c>
      <c r="J22">
        <v>0.26479332078097201</v>
      </c>
      <c r="K22">
        <v>0.28692729677768702</v>
      </c>
    </row>
    <row r="23" spans="1:11" x14ac:dyDescent="0.3">
      <c r="A23" s="2" t="s">
        <v>17</v>
      </c>
      <c r="B23" s="2" t="s">
        <v>19</v>
      </c>
      <c r="C23" t="s">
        <v>13</v>
      </c>
      <c r="D23">
        <v>0.62656858437937801</v>
      </c>
      <c r="E23">
        <v>0.19594537593548</v>
      </c>
      <c r="F23">
        <v>0.22802900603902601</v>
      </c>
      <c r="G23">
        <v>0.23753281315185601</v>
      </c>
      <c r="H23">
        <v>0.32261473256865297</v>
      </c>
      <c r="I23">
        <v>0.36526348781983198</v>
      </c>
      <c r="J23">
        <v>0.25323732977901697</v>
      </c>
      <c r="K23">
        <v>0.300237873583308</v>
      </c>
    </row>
    <row r="24" spans="1:11" x14ac:dyDescent="0.3">
      <c r="A24" s="2" t="s">
        <v>17</v>
      </c>
      <c r="B24" s="2" t="s">
        <v>19</v>
      </c>
      <c r="C24" t="s">
        <v>14</v>
      </c>
      <c r="D24">
        <v>0.65105266937994799</v>
      </c>
      <c r="E24">
        <v>0.212460990145036</v>
      </c>
      <c r="F24">
        <v>0.14016395750996799</v>
      </c>
      <c r="G24">
        <v>0.16889627409338001</v>
      </c>
      <c r="H24">
        <v>0.285206718346253</v>
      </c>
      <c r="I24">
        <v>0.34495770368873402</v>
      </c>
      <c r="J24">
        <v>0.105628259003232</v>
      </c>
      <c r="K24">
        <v>0.131533570569907</v>
      </c>
    </row>
    <row r="25" spans="1:11" x14ac:dyDescent="0.3">
      <c r="A25" s="2" t="s">
        <v>17</v>
      </c>
      <c r="B25" s="2" t="s">
        <v>19</v>
      </c>
      <c r="C25" t="s">
        <v>11</v>
      </c>
      <c r="D25">
        <v>0.62712826214722595</v>
      </c>
      <c r="E25">
        <v>0.21433473476329201</v>
      </c>
      <c r="F25">
        <v>0.125947308505448</v>
      </c>
      <c r="G25">
        <v>0.14743572809626901</v>
      </c>
      <c r="H25">
        <v>0.24285714285714199</v>
      </c>
      <c r="I25">
        <v>0.32213239096076401</v>
      </c>
      <c r="J25">
        <v>0.113499611550227</v>
      </c>
      <c r="K25">
        <v>0.15114616381943</v>
      </c>
    </row>
  </sheetData>
  <autoFilter ref="A1:K25" xr:uid="{20B60A1F-9449-4A91-8C37-2E569624DE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4F26-DE01-4BB2-9AB3-84FA32AC1323}">
  <dimension ref="A1:O14"/>
  <sheetViews>
    <sheetView tabSelected="1" workbookViewId="0">
      <selection activeCell="I22" sqref="I22"/>
    </sheetView>
  </sheetViews>
  <sheetFormatPr defaultRowHeight="14.4" x14ac:dyDescent="0.3"/>
  <cols>
    <col min="1" max="1" width="6.88671875" customWidth="1"/>
    <col min="2" max="2" width="16.5546875" customWidth="1"/>
    <col min="3" max="3" width="14.44140625" bestFit="1" customWidth="1"/>
    <col min="4" max="7" width="15.6640625" style="1" customWidth="1"/>
    <col min="8" max="15" width="15.6640625" customWidth="1"/>
  </cols>
  <sheetData>
    <row r="1" spans="1:15" s="10" customFormat="1" ht="15" thickBot="1" x14ac:dyDescent="0.35">
      <c r="D1" s="11" t="s">
        <v>15</v>
      </c>
      <c r="E1" s="11" t="s">
        <v>15</v>
      </c>
      <c r="F1" s="11" t="s">
        <v>15</v>
      </c>
      <c r="G1" s="11" t="s">
        <v>15</v>
      </c>
      <c r="H1" s="10" t="s">
        <v>19</v>
      </c>
      <c r="I1" s="10" t="s">
        <v>19</v>
      </c>
      <c r="J1" s="10" t="s">
        <v>19</v>
      </c>
      <c r="K1" s="10" t="s">
        <v>19</v>
      </c>
      <c r="L1" s="10" t="s">
        <v>18</v>
      </c>
      <c r="M1" s="10" t="s">
        <v>18</v>
      </c>
      <c r="N1" s="10" t="s">
        <v>18</v>
      </c>
      <c r="O1" s="10" t="s">
        <v>18</v>
      </c>
    </row>
    <row r="2" spans="1:15" x14ac:dyDescent="0.3">
      <c r="B2" s="19" t="s">
        <v>29</v>
      </c>
      <c r="C2" s="32" t="s">
        <v>25</v>
      </c>
      <c r="D2" s="19" t="s">
        <v>26</v>
      </c>
      <c r="E2" s="33"/>
      <c r="F2" s="33"/>
      <c r="G2" s="34"/>
      <c r="H2" s="35" t="s">
        <v>27</v>
      </c>
      <c r="I2" s="36"/>
      <c r="J2" s="36"/>
      <c r="K2" s="37"/>
      <c r="L2" s="35" t="s">
        <v>28</v>
      </c>
      <c r="M2" s="36"/>
      <c r="N2" s="36"/>
      <c r="O2" s="37"/>
    </row>
    <row r="3" spans="1:15" x14ac:dyDescent="0.3">
      <c r="B3" s="27"/>
      <c r="C3" s="38" t="s">
        <v>20</v>
      </c>
      <c r="D3" s="39" t="s">
        <v>21</v>
      </c>
      <c r="E3" s="40" t="s">
        <v>22</v>
      </c>
      <c r="F3" s="40" t="s">
        <v>23</v>
      </c>
      <c r="G3" s="38" t="s">
        <v>24</v>
      </c>
      <c r="H3" s="39" t="s">
        <v>21</v>
      </c>
      <c r="I3" s="40" t="s">
        <v>22</v>
      </c>
      <c r="J3" s="40" t="s">
        <v>23</v>
      </c>
      <c r="K3" s="38" t="s">
        <v>24</v>
      </c>
      <c r="L3" s="39" t="s">
        <v>21</v>
      </c>
      <c r="M3" s="40" t="s">
        <v>22</v>
      </c>
      <c r="N3" s="40" t="s">
        <v>23</v>
      </c>
      <c r="O3" s="38" t="s">
        <v>24</v>
      </c>
    </row>
    <row r="4" spans="1:15" x14ac:dyDescent="0.3">
      <c r="A4" s="10" t="s">
        <v>17</v>
      </c>
      <c r="B4" s="12" t="s">
        <v>30</v>
      </c>
      <c r="C4" s="3" t="s">
        <v>11</v>
      </c>
      <c r="D4" s="6" t="str">
        <f>TEXT(ROUND(SUMIFS(Sheet1!$D:$D,Sheet1!$C:$C,$C4,Sheet1!$B:$B,D$1,Sheet1!$A:$A,$A4)*100,4),"0.0000") &amp; " ± " &amp; TEXT(ROUND(SUMIFS(Sheet1!$E:$E,Sheet1!$C:$C,$C4,Sheet1!$B:$B,D$1,Sheet1!$A:$A,$A4)*100,2),"0.00")</f>
        <v>65.0710 ± 21.17</v>
      </c>
      <c r="E4" s="5" t="str">
        <f>TEXT(ROUND(SUMIFS(Sheet1!$F:$F,Sheet1!$C:$C,$C4,Sheet1!$B:$B,E$1,Sheet1!$A:$A,$A4)*100,4),"0.0000") &amp; " ± " &amp; TEXT(ROUND(SUMIFS(Sheet1!$G:$G,Sheet1!$C:$C,$C4,Sheet1!$B:$B,E$1,Sheet1!$A:$A,$A4)*100,2),"0.00")</f>
        <v>16.1890 ± 21.45</v>
      </c>
      <c r="F4" s="4" t="str">
        <f>TEXT(ROUND(SUMIFS(Sheet1!$H:$H,Sheet1!$C:$C,$C4,Sheet1!$B:$B,F$1,Sheet1!$A:$A,$A4)*100,4),"0.0000") &amp; " ± " &amp; TEXT(ROUND(SUMIFS(Sheet1!$I:$I,Sheet1!$C:$C,$C4,Sheet1!$B:$B,F$1,Sheet1!$A:$A,$A4)*100,2),"0.00")</f>
        <v>30.7975 ± 37.96</v>
      </c>
      <c r="G4" s="7" t="str">
        <f>TEXT(ROUND(SUMIFS(Sheet1!$J:$J,Sheet1!$C:$C,$C4,Sheet1!$B:$B,G$1,Sheet1!$A:$A,$A4)*100,4),"0.0000") &amp; " ± " &amp; TEXT(ROUND(SUMIFS(Sheet1!$K:$K,Sheet1!$C:$C,$C4,Sheet1!$B:$B,G$1,Sheet1!$A:$A,$A4)*100,2),"0.00")</f>
        <v>15.9910 ± 26.06</v>
      </c>
      <c r="H4" s="6" t="str">
        <f>TEXT(ROUND(SUMIFS(Sheet1!$D:$D,Sheet1!$C:$C,$C4,Sheet1!$B:$B,H$1,Sheet1!$A:$A,$A4)*100,4),"0.0000") &amp; " ± " &amp; TEXT(ROUND(SUMIFS(Sheet1!$E:$E,Sheet1!$C:$C,$C4,Sheet1!$B:$B,H$1,Sheet1!$A:$A,$A4)*100,2),"0.00")</f>
        <v>62.7128 ± 21.43</v>
      </c>
      <c r="I4" s="5" t="str">
        <f>TEXT(ROUND(SUMIFS(Sheet1!$F:$F,Sheet1!$C:$C,$C4,Sheet1!$B:$B,I$1,Sheet1!$A:$A,$A4)*100,4),"0.0000") &amp; " ± " &amp; TEXT(ROUND(SUMIFS(Sheet1!$G:$G,Sheet1!$C:$C,$C4,Sheet1!$B:$B,I$1,Sheet1!$A:$A,$A4)*100,2),"0.00")</f>
        <v>12.5947 ± 14.74</v>
      </c>
      <c r="J4" s="5" t="str">
        <f>TEXT(ROUND(SUMIFS(Sheet1!$H:$H,Sheet1!$C:$C,$C4,Sheet1!$B:$B,J$1,Sheet1!$A:$A,$A4)*100,4),"0.0000") &amp; " ± " &amp; TEXT(ROUND(SUMIFS(Sheet1!$I:$I,Sheet1!$C:$C,$C4,Sheet1!$B:$B,J$1,Sheet1!$A:$A,$A4)*100,2),"0.00")</f>
        <v>24.2857 ± 32.21</v>
      </c>
      <c r="K4" s="7" t="str">
        <f>TEXT(ROUND(SUMIFS(Sheet1!$J:$J,Sheet1!$C:$C,$C4,Sheet1!$B:$B,K$1,Sheet1!$A:$A,$A4)*100,4),"0.0000") &amp; " ± " &amp; TEXT(ROUND(SUMIFS(Sheet1!$K:$K,Sheet1!$C:$C,$C4,Sheet1!$B:$B,K$1,Sheet1!$A:$A,$A4)*100,2),"0.00")</f>
        <v>11.3500 ± 15.11</v>
      </c>
      <c r="L4" s="8" t="str">
        <f>TEXT(ROUND(SUMIFS(Sheet1!$D:$D,Sheet1!$C:$C,$C4,Sheet1!$B:$B,L$1,Sheet1!$A:$A,$A4)*100,4),"0.0000") &amp; " ± " &amp; TEXT(ROUND(SUMIFS(Sheet1!$E:$E,Sheet1!$C:$C,$C4,Sheet1!$B:$B,L$1,Sheet1!$A:$A,$A4)*100,2),"0.00")</f>
        <v>64.8871 ± 23.98</v>
      </c>
      <c r="M4" s="5" t="str">
        <f>TEXT(ROUND(SUMIFS(Sheet1!$F:$F,Sheet1!$C:$C,$C4,Sheet1!$B:$B,M$1,Sheet1!$A:$A,$A4)*100,4),"0.0000") &amp; " ± " &amp; TEXT(ROUND(SUMIFS(Sheet1!$G:$G,Sheet1!$C:$C,$C4,Sheet1!$B:$B,M$1,Sheet1!$A:$A,$A4)*100,2),"0.00")</f>
        <v>11.0171 ± 15.17</v>
      </c>
      <c r="N4" s="5" t="str">
        <f>TEXT(ROUND(SUMIFS(Sheet1!$H:$H,Sheet1!$C:$C,$C4,Sheet1!$B:$B,N$1,Sheet1!$A:$A,$A4)*100,4),"0.0000") &amp; " ± " &amp; TEXT(ROUND(SUMIFS(Sheet1!$I:$I,Sheet1!$C:$C,$C4,Sheet1!$B:$B,N$1,Sheet1!$A:$A,$A4)*100,2),"0.00")</f>
        <v>25.2935 ± 36.42</v>
      </c>
      <c r="O4" s="7" t="str">
        <f>TEXT(ROUND(SUMIFS(Sheet1!$J:$J,Sheet1!$C:$C,$C4,Sheet1!$B:$B,O$1,Sheet1!$A:$A,$A4)*100,4),"0.0000") &amp; " ± " &amp; TEXT(ROUND(SUMIFS(Sheet1!$K:$K,Sheet1!$C:$C,$C4,Sheet1!$B:$B,O$1,Sheet1!$A:$A,$A4)*100,2),"0.00")</f>
        <v>11.5918 ± 22.36</v>
      </c>
    </row>
    <row r="5" spans="1:15" x14ac:dyDescent="0.3">
      <c r="A5" s="10" t="s">
        <v>17</v>
      </c>
      <c r="B5" s="13"/>
      <c r="C5" s="28" t="s">
        <v>13</v>
      </c>
      <c r="D5" s="29" t="str">
        <f>TEXT(ROUND(SUMIFS(Sheet1!$D:$D,Sheet1!$C:$C,$C5,Sheet1!$B:$B,D$1,Sheet1!$A:$A,$A5)*100,4),"0.0000") &amp; " ± " &amp; TEXT(ROUND(SUMIFS(Sheet1!$E:$E,Sheet1!$C:$C,$C5,Sheet1!$B:$B,D$1,Sheet1!$A:$A,$A5)*100,2),"0.00")</f>
        <v>62.0246 ± 21.87</v>
      </c>
      <c r="E5" s="30" t="str">
        <f>TEXT(ROUND(SUMIFS(Sheet1!$F:$F,Sheet1!$C:$C,$C5,Sheet1!$B:$B,E$1,Sheet1!$A:$A,$A5)*100,4),"0.0000") &amp; " ± " &amp; TEXT(ROUND(SUMIFS(Sheet1!$G:$G,Sheet1!$C:$C,$C5,Sheet1!$B:$B,E$1,Sheet1!$A:$A,$A5)*100,2),"0.00")</f>
        <v>16.2050 ± 20.56</v>
      </c>
      <c r="F5" s="30" t="str">
        <f>TEXT(ROUND(SUMIFS(Sheet1!$H:$H,Sheet1!$C:$C,$C5,Sheet1!$B:$B,F$1,Sheet1!$A:$A,$A5)*100,4),"0.0000") &amp; " ± " &amp; TEXT(ROUND(SUMIFS(Sheet1!$I:$I,Sheet1!$C:$C,$C5,Sheet1!$B:$B,F$1,Sheet1!$A:$A,$A5)*100,2),"0.00")</f>
        <v>26.0564 ± 34.49</v>
      </c>
      <c r="G5" s="31" t="str">
        <f>TEXT(ROUND(SUMIFS(Sheet1!$J:$J,Sheet1!$C:$C,$C5,Sheet1!$B:$B,G$1,Sheet1!$A:$A,$A5)*100,4),"0.0000") &amp; " ± " &amp; TEXT(ROUND(SUMIFS(Sheet1!$K:$K,Sheet1!$C:$C,$C5,Sheet1!$B:$B,G$1,Sheet1!$A:$A,$A5)*100,2),"0.00")</f>
        <v>18.8284 ± 28.13</v>
      </c>
      <c r="H5" s="29" t="str">
        <f>TEXT(ROUND(SUMIFS(Sheet1!$D:$D,Sheet1!$C:$C,$C5,Sheet1!$B:$B,H$1,Sheet1!$A:$A,$A5)*100,4),"0.0000") &amp; " ± " &amp; TEXT(ROUND(SUMIFS(Sheet1!$E:$E,Sheet1!$C:$C,$C5,Sheet1!$B:$B,H$1,Sheet1!$A:$A,$A5)*100,2),"0.00")</f>
        <v>62.6569 ± 19.59</v>
      </c>
      <c r="I5" s="30" t="str">
        <f>TEXT(ROUND(SUMIFS(Sheet1!$F:$F,Sheet1!$C:$C,$C5,Sheet1!$B:$B,I$1,Sheet1!$A:$A,$A5)*100,4),"0.0000") &amp; " ± " &amp; TEXT(ROUND(SUMIFS(Sheet1!$G:$G,Sheet1!$C:$C,$C5,Sheet1!$B:$B,I$1,Sheet1!$A:$A,$A5)*100,2),"0.00")</f>
        <v>22.8029 ± 23.75</v>
      </c>
      <c r="J5" s="30" t="str">
        <f>TEXT(ROUND(SUMIFS(Sheet1!$H:$H,Sheet1!$C:$C,$C5,Sheet1!$B:$B,J$1,Sheet1!$A:$A,$A5)*100,4),"0.0000") &amp; " ± " &amp; TEXT(ROUND(SUMIFS(Sheet1!$I:$I,Sheet1!$C:$C,$C5,Sheet1!$B:$B,J$1,Sheet1!$A:$A,$A5)*100,2),"0.00")</f>
        <v>32.2615 ± 36.53</v>
      </c>
      <c r="K5" s="31" t="str">
        <f>TEXT(ROUND(SUMIFS(Sheet1!$J:$J,Sheet1!$C:$C,$C5,Sheet1!$B:$B,K$1,Sheet1!$A:$A,$A5)*100,4),"0.0000") &amp; " ± " &amp; TEXT(ROUND(SUMIFS(Sheet1!$K:$K,Sheet1!$C:$C,$C5,Sheet1!$B:$B,K$1,Sheet1!$A:$A,$A5)*100,2),"0.00")</f>
        <v>25.3237 ± 30.02</v>
      </c>
      <c r="L5" s="29" t="str">
        <f>TEXT(ROUND(SUMIFS(Sheet1!$D:$D,Sheet1!$C:$C,$C5,Sheet1!$B:$B,L$1,Sheet1!$A:$A,$A5)*100,4),"0.0000") &amp; " ± " &amp; TEXT(ROUND(SUMIFS(Sheet1!$E:$E,Sheet1!$C:$C,$C5,Sheet1!$B:$B,L$1,Sheet1!$A:$A,$A5)*100,2),"0.00")</f>
        <v>62.1262 ± 22.49</v>
      </c>
      <c r="M5" s="41" t="str">
        <f>TEXT(ROUND(SUMIFS(Sheet1!$F:$F,Sheet1!$C:$C,$C5,Sheet1!$B:$B,M$1,Sheet1!$A:$A,$A5)*100,4),"0.0000") &amp; " ± " &amp; TEXT(ROUND(SUMIFS(Sheet1!$G:$G,Sheet1!$C:$C,$C5,Sheet1!$B:$B,M$1,Sheet1!$A:$A,$A5)*100,2),"0.00")</f>
        <v>16.4916 ± 22.78</v>
      </c>
      <c r="N5" s="41" t="str">
        <f>TEXT(ROUND(SUMIFS(Sheet1!$H:$H,Sheet1!$C:$C,$C5,Sheet1!$B:$B,N$1,Sheet1!$A:$A,$A5)*100,4),"0.0000") &amp; " ± " &amp; TEXT(ROUND(SUMIFS(Sheet1!$I:$I,Sheet1!$C:$C,$C5,Sheet1!$B:$B,N$1,Sheet1!$A:$A,$A5)*100,2),"0.00")</f>
        <v>26.1520 ± 36.31</v>
      </c>
      <c r="O5" s="42" t="str">
        <f>TEXT(ROUND(SUMIFS(Sheet1!$J:$J,Sheet1!$C:$C,$C5,Sheet1!$B:$B,O$1,Sheet1!$A:$A,$A5)*100,4),"0.0000") &amp; " ± " &amp; TEXT(ROUND(SUMIFS(Sheet1!$K:$K,Sheet1!$C:$C,$C5,Sheet1!$B:$B,O$1,Sheet1!$A:$A,$A5)*100,2),"0.00")</f>
        <v>21.6666 ± 33.58</v>
      </c>
    </row>
    <row r="6" spans="1:15" x14ac:dyDescent="0.3">
      <c r="A6" s="10" t="s">
        <v>17</v>
      </c>
      <c r="B6" s="13"/>
      <c r="C6" s="3" t="s">
        <v>12</v>
      </c>
      <c r="D6" s="6" t="str">
        <f>TEXT(ROUND(SUMIFS(Sheet1!$D:$D,Sheet1!$C:$C,$C6,Sheet1!$B:$B,D$1,Sheet1!$A:$A,$A6)*100,4),"0.0000") &amp; " ± " &amp; TEXT(ROUND(SUMIFS(Sheet1!$E:$E,Sheet1!$C:$C,$C6,Sheet1!$B:$B,D$1,Sheet1!$A:$A,$A6)*100,2),"0.00")</f>
        <v>62.4440 ± 23.23</v>
      </c>
      <c r="E6" s="4" t="str">
        <f>TEXT(ROUND(SUMIFS(Sheet1!$F:$F,Sheet1!$C:$C,$C6,Sheet1!$B:$B,E$1,Sheet1!$A:$A,$A6)*100,4),"0.0000") &amp; " ± " &amp; TEXT(ROUND(SUMIFS(Sheet1!$G:$G,Sheet1!$C:$C,$C6,Sheet1!$B:$B,E$1,Sheet1!$A:$A,$A6)*100,2),"0.00")</f>
        <v>16.6982 ± 23.39</v>
      </c>
      <c r="F6" s="5" t="str">
        <f>TEXT(ROUND(SUMIFS(Sheet1!$H:$H,Sheet1!$C:$C,$C6,Sheet1!$B:$B,F$1,Sheet1!$A:$A,$A6)*100,4),"0.0000") &amp; " ± " &amp; TEXT(ROUND(SUMIFS(Sheet1!$I:$I,Sheet1!$C:$C,$C6,Sheet1!$B:$B,F$1,Sheet1!$A:$A,$A6)*100,2),"0.00")</f>
        <v>20.5264 ± 29.87</v>
      </c>
      <c r="G6" s="9" t="str">
        <f>TEXT(ROUND(SUMIFS(Sheet1!$J:$J,Sheet1!$C:$C,$C6,Sheet1!$B:$B,G$1,Sheet1!$A:$A,$A6)*100,4),"0.0000") &amp; " ± " &amp; TEXT(ROUND(SUMIFS(Sheet1!$K:$K,Sheet1!$C:$C,$C6,Sheet1!$B:$B,G$1,Sheet1!$A:$A,$A6)*100,2),"0.00")</f>
        <v>20.0377 ± 29.49</v>
      </c>
      <c r="H6" s="6" t="str">
        <f>TEXT(ROUND(SUMIFS(Sheet1!$D:$D,Sheet1!$C:$C,$C6,Sheet1!$B:$B,H$1,Sheet1!$A:$A,$A6)*100,4),"0.0000") &amp; " ± " &amp; TEXT(ROUND(SUMIFS(Sheet1!$E:$E,Sheet1!$C:$C,$C6,Sheet1!$B:$B,H$1,Sheet1!$A:$A,$A6)*100,2),"0.00")</f>
        <v>62.6681 ± 17.07</v>
      </c>
      <c r="I6" s="4" t="str">
        <f>TEXT(ROUND(SUMIFS(Sheet1!$F:$F,Sheet1!$C:$C,$C6,Sheet1!$B:$B,I$1,Sheet1!$A:$A,$A6)*100,4),"0.0000") &amp; " ± " &amp; TEXT(ROUND(SUMIFS(Sheet1!$G:$G,Sheet1!$C:$C,$C6,Sheet1!$B:$B,I$1,Sheet1!$A:$A,$A6)*100,2),"0.00")</f>
        <v>25.5327 ± 24.25</v>
      </c>
      <c r="J6" s="4" t="str">
        <f>TEXT(ROUND(SUMIFS(Sheet1!$H:$H,Sheet1!$C:$C,$C6,Sheet1!$B:$B,J$1,Sheet1!$A:$A,$A6)*100,4),"0.0000") &amp; " ± " &amp; TEXT(ROUND(SUMIFS(Sheet1!$I:$I,Sheet1!$C:$C,$C6,Sheet1!$B:$B,J$1,Sheet1!$A:$A,$A6)*100,2),"0.00")</f>
        <v>37.7833 ± 37.80</v>
      </c>
      <c r="K6" s="9" t="str">
        <f>TEXT(ROUND(SUMIFS(Sheet1!$J:$J,Sheet1!$C:$C,$C6,Sheet1!$B:$B,K$1,Sheet1!$A:$A,$A6)*100,4),"0.0000") &amp; " ± " &amp; TEXT(ROUND(SUMIFS(Sheet1!$K:$K,Sheet1!$C:$C,$C6,Sheet1!$B:$B,K$1,Sheet1!$A:$A,$A6)*100,2),"0.00")</f>
        <v>26.4793 ± 28.69</v>
      </c>
      <c r="L6" s="6" t="str">
        <f>TEXT(ROUND(SUMIFS(Sheet1!$D:$D,Sheet1!$C:$C,$C6,Sheet1!$B:$B,L$1,Sheet1!$A:$A,$A6)*100,4),"0.0000") &amp; " ± " &amp; TEXT(ROUND(SUMIFS(Sheet1!$E:$E,Sheet1!$C:$C,$C6,Sheet1!$B:$B,L$1,Sheet1!$A:$A,$A6)*100,2),"0.00")</f>
        <v>61.2952 ± 25.08</v>
      </c>
      <c r="M6" s="5" t="str">
        <f>TEXT(ROUND(SUMIFS(Sheet1!$F:$F,Sheet1!$C:$C,$C6,Sheet1!$B:$B,M$1,Sheet1!$A:$A,$A6)*100,4),"0.0000") &amp; " ± " &amp; TEXT(ROUND(SUMIFS(Sheet1!$G:$G,Sheet1!$C:$C,$C6,Sheet1!$B:$B,M$1,Sheet1!$A:$A,$A6)*100,2),"0.00")</f>
        <v>15.6907 ± 21.56</v>
      </c>
      <c r="N6" s="5" t="str">
        <f>TEXT(ROUND(SUMIFS(Sheet1!$H:$H,Sheet1!$C:$C,$C6,Sheet1!$B:$B,N$1,Sheet1!$A:$A,$A6)*100,4),"0.0000") &amp; " ± " &amp; TEXT(ROUND(SUMIFS(Sheet1!$I:$I,Sheet1!$C:$C,$C6,Sheet1!$B:$B,N$1,Sheet1!$A:$A,$A6)*100,2),"0.00")</f>
        <v>21.2441 ± 31.71</v>
      </c>
      <c r="O6" s="7" t="str">
        <f>TEXT(ROUND(SUMIFS(Sheet1!$J:$J,Sheet1!$C:$C,$C6,Sheet1!$B:$B,O$1,Sheet1!$A:$A,$A6)*100,4),"0.0000") &amp; " ± " &amp; TEXT(ROUND(SUMIFS(Sheet1!$K:$K,Sheet1!$C:$C,$C6,Sheet1!$B:$B,O$1,Sheet1!$A:$A,$A6)*100,2),"0.00")</f>
        <v>20.2505 ± 30.88</v>
      </c>
    </row>
    <row r="7" spans="1:15" ht="15" thickBot="1" x14ac:dyDescent="0.35">
      <c r="A7" s="10" t="s">
        <v>17</v>
      </c>
      <c r="B7" s="14"/>
      <c r="C7" s="43" t="s">
        <v>14</v>
      </c>
      <c r="D7" s="44" t="str">
        <f>TEXT(ROUND(SUMIFS(Sheet1!$D:$D,Sheet1!$C:$C,$C7,Sheet1!$B:$B,D$1,Sheet1!$A:$A,$A7)*100,4),"0.0000") &amp; " ± " &amp; TEXT(ROUND(SUMIFS(Sheet1!$E:$E,Sheet1!$C:$C,$C7,Sheet1!$B:$B,D$1,Sheet1!$A:$A,$A7)*100,2),"0.00")</f>
        <v>65.7271 ± 21.91</v>
      </c>
      <c r="E7" s="45" t="str">
        <f>TEXT(ROUND(SUMIFS(Sheet1!$F:$F,Sheet1!$C:$C,$C7,Sheet1!$B:$B,E$1,Sheet1!$A:$A,$A7)*100,4),"0.0000") &amp; " ± " &amp; TEXT(ROUND(SUMIFS(Sheet1!$G:$G,Sheet1!$C:$C,$C7,Sheet1!$B:$B,E$1,Sheet1!$A:$A,$A7)*100,2),"0.00")</f>
        <v>14.8125 ± 17.45</v>
      </c>
      <c r="F7" s="45" t="str">
        <f>TEXT(ROUND(SUMIFS(Sheet1!$H:$H,Sheet1!$C:$C,$C7,Sheet1!$B:$B,F$1,Sheet1!$A:$A,$A7)*100,4),"0.0000") &amp; " ± " &amp; TEXT(ROUND(SUMIFS(Sheet1!$I:$I,Sheet1!$C:$C,$C7,Sheet1!$B:$B,F$1,Sheet1!$A:$A,$A7)*100,2),"0.00")</f>
        <v>28.6960 ± 34.61</v>
      </c>
      <c r="G7" s="46" t="str">
        <f>TEXT(ROUND(SUMIFS(Sheet1!$J:$J,Sheet1!$C:$C,$C7,Sheet1!$B:$B,G$1,Sheet1!$A:$A,$A7)*100,4),"0.0000") &amp; " ± " &amp; TEXT(ROUND(SUMIFS(Sheet1!$K:$K,Sheet1!$C:$C,$C7,Sheet1!$B:$B,G$1,Sheet1!$A:$A,$A7)*100,2),"0.00")</f>
        <v>13.9438 ± 20.19</v>
      </c>
      <c r="H7" s="44" t="str">
        <f>TEXT(ROUND(SUMIFS(Sheet1!$D:$D,Sheet1!$C:$C,$C7,Sheet1!$B:$B,H$1,Sheet1!$A:$A,$A7)*100,4),"0.0000") &amp; " ± " &amp; TEXT(ROUND(SUMIFS(Sheet1!$E:$E,Sheet1!$C:$C,$C7,Sheet1!$B:$B,H$1,Sheet1!$A:$A,$A7)*100,2),"0.00")</f>
        <v>65.1053 ± 21.25</v>
      </c>
      <c r="I7" s="45" t="str">
        <f>TEXT(ROUND(SUMIFS(Sheet1!$F:$F,Sheet1!$C:$C,$C7,Sheet1!$B:$B,I$1,Sheet1!$A:$A,$A7)*100,4),"0.0000") &amp; " ± " &amp; TEXT(ROUND(SUMIFS(Sheet1!$G:$G,Sheet1!$C:$C,$C7,Sheet1!$B:$B,I$1,Sheet1!$A:$A,$A7)*100,2),"0.00")</f>
        <v>14.0164 ± 16.89</v>
      </c>
      <c r="J7" s="45" t="str">
        <f>TEXT(ROUND(SUMIFS(Sheet1!$H:$H,Sheet1!$C:$C,$C7,Sheet1!$B:$B,J$1,Sheet1!$A:$A,$A7)*100,4),"0.0000") &amp; " ± " &amp; TEXT(ROUND(SUMIFS(Sheet1!$I:$I,Sheet1!$C:$C,$C7,Sheet1!$B:$B,J$1,Sheet1!$A:$A,$A7)*100,2),"0.00")</f>
        <v>28.5207 ± 34.50</v>
      </c>
      <c r="K7" s="46" t="str">
        <f>TEXT(ROUND(SUMIFS(Sheet1!$J:$J,Sheet1!$C:$C,$C7,Sheet1!$B:$B,K$1,Sheet1!$A:$A,$A7)*100,4),"0.0000") &amp; " ± " &amp; TEXT(ROUND(SUMIFS(Sheet1!$K:$K,Sheet1!$C:$C,$C7,Sheet1!$B:$B,K$1,Sheet1!$A:$A,$A7)*100,2),"0.00")</f>
        <v>10.5628 ± 13.15</v>
      </c>
      <c r="L7" s="47" t="str">
        <f>TEXT(ROUND(SUMIFS(Sheet1!$D:$D,Sheet1!$C:$C,$C7,Sheet1!$B:$B,L$1,Sheet1!$A:$A,$A7)*100,4),"0.0000") &amp; " ± " &amp; TEXT(ROUND(SUMIFS(Sheet1!$E:$E,Sheet1!$C:$C,$C7,Sheet1!$B:$B,L$1,Sheet1!$A:$A,$A7)*100,2),"0.00")</f>
        <v>62.9573 ± 22.22</v>
      </c>
      <c r="M7" s="45" t="str">
        <f>TEXT(ROUND(SUMIFS(Sheet1!$F:$F,Sheet1!$C:$C,$C7,Sheet1!$B:$B,M$1,Sheet1!$A:$A,$A7)*100,4),"0.0000") &amp; " ± " &amp; TEXT(ROUND(SUMIFS(Sheet1!$G:$G,Sheet1!$C:$C,$C7,Sheet1!$B:$B,M$1,Sheet1!$A:$A,$A7)*100,2),"0.00")</f>
        <v>12.0532 ± 15.17</v>
      </c>
      <c r="N7" s="45" t="str">
        <f>TEXT(ROUND(SUMIFS(Sheet1!$H:$H,Sheet1!$C:$C,$C7,Sheet1!$B:$B,N$1,Sheet1!$A:$A,$A7)*100,4),"0.0000") &amp; " ± " &amp; TEXT(ROUND(SUMIFS(Sheet1!$I:$I,Sheet1!$C:$C,$C7,Sheet1!$B:$B,N$1,Sheet1!$A:$A,$A7)*100,2),"0.00")</f>
        <v>21.3780 ± 28.42</v>
      </c>
      <c r="O7" s="46" t="str">
        <f>TEXT(ROUND(SUMIFS(Sheet1!$J:$J,Sheet1!$C:$C,$C7,Sheet1!$B:$B,O$1,Sheet1!$A:$A,$A7)*100,4),"0.0000") &amp; " ± " &amp; TEXT(ROUND(SUMIFS(Sheet1!$K:$K,Sheet1!$C:$C,$C7,Sheet1!$B:$B,O$1,Sheet1!$A:$A,$A7)*100,2),"0.00")</f>
        <v>13.9618 ± 24.78</v>
      </c>
    </row>
    <row r="8" spans="1:15" ht="15" thickBot="1" x14ac:dyDescent="0.35">
      <c r="A8" s="10"/>
      <c r="B8" s="1"/>
      <c r="D8" s="17"/>
      <c r="E8" s="17"/>
      <c r="F8" s="17"/>
      <c r="G8" s="17"/>
      <c r="H8" s="18"/>
      <c r="I8" s="18"/>
      <c r="J8" s="18"/>
      <c r="K8" s="18"/>
      <c r="L8" s="18"/>
      <c r="M8" s="18"/>
      <c r="N8" s="18"/>
      <c r="O8" s="18"/>
    </row>
    <row r="9" spans="1:15" x14ac:dyDescent="0.3">
      <c r="A9" s="10"/>
      <c r="B9" s="19" t="s">
        <v>29</v>
      </c>
      <c r="C9" s="20" t="s">
        <v>25</v>
      </c>
      <c r="D9" s="21" t="s">
        <v>26</v>
      </c>
      <c r="E9" s="22"/>
      <c r="F9" s="22"/>
      <c r="G9" s="23"/>
      <c r="H9" s="24" t="s">
        <v>27</v>
      </c>
      <c r="I9" s="25"/>
      <c r="J9" s="25"/>
      <c r="K9" s="26"/>
      <c r="L9" s="24" t="s">
        <v>28</v>
      </c>
      <c r="M9" s="25"/>
      <c r="N9" s="25"/>
      <c r="O9" s="26"/>
    </row>
    <row r="10" spans="1:15" x14ac:dyDescent="0.3">
      <c r="A10" s="10"/>
      <c r="B10" s="27"/>
      <c r="C10" s="28" t="s">
        <v>20</v>
      </c>
      <c r="D10" s="29" t="s">
        <v>21</v>
      </c>
      <c r="E10" s="30" t="s">
        <v>22</v>
      </c>
      <c r="F10" s="30" t="s">
        <v>23</v>
      </c>
      <c r="G10" s="31" t="s">
        <v>24</v>
      </c>
      <c r="H10" s="29" t="s">
        <v>21</v>
      </c>
      <c r="I10" s="30" t="s">
        <v>22</v>
      </c>
      <c r="J10" s="30" t="s">
        <v>23</v>
      </c>
      <c r="K10" s="31" t="s">
        <v>24</v>
      </c>
      <c r="L10" s="29" t="s">
        <v>21</v>
      </c>
      <c r="M10" s="30" t="s">
        <v>22</v>
      </c>
      <c r="N10" s="30" t="s">
        <v>23</v>
      </c>
      <c r="O10" s="31" t="s">
        <v>24</v>
      </c>
    </row>
    <row r="11" spans="1:15" x14ac:dyDescent="0.3">
      <c r="A11" s="10" t="s">
        <v>16</v>
      </c>
      <c r="B11" s="15" t="s">
        <v>31</v>
      </c>
      <c r="C11" s="3" t="s">
        <v>11</v>
      </c>
      <c r="D11" s="6" t="str">
        <f>TEXT(ROUND(SUMIFS(Sheet1!$D:$D,Sheet1!$C:$C,$C11,Sheet1!$B:$B,D$1,Sheet1!$A:$A,$A11)*100,4),"0.0000") &amp; " ± " &amp; TEXT(ROUND(SUMIFS(Sheet1!$E:$E,Sheet1!$C:$C,$C11,Sheet1!$B:$B,D$1,Sheet1!$A:$A,$A11)*100,2),"0.00")</f>
        <v>55.7992 ± 21.61</v>
      </c>
      <c r="E11" s="5" t="str">
        <f>TEXT(ROUND(SUMIFS(Sheet1!$F:$F,Sheet1!$C:$C,$C11,Sheet1!$B:$B,E$1,Sheet1!$A:$A,$A11)*100,4),"0.0000") &amp; " ± " &amp; TEXT(ROUND(SUMIFS(Sheet1!$G:$G,Sheet1!$C:$C,$C11,Sheet1!$B:$B,E$1,Sheet1!$A:$A,$A11)*100,2),"0.00")</f>
        <v>13.4649 ± 23.08</v>
      </c>
      <c r="F11" s="5" t="str">
        <f>TEXT(ROUND(SUMIFS(Sheet1!$H:$H,Sheet1!$C:$C,$C11,Sheet1!$B:$B,F$1,Sheet1!$A:$A,$A11)*100,4),"0.0000") &amp; " ± " &amp; TEXT(ROUND(SUMIFS(Sheet1!$I:$I,Sheet1!$C:$C,$C11,Sheet1!$B:$B,F$1,Sheet1!$A:$A,$A11)*100,2),"0.00")</f>
        <v>24.1085 ± 40.38</v>
      </c>
      <c r="G11" s="7" t="str">
        <f>TEXT(ROUND(SUMIFS(Sheet1!$J:$J,Sheet1!$C:$C,$C11,Sheet1!$B:$B,G$1,Sheet1!$A:$A,$A11)*100,4),"0.0000") &amp; " ± " &amp; TEXT(ROUND(SUMIFS(Sheet1!$K:$K,Sheet1!$C:$C,$C11,Sheet1!$B:$B,G$1,Sheet1!$A:$A,$A11)*100,2),"0.00")</f>
        <v>13.3804 ± 26.78</v>
      </c>
      <c r="H11" s="6" t="str">
        <f>TEXT(ROUND(SUMIFS(Sheet1!$D:$D,Sheet1!$C:$C,$C11,Sheet1!$B:$B,H$1,Sheet1!$A:$A,$A11)*100,4),"0.0000") &amp; " ± " &amp; TEXT(ROUND(SUMIFS(Sheet1!$E:$E,Sheet1!$C:$C,$C11,Sheet1!$B:$B,H$1,Sheet1!$A:$A,$A11)*100,2),"0.00")</f>
        <v>58.1423 ± 20.52</v>
      </c>
      <c r="I11" s="5" t="str">
        <f>TEXT(ROUND(SUMIFS(Sheet1!$F:$F,Sheet1!$C:$C,$C11,Sheet1!$B:$B,I$1,Sheet1!$A:$A,$A11)*100,4),"0.0000") &amp; " ± " &amp; TEXT(ROUND(SUMIFS(Sheet1!$G:$G,Sheet1!$C:$C,$C11,Sheet1!$B:$B,I$1,Sheet1!$A:$A,$A11)*100,2),"0.00")</f>
        <v>28.6020 ± 26.72</v>
      </c>
      <c r="J11" s="5" t="str">
        <f>TEXT(ROUND(SUMIFS(Sheet1!$H:$H,Sheet1!$C:$C,$C11,Sheet1!$B:$B,J$1,Sheet1!$A:$A,$A11)*100,4),"0.0000") &amp; " ± " &amp; TEXT(ROUND(SUMIFS(Sheet1!$I:$I,Sheet1!$C:$C,$C11,Sheet1!$B:$B,J$1,Sheet1!$A:$A,$A11)*100,2),"0.00")</f>
        <v>42.0930 ± 41.74</v>
      </c>
      <c r="K11" s="7" t="str">
        <f>TEXT(ROUND(SUMIFS(Sheet1!$J:$J,Sheet1!$C:$C,$C11,Sheet1!$B:$B,K$1,Sheet1!$A:$A,$A11)*100,4),"0.0000") &amp; " ± " &amp; TEXT(ROUND(SUMIFS(Sheet1!$K:$K,Sheet1!$C:$C,$C11,Sheet1!$B:$B,K$1,Sheet1!$A:$A,$A11)*100,2),"0.00")</f>
        <v>31.3372 ± 34.78</v>
      </c>
      <c r="L11" s="6" t="str">
        <f>TEXT(ROUND(SUMIFS(Sheet1!$D:$D,Sheet1!$C:$C,$C11,Sheet1!$B:$B,L$1,Sheet1!$A:$A,$A11)*100,4),"0.0000") &amp; " ± " &amp; TEXT(ROUND(SUMIFS(Sheet1!$E:$E,Sheet1!$C:$C,$C11,Sheet1!$B:$B,L$1,Sheet1!$A:$A,$A11)*100,2),"0.00")</f>
        <v>58.3924 ± 21.26</v>
      </c>
      <c r="M11" s="5" t="str">
        <f>TEXT(ROUND(SUMIFS(Sheet1!$F:$F,Sheet1!$C:$C,$C11,Sheet1!$B:$B,M$1,Sheet1!$A:$A,$A11)*100,4),"0.0000") &amp; " ± " &amp; TEXT(ROUND(SUMIFS(Sheet1!$G:$G,Sheet1!$C:$C,$C11,Sheet1!$B:$B,M$1,Sheet1!$A:$A,$A11)*100,2),"0.00")</f>
        <v>18.1155 ± 23.66</v>
      </c>
      <c r="N11" s="5" t="str">
        <f>TEXT(ROUND(SUMIFS(Sheet1!$H:$H,Sheet1!$C:$C,$C11,Sheet1!$B:$B,N$1,Sheet1!$A:$A,$A11)*100,4),"0.0000") &amp; " ± " &amp; TEXT(ROUND(SUMIFS(Sheet1!$I:$I,Sheet1!$C:$C,$C11,Sheet1!$B:$B,N$1,Sheet1!$A:$A,$A11)*100,2),"0.00")</f>
        <v>31.5504 ± 40.88</v>
      </c>
      <c r="O11" s="7" t="str">
        <f>TEXT(ROUND(SUMIFS(Sheet1!$J:$J,Sheet1!$C:$C,$C11,Sheet1!$B:$B,O$1,Sheet1!$A:$A,$A11)*100,4),"0.0000") &amp; " ± " &amp; TEXT(ROUND(SUMIFS(Sheet1!$K:$K,Sheet1!$C:$C,$C11,Sheet1!$B:$B,O$1,Sheet1!$A:$A,$A11)*100,2),"0.00")</f>
        <v>16.8355 ± 26.10</v>
      </c>
    </row>
    <row r="12" spans="1:15" x14ac:dyDescent="0.3">
      <c r="A12" s="10" t="s">
        <v>16</v>
      </c>
      <c r="B12" s="15"/>
      <c r="C12" s="28" t="s">
        <v>13</v>
      </c>
      <c r="D12" s="48" t="str">
        <f>TEXT(ROUND(SUMIFS(Sheet1!$D:$D,Sheet1!$C:$C,$C12,Sheet1!$B:$B,D$1,Sheet1!$A:$A,$A12)*100,4),"0.0000") &amp; " ± " &amp; TEXT(ROUND(SUMIFS(Sheet1!$E:$E,Sheet1!$C:$C,$C12,Sheet1!$B:$B,D$1,Sheet1!$A:$A,$A12)*100,2),"0.00")</f>
        <v>58.4801 ± 23.33</v>
      </c>
      <c r="E12" s="30" t="str">
        <f>TEXT(ROUND(SUMIFS(Sheet1!$F:$F,Sheet1!$C:$C,$C12,Sheet1!$B:$B,E$1,Sheet1!$A:$A,$A12)*100,4),"0.0000") &amp; " ± " &amp; TEXT(ROUND(SUMIFS(Sheet1!$G:$G,Sheet1!$C:$C,$C12,Sheet1!$B:$B,E$1,Sheet1!$A:$A,$A12)*100,2),"0.00")</f>
        <v>28.3444 ± 29.88</v>
      </c>
      <c r="F12" s="41" t="str">
        <f>TEXT(ROUND(SUMIFS(Sheet1!$H:$H,Sheet1!$C:$C,$C12,Sheet1!$B:$B,F$1,Sheet1!$A:$A,$A12)*100,4),"0.0000") &amp; " ± " &amp; TEXT(ROUND(SUMIFS(Sheet1!$I:$I,Sheet1!$C:$C,$C12,Sheet1!$B:$B,F$1,Sheet1!$A:$A,$A12)*100,2),"0.00")</f>
        <v>40.2713 ± 43.35</v>
      </c>
      <c r="G12" s="31" t="str">
        <f>TEXT(ROUND(SUMIFS(Sheet1!$J:$J,Sheet1!$C:$C,$C12,Sheet1!$B:$B,G$1,Sheet1!$A:$A,$A12)*100,4),"0.0000") &amp; " ± " &amp; TEXT(ROUND(SUMIFS(Sheet1!$K:$K,Sheet1!$C:$C,$C12,Sheet1!$B:$B,G$1,Sheet1!$A:$A,$A12)*100,2),"0.00")</f>
        <v>27.9596 ± 33.27</v>
      </c>
      <c r="H12" s="29" t="str">
        <f>TEXT(ROUND(SUMIFS(Sheet1!$D:$D,Sheet1!$C:$C,$C12,Sheet1!$B:$B,H$1,Sheet1!$A:$A,$A12)*100,4),"0.0000") &amp; " ± " &amp; TEXT(ROUND(SUMIFS(Sheet1!$E:$E,Sheet1!$C:$C,$C12,Sheet1!$B:$B,H$1,Sheet1!$A:$A,$A12)*100,2),"0.00")</f>
        <v>59.0126 ± 22.38</v>
      </c>
      <c r="I12" s="30" t="str">
        <f>TEXT(ROUND(SUMIFS(Sheet1!$F:$F,Sheet1!$C:$C,$C12,Sheet1!$B:$B,I$1,Sheet1!$A:$A,$A12)*100,4),"0.0000") &amp; " ± " &amp; TEXT(ROUND(SUMIFS(Sheet1!$G:$G,Sheet1!$C:$C,$C12,Sheet1!$B:$B,I$1,Sheet1!$A:$A,$A12)*100,2),"0.00")</f>
        <v>22.6743 ± 25.99</v>
      </c>
      <c r="J12" s="30" t="str">
        <f>TEXT(ROUND(SUMIFS(Sheet1!$H:$H,Sheet1!$C:$C,$C12,Sheet1!$B:$B,J$1,Sheet1!$A:$A,$A12)*100,4),"0.0000") &amp; " ± " &amp; TEXT(ROUND(SUMIFS(Sheet1!$I:$I,Sheet1!$C:$C,$C12,Sheet1!$B:$B,J$1,Sheet1!$A:$A,$A12)*100,2),"0.00")</f>
        <v>35.5426 ± 42.01</v>
      </c>
      <c r="K12" s="31" t="str">
        <f>TEXT(ROUND(SUMIFS(Sheet1!$J:$J,Sheet1!$C:$C,$C12,Sheet1!$B:$B,K$1,Sheet1!$A:$A,$A12)*100,4),"0.0000") &amp; " ± " &amp; TEXT(ROUND(SUMIFS(Sheet1!$K:$K,Sheet1!$C:$C,$C12,Sheet1!$B:$B,K$1,Sheet1!$A:$A,$A12)*100,2),"0.00")</f>
        <v>19.3217 ± 23.78</v>
      </c>
      <c r="L12" s="48" t="str">
        <f>TEXT(ROUND(SUMIFS(Sheet1!$D:$D,Sheet1!$C:$C,$C12,Sheet1!$B:$B,L$1,Sheet1!$A:$A,$A12)*100,4),"0.0000") &amp; " ± " &amp; TEXT(ROUND(SUMIFS(Sheet1!$E:$E,Sheet1!$C:$C,$C12,Sheet1!$B:$B,L$1,Sheet1!$A:$A,$A12)*100,2),"0.00")</f>
        <v>58.8778 ± 22.35</v>
      </c>
      <c r="M12" s="30" t="str">
        <f>TEXT(ROUND(SUMIFS(Sheet1!$F:$F,Sheet1!$C:$C,$C12,Sheet1!$B:$B,M$1,Sheet1!$A:$A,$A12)*100,4),"0.0000") &amp; " ± " &amp; TEXT(ROUND(SUMIFS(Sheet1!$G:$G,Sheet1!$C:$C,$C12,Sheet1!$B:$B,M$1,Sheet1!$A:$A,$A12)*100,2),"0.00")</f>
        <v>24.3065 ± 29.59</v>
      </c>
      <c r="N12" s="30" t="str">
        <f>TEXT(ROUND(SUMIFS(Sheet1!$H:$H,Sheet1!$C:$C,$C12,Sheet1!$B:$B,N$1,Sheet1!$A:$A,$A12)*100,4),"0.0000") &amp; " ± " &amp; TEXT(ROUND(SUMIFS(Sheet1!$I:$I,Sheet1!$C:$C,$C12,Sheet1!$B:$B,N$1,Sheet1!$A:$A,$A12)*100,2),"0.00")</f>
        <v>36.8992 ± 43.63</v>
      </c>
      <c r="O12" s="31" t="str">
        <f>TEXT(ROUND(SUMIFS(Sheet1!$J:$J,Sheet1!$C:$C,$C12,Sheet1!$B:$B,O$1,Sheet1!$A:$A,$A12)*100,4),"0.0000") &amp; " ± " &amp; TEXT(ROUND(SUMIFS(Sheet1!$K:$K,Sheet1!$C:$C,$C12,Sheet1!$B:$B,O$1,Sheet1!$A:$A,$A12)*100,2),"0.00")</f>
        <v>22.0266 ± 30.41</v>
      </c>
    </row>
    <row r="13" spans="1:15" x14ac:dyDescent="0.3">
      <c r="A13" s="10" t="s">
        <v>16</v>
      </c>
      <c r="B13" s="15"/>
      <c r="C13" s="3" t="s">
        <v>12</v>
      </c>
      <c r="D13" s="6" t="str">
        <f>TEXT(ROUND(SUMIFS(Sheet1!$D:$D,Sheet1!$C:$C,$C13,Sheet1!$B:$B,D$1,Sheet1!$A:$A,$A13)*100,4),"0.0000") &amp; " ± " &amp; TEXT(ROUND(SUMIFS(Sheet1!$E:$E,Sheet1!$C:$C,$C13,Sheet1!$B:$B,D$1,Sheet1!$A:$A,$A13)*100,2),"0.00")</f>
        <v>58.1792 ± 19.83</v>
      </c>
      <c r="E13" s="4" t="str">
        <f>TEXT(ROUND(SUMIFS(Sheet1!$F:$F,Sheet1!$C:$C,$C13,Sheet1!$B:$B,E$1,Sheet1!$A:$A,$A13)*100,4),"0.0000") &amp; " ± " &amp; TEXT(ROUND(SUMIFS(Sheet1!$G:$G,Sheet1!$C:$C,$C13,Sheet1!$B:$B,E$1,Sheet1!$A:$A,$A13)*100,2),"0.00")</f>
        <v>31.5988 ± 29.71</v>
      </c>
      <c r="F13" s="5" t="str">
        <f>TEXT(ROUND(SUMIFS(Sheet1!$H:$H,Sheet1!$C:$C,$C13,Sheet1!$B:$B,F$1,Sheet1!$A:$A,$A13)*100,4),"0.0000") &amp; " ± " &amp; TEXT(ROUND(SUMIFS(Sheet1!$I:$I,Sheet1!$C:$C,$C13,Sheet1!$B:$B,F$1,Sheet1!$A:$A,$A13)*100,2),"0.00")</f>
        <v>41.3455 ± 40.48</v>
      </c>
      <c r="G13" s="9" t="str">
        <f>TEXT(ROUND(SUMIFS(Sheet1!$J:$J,Sheet1!$C:$C,$C13,Sheet1!$B:$B,G$1,Sheet1!$A:$A,$A13)*100,4),"0.0000") &amp; " ± " &amp; TEXT(ROUND(SUMIFS(Sheet1!$K:$K,Sheet1!$C:$C,$C13,Sheet1!$B:$B,G$1,Sheet1!$A:$A,$A13)*100,2),"0.00")</f>
        <v>35.3267 ± 37.06</v>
      </c>
      <c r="H13" s="8" t="str">
        <f>TEXT(ROUND(SUMIFS(Sheet1!$D:$D,Sheet1!$C:$C,$C13,Sheet1!$B:$B,H$1,Sheet1!$A:$A,$A13)*100,4),"0.0000") &amp; " ± " &amp; TEXT(ROUND(SUMIFS(Sheet1!$E:$E,Sheet1!$C:$C,$C13,Sheet1!$B:$B,H$1,Sheet1!$A:$A,$A13)*100,2),"0.00")</f>
        <v>60.1827 ± 18.34</v>
      </c>
      <c r="I13" s="4" t="str">
        <f>TEXT(ROUND(SUMIFS(Sheet1!$F:$F,Sheet1!$C:$C,$C13,Sheet1!$B:$B,I$1,Sheet1!$A:$A,$A13)*100,4),"0.0000") &amp; " ± " &amp; TEXT(ROUND(SUMIFS(Sheet1!$G:$G,Sheet1!$C:$C,$C13,Sheet1!$B:$B,I$1,Sheet1!$A:$A,$A13)*100,2),"0.00")</f>
        <v>33.9054 ± 30.45</v>
      </c>
      <c r="J13" s="4" t="str">
        <f>TEXT(ROUND(SUMIFS(Sheet1!$H:$H,Sheet1!$C:$C,$C13,Sheet1!$B:$B,J$1,Sheet1!$A:$A,$A13)*100,4),"0.0000") &amp; " ± " &amp; TEXT(ROUND(SUMIFS(Sheet1!$I:$I,Sheet1!$C:$C,$C13,Sheet1!$B:$B,J$1,Sheet1!$A:$A,$A13)*100,2),"0.00")</f>
        <v>45.8140 ± 42.18</v>
      </c>
      <c r="K13" s="9" t="str">
        <f>TEXT(ROUND(SUMIFS(Sheet1!$J:$J,Sheet1!$C:$C,$C13,Sheet1!$B:$B,K$1,Sheet1!$A:$A,$A13)*100,4),"0.0000") &amp; " ± " &amp; TEXT(ROUND(SUMIFS(Sheet1!$K:$K,Sheet1!$C:$C,$C13,Sheet1!$B:$B,K$1,Sheet1!$A:$A,$A13)*100,2),"0.00")</f>
        <v>32.2730 ± 31.69</v>
      </c>
      <c r="L13" s="6" t="str">
        <f>TEXT(ROUND(SUMIFS(Sheet1!$D:$D,Sheet1!$C:$C,$C13,Sheet1!$B:$B,L$1,Sheet1!$A:$A,$A13)*100,4),"0.0000") &amp; " ± " &amp; TEXT(ROUND(SUMIFS(Sheet1!$E:$E,Sheet1!$C:$C,$C13,Sheet1!$B:$B,L$1,Sheet1!$A:$A,$A13)*100,2),"0.00")</f>
        <v>57.6689 ± 16.44</v>
      </c>
      <c r="M13" s="4" t="str">
        <f>TEXT(ROUND(SUMIFS(Sheet1!$F:$F,Sheet1!$C:$C,$C13,Sheet1!$B:$B,M$1,Sheet1!$A:$A,$A13)*100,4),"0.0000") &amp; " ± " &amp; TEXT(ROUND(SUMIFS(Sheet1!$G:$G,Sheet1!$C:$C,$C13,Sheet1!$B:$B,M$1,Sheet1!$A:$A,$A13)*100,2),"0.00")</f>
        <v>29.3631 ± 27.40</v>
      </c>
      <c r="N13" s="4" t="str">
        <f>TEXT(ROUND(SUMIFS(Sheet1!$H:$H,Sheet1!$C:$C,$C13,Sheet1!$B:$B,N$1,Sheet1!$A:$A,$A13)*100,4),"0.0000") &amp; " ± " &amp; TEXT(ROUND(SUMIFS(Sheet1!$I:$I,Sheet1!$C:$C,$C13,Sheet1!$B:$B,N$1,Sheet1!$A:$A,$A13)*100,2),"0.00")</f>
        <v>43.0620 ± 41.38</v>
      </c>
      <c r="O13" s="9" t="str">
        <f>TEXT(ROUND(SUMIFS(Sheet1!$J:$J,Sheet1!$C:$C,$C13,Sheet1!$B:$B,O$1,Sheet1!$A:$A,$A13)*100,4),"0.0000") &amp; " ± " &amp; TEXT(ROUND(SUMIFS(Sheet1!$K:$K,Sheet1!$C:$C,$C13,Sheet1!$B:$B,O$1,Sheet1!$A:$A,$A13)*100,2),"0.00")</f>
        <v>29.8588 ± 32.35</v>
      </c>
    </row>
    <row r="14" spans="1:15" ht="15" thickBot="1" x14ac:dyDescent="0.35">
      <c r="A14" s="10" t="s">
        <v>16</v>
      </c>
      <c r="B14" s="16"/>
      <c r="C14" s="43" t="s">
        <v>14</v>
      </c>
      <c r="D14" s="47" t="str">
        <f>TEXT(ROUND(SUMIFS(Sheet1!$D:$D,Sheet1!$C:$C,$C14,Sheet1!$B:$B,D$1,Sheet1!$A:$A,$A14)*100,4),"0.0000") &amp; " ± " &amp; TEXT(ROUND(SUMIFS(Sheet1!$E:$E,Sheet1!$C:$C,$C14,Sheet1!$B:$B,D$1,Sheet1!$A:$A,$A14)*100,2),"0.00")</f>
        <v>58.1432 ± 21.39</v>
      </c>
      <c r="E14" s="45" t="str">
        <f>TEXT(ROUND(SUMIFS(Sheet1!$F:$F,Sheet1!$C:$C,$C14,Sheet1!$B:$B,E$1,Sheet1!$A:$A,$A14)*100,4),"0.0000") &amp; " ± " &amp; TEXT(ROUND(SUMIFS(Sheet1!$G:$G,Sheet1!$C:$C,$C14,Sheet1!$B:$B,E$1,Sheet1!$A:$A,$A14)*100,2),"0.00")</f>
        <v>17.9070 ± 23.14</v>
      </c>
      <c r="F14" s="45" t="str">
        <f>TEXT(ROUND(SUMIFS(Sheet1!$H:$H,Sheet1!$C:$C,$C14,Sheet1!$B:$B,F$1,Sheet1!$A:$A,$A14)*100,4),"0.0000") &amp; " ± " &amp; TEXT(ROUND(SUMIFS(Sheet1!$I:$I,Sheet1!$C:$C,$C14,Sheet1!$B:$B,F$1,Sheet1!$A:$A,$A14)*100,2),"0.00")</f>
        <v>30.2326 ± 40.07</v>
      </c>
      <c r="G14" s="46" t="str">
        <f>TEXT(ROUND(SUMIFS(Sheet1!$J:$J,Sheet1!$C:$C,$C14,Sheet1!$B:$B,G$1,Sheet1!$A:$A,$A14)*100,4),"0.0000") &amp; " ± " &amp; TEXT(ROUND(SUMIFS(Sheet1!$K:$K,Sheet1!$C:$C,$C14,Sheet1!$B:$B,G$1,Sheet1!$A:$A,$A14)*100,2),"0.00")</f>
        <v>16.5615 ± 25.54</v>
      </c>
      <c r="H14" s="47" t="str">
        <f>TEXT(ROUND(SUMIFS(Sheet1!$D:$D,Sheet1!$C:$C,$C14,Sheet1!$B:$B,H$1,Sheet1!$A:$A,$A14)*100,4),"0.0000") &amp; " ± " &amp; TEXT(ROUND(SUMIFS(Sheet1!$E:$E,Sheet1!$C:$C,$C14,Sheet1!$B:$B,H$1,Sheet1!$A:$A,$A14)*100,2),"0.00")</f>
        <v>58.2614 ± 23.70</v>
      </c>
      <c r="I14" s="45" t="str">
        <f>TEXT(ROUND(SUMIFS(Sheet1!$F:$F,Sheet1!$C:$C,$C14,Sheet1!$B:$B,I$1,Sheet1!$A:$A,$A14)*100,4),"0.0000") &amp; " ± " &amp; TEXT(ROUND(SUMIFS(Sheet1!$G:$G,Sheet1!$C:$C,$C14,Sheet1!$B:$B,I$1,Sheet1!$A:$A,$A14)*100,2),"0.00")</f>
        <v>17.8387 ± 22.07</v>
      </c>
      <c r="J14" s="45" t="str">
        <f>TEXT(ROUND(SUMIFS(Sheet1!$H:$H,Sheet1!$C:$C,$C14,Sheet1!$B:$B,J$1,Sheet1!$A:$A,$A14)*100,4),"0.0000") &amp; " ± " &amp; TEXT(ROUND(SUMIFS(Sheet1!$I:$I,Sheet1!$C:$C,$C14,Sheet1!$B:$B,J$1,Sheet1!$A:$A,$A14)*100,2),"0.00")</f>
        <v>31.3953 ± 40.06</v>
      </c>
      <c r="K14" s="46" t="str">
        <f>TEXT(ROUND(SUMIFS(Sheet1!$J:$J,Sheet1!$C:$C,$C14,Sheet1!$B:$B,K$1,Sheet1!$A:$A,$A14)*100,4),"0.0000") &amp; " ± " &amp; TEXT(ROUND(SUMIFS(Sheet1!$K:$K,Sheet1!$C:$C,$C14,Sheet1!$B:$B,K$1,Sheet1!$A:$A,$A14)*100,2),"0.00")</f>
        <v>16.7386 ± 25.32</v>
      </c>
      <c r="L14" s="47" t="str">
        <f>TEXT(ROUND(SUMIFS(Sheet1!$D:$D,Sheet1!$C:$C,$C14,Sheet1!$B:$B,L$1,Sheet1!$A:$A,$A14)*100,4),"0.0000") &amp; " ± " &amp; TEXT(ROUND(SUMIFS(Sheet1!$E:$E,Sheet1!$C:$C,$C14,Sheet1!$B:$B,L$1,Sheet1!$A:$A,$A14)*100,2),"0.00")</f>
        <v>56.6205 ± 23.59</v>
      </c>
      <c r="M14" s="45" t="str">
        <f>TEXT(ROUND(SUMIFS(Sheet1!$F:$F,Sheet1!$C:$C,$C14,Sheet1!$B:$B,M$1,Sheet1!$A:$A,$A14)*100,4),"0.0000") &amp; " ± " &amp; TEXT(ROUND(SUMIFS(Sheet1!$G:$G,Sheet1!$C:$C,$C14,Sheet1!$B:$B,M$1,Sheet1!$A:$A,$A14)*100,2),"0.00")</f>
        <v>17.7058 ± 22.32</v>
      </c>
      <c r="N14" s="45" t="str">
        <f>TEXT(ROUND(SUMIFS(Sheet1!$H:$H,Sheet1!$C:$C,$C14,Sheet1!$B:$B,N$1,Sheet1!$A:$A,$A14)*100,4),"0.0000") &amp; " ± " &amp; TEXT(ROUND(SUMIFS(Sheet1!$I:$I,Sheet1!$C:$C,$C14,Sheet1!$B:$B,N$1,Sheet1!$A:$A,$A14)*100,2),"0.00")</f>
        <v>35.5426 ± 44.54</v>
      </c>
      <c r="O14" s="46" t="str">
        <f>TEXT(ROUND(SUMIFS(Sheet1!$J:$J,Sheet1!$C:$C,$C14,Sheet1!$B:$B,O$1,Sheet1!$A:$A,$A14)*100,4),"0.0000") &amp; " ± " &amp; TEXT(ROUND(SUMIFS(Sheet1!$K:$K,Sheet1!$C:$C,$C14,Sheet1!$B:$B,O$1,Sheet1!$A:$A,$A14)*100,2),"0.00")</f>
        <v>15.4568 ± 22.60</v>
      </c>
    </row>
  </sheetData>
  <mergeCells count="10">
    <mergeCell ref="D2:G2"/>
    <mergeCell ref="H2:K2"/>
    <mergeCell ref="L2:O2"/>
    <mergeCell ref="B4:B7"/>
    <mergeCell ref="B11:B14"/>
    <mergeCell ref="B2:B3"/>
    <mergeCell ref="B9:B10"/>
    <mergeCell ref="D9:G9"/>
    <mergeCell ref="H9:K9"/>
    <mergeCell ref="L9:O9"/>
  </mergeCells>
  <conditionalFormatting sqref="D4:O7 D11:G1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:K1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:O1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Hanifi</dc:creator>
  <cp:lastModifiedBy>Nikoo Amjadi</cp:lastModifiedBy>
  <dcterms:created xsi:type="dcterms:W3CDTF">2026-06-07T13:23:22Z</dcterms:created>
  <dcterms:modified xsi:type="dcterms:W3CDTF">2026-06-12T06:05:04Z</dcterms:modified>
</cp:coreProperties>
</file>