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I:\code\"/>
    </mc:Choice>
  </mc:AlternateContent>
  <xr:revisionPtr revIDLastSave="0" documentId="8_{716B6863-7658-4D71-888F-529E0763362C}" xr6:coauthVersionLast="47" xr6:coauthVersionMax="47" xr10:uidLastSave="{00000000-0000-0000-0000-000000000000}"/>
  <bookViews>
    <workbookView xWindow="-120" yWindow="-120" windowWidth="26640" windowHeight="14490" activeTab="1" xr2:uid="{8D592C9F-CC51-43DD-B2E3-0BF015735963}"/>
  </bookViews>
  <sheets>
    <sheet name="Sheet1" sheetId="1" r:id="rId1"/>
    <sheet name="Sheet2" sheetId="2" r:id="rId2"/>
  </sheets>
  <definedNames>
    <definedName name="_xlnm._FilterDatabase" localSheetId="0" hidden="1">Sheet1!$A$1:$K$25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4" i="2" l="1"/>
  <c r="N14" i="2"/>
  <c r="M14" i="2"/>
  <c r="L14" i="2"/>
  <c r="O13" i="2"/>
  <c r="N13" i="2"/>
  <c r="M13" i="2"/>
  <c r="L13" i="2"/>
  <c r="O12" i="2"/>
  <c r="N12" i="2"/>
  <c r="M12" i="2"/>
  <c r="L12" i="2"/>
  <c r="O11" i="2"/>
  <c r="N11" i="2"/>
  <c r="M11" i="2"/>
  <c r="L11" i="2"/>
  <c r="K14" i="2"/>
  <c r="J14" i="2"/>
  <c r="I14" i="2"/>
  <c r="H14" i="2"/>
  <c r="K13" i="2"/>
  <c r="J13" i="2"/>
  <c r="I13" i="2"/>
  <c r="H13" i="2"/>
  <c r="K12" i="2"/>
  <c r="J12" i="2"/>
  <c r="I12" i="2"/>
  <c r="H12" i="2"/>
  <c r="K11" i="2"/>
  <c r="J11" i="2"/>
  <c r="I11" i="2"/>
  <c r="H11" i="2"/>
  <c r="D11" i="2"/>
  <c r="G14" i="2"/>
  <c r="F14" i="2"/>
  <c r="E14" i="2"/>
  <c r="D14" i="2"/>
  <c r="G13" i="2"/>
  <c r="F13" i="2"/>
  <c r="E13" i="2"/>
  <c r="D13" i="2"/>
  <c r="G12" i="2"/>
  <c r="F12" i="2"/>
  <c r="E12" i="2"/>
  <c r="D12" i="2"/>
  <c r="G11" i="2"/>
  <c r="F11" i="2"/>
  <c r="E11" i="2"/>
  <c r="O7" i="2"/>
  <c r="N7" i="2"/>
  <c r="M7" i="2"/>
  <c r="L7" i="2"/>
  <c r="O6" i="2"/>
  <c r="N6" i="2"/>
  <c r="M6" i="2"/>
  <c r="L6" i="2"/>
  <c r="O5" i="2"/>
  <c r="N5" i="2"/>
  <c r="M5" i="2"/>
  <c r="L5" i="2"/>
  <c r="O4" i="2"/>
  <c r="N4" i="2"/>
  <c r="M4" i="2"/>
  <c r="L4" i="2"/>
  <c r="K7" i="2"/>
  <c r="H4" i="2"/>
  <c r="J7" i="2"/>
  <c r="I7" i="2"/>
  <c r="H7" i="2"/>
  <c r="K6" i="2"/>
  <c r="J6" i="2"/>
  <c r="I6" i="2"/>
  <c r="H6" i="2"/>
  <c r="K5" i="2"/>
  <c r="J5" i="2"/>
  <c r="I5" i="2"/>
  <c r="H5" i="2"/>
  <c r="K4" i="2"/>
  <c r="J4" i="2"/>
  <c r="I4" i="2"/>
  <c r="D5" i="2"/>
  <c r="D6" i="2"/>
  <c r="D7" i="2"/>
  <c r="E5" i="2"/>
  <c r="E6" i="2"/>
  <c r="E7" i="2"/>
  <c r="F5" i="2"/>
  <c r="F6" i="2"/>
  <c r="F7" i="2"/>
  <c r="G5" i="2"/>
  <c r="G6" i="2"/>
  <c r="G7" i="2"/>
  <c r="G4" i="2"/>
  <c r="F4" i="2"/>
  <c r="E4" i="2"/>
  <c r="D4" i="2"/>
</calcChain>
</file>

<file path=xl/sharedStrings.xml><?xml version="1.0" encoding="utf-8"?>
<sst xmlns="http://schemas.openxmlformats.org/spreadsheetml/2006/main" count="149" uniqueCount="32">
  <si>
    <t>Model</t>
  </si>
  <si>
    <t>Acc_mean</t>
  </si>
  <si>
    <t>Acc_std</t>
  </si>
  <si>
    <t>F1_mean</t>
  </si>
  <si>
    <t>F1_std</t>
  </si>
  <si>
    <t>Prec_mean</t>
  </si>
  <si>
    <t>Prec_std</t>
  </si>
  <si>
    <t>Rec_mean</t>
  </si>
  <si>
    <t>Rec_std</t>
  </si>
  <si>
    <t>Run Type</t>
  </si>
  <si>
    <t>Data Type</t>
  </si>
  <si>
    <t>SVM</t>
  </si>
  <si>
    <t>XGBoost</t>
  </si>
  <si>
    <t>Random Forest</t>
  </si>
  <si>
    <t>KNN</t>
  </si>
  <si>
    <t>Raw</t>
  </si>
  <si>
    <t>Agg</t>
  </si>
  <si>
    <t>Win</t>
  </si>
  <si>
    <t>Raw + VG</t>
  </si>
  <si>
    <t>VG</t>
  </si>
  <si>
    <t>Model Name</t>
  </si>
  <si>
    <t>Accuracy (±std)</t>
  </si>
  <si>
    <t>F1 Score (±std)</t>
  </si>
  <si>
    <t>Precision (±std)</t>
  </si>
  <si>
    <t>Recall (±std)</t>
  </si>
  <si>
    <t>Input Mode</t>
  </si>
  <si>
    <t>Raw Features</t>
  </si>
  <si>
    <t>Visibility Graph Features</t>
  </si>
  <si>
    <t>Raw + Visibility Graph Features</t>
  </si>
  <si>
    <t>Run Mode</t>
  </si>
  <si>
    <t>Windowed</t>
  </si>
  <si>
    <t>Aggregated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</si>
</sst>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3" borderId="9" xfId="0" applyFill="1" applyBorder="1"/>
    <xf numFmtId="0" fontId="0" fillId="3" borderId="7" xfId="0" applyFill="1" applyBorder="1"/>
    <xf numFmtId="0" fontId="0" fillId="2" borderId="4" xfId="0" applyFill="1" applyBorder="1"/>
    <xf numFmtId="0" fontId="0" fillId="2" borderId="9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60A1F-9449-4A91-8C37-2E569624DE33}">
  <dimension ref="A1:K25"/>
  <sheetViews>
    <sheetView workbookViewId="0">
      <selection activeCell="C29" sqref="C29"/>
    </sheetView>
  </sheetViews>
  <sheetFormatPr defaultRowHeight="15" x14ac:dyDescent="0.25"/>
  <cols>
    <col min="1" max="1" width="8.85546875" bestFit="1" customWidth="1"/>
    <col min="2" max="2" width="9.5703125" bestFit="1" customWidth="1"/>
    <col min="3" max="3" width="14.42578125" bestFit="1" customWidth="1"/>
    <col min="4" max="6" width="12" bestFit="1" customWidth="1"/>
    <col min="7" max="7" width="12" customWidth="1"/>
    <col min="8" max="11" width="12" bestFit="1" customWidth="1"/>
  </cols>
  <sheetData>
    <row r="1" spans="1:11" x14ac:dyDescent="0.25">
      <c r="A1" s="2" t="s">
        <v>9</v>
      </c>
      <c r="B1" s="2" t="s">
        <v>10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 x14ac:dyDescent="0.25">
      <c r="A2" s="2" t="s">
        <v>16</v>
      </c>
      <c r="B2" s="2" t="s">
        <v>15</v>
      </c>
      <c r="C2" s="2" t="s">
        <v>11</v>
      </c>
      <c r="D2" s="2">
        <v>0.65877378399999997</v>
      </c>
      <c r="E2" s="2">
        <v>0.13336878799999999</v>
      </c>
      <c r="F2" s="2">
        <v>0.786007083</v>
      </c>
      <c r="G2" s="2">
        <v>9.5959454999999999E-2</v>
      </c>
      <c r="H2" s="2">
        <v>0.65947850600000002</v>
      </c>
      <c r="I2" s="2">
        <v>0.13332856600000001</v>
      </c>
      <c r="J2" s="2">
        <v>0.99667774099999995</v>
      </c>
      <c r="K2" s="2">
        <v>2.15307E-2</v>
      </c>
    </row>
    <row r="3" spans="1:11" x14ac:dyDescent="0.25">
      <c r="A3" s="2" t="s">
        <v>16</v>
      </c>
      <c r="B3" s="2" t="s">
        <v>18</v>
      </c>
      <c r="C3" s="2" t="s">
        <v>11</v>
      </c>
      <c r="D3" s="2">
        <v>0.65665961945031703</v>
      </c>
      <c r="E3" s="2">
        <v>0.13442365221654501</v>
      </c>
      <c r="F3" s="2">
        <v>0.78498109157983798</v>
      </c>
      <c r="G3" s="2">
        <v>9.6572846701287796E-2</v>
      </c>
      <c r="H3" s="2">
        <v>0.65792811839323395</v>
      </c>
      <c r="I3" s="2">
        <v>0.13362325022044999</v>
      </c>
      <c r="J3" s="2">
        <v>0.99667774086378702</v>
      </c>
      <c r="K3" s="2">
        <v>2.1530699994710498E-2</v>
      </c>
    </row>
    <row r="4" spans="1:11" x14ac:dyDescent="0.25">
      <c r="A4" s="2" t="s">
        <v>16</v>
      </c>
      <c r="B4" s="2" t="s">
        <v>19</v>
      </c>
      <c r="C4" s="2" t="s">
        <v>11</v>
      </c>
      <c r="D4" s="2">
        <v>0.650317124735729</v>
      </c>
      <c r="E4" s="2">
        <v>0.13308025750779301</v>
      </c>
      <c r="F4" s="2">
        <v>0.78046672769474901</v>
      </c>
      <c r="G4" s="2">
        <v>9.5623106629598595E-2</v>
      </c>
      <c r="H4" s="2">
        <v>0.65609584214235295</v>
      </c>
      <c r="I4" s="2">
        <v>0.13271747720654301</v>
      </c>
      <c r="J4" s="2">
        <v>0.98827980804724902</v>
      </c>
      <c r="K4" s="2">
        <v>4.5583360285905698E-2</v>
      </c>
    </row>
    <row r="5" spans="1:11" x14ac:dyDescent="0.25">
      <c r="A5" s="2" t="s">
        <v>16</v>
      </c>
      <c r="B5" s="2" t="s">
        <v>15</v>
      </c>
      <c r="C5" s="2" t="s">
        <v>12</v>
      </c>
      <c r="D5" s="2">
        <v>0.65454545500000005</v>
      </c>
      <c r="E5" s="2">
        <v>0.145031096</v>
      </c>
      <c r="F5" s="2">
        <v>0.77560136700000004</v>
      </c>
      <c r="G5" s="2">
        <v>0.108206116</v>
      </c>
      <c r="H5" s="2">
        <v>0.66436457599999998</v>
      </c>
      <c r="I5" s="2">
        <v>0.137228973</v>
      </c>
      <c r="J5" s="2">
        <v>0.96027131799999998</v>
      </c>
      <c r="K5" s="2">
        <v>0.102703663</v>
      </c>
    </row>
    <row r="6" spans="1:11" x14ac:dyDescent="0.25">
      <c r="A6" s="2" t="s">
        <v>16</v>
      </c>
      <c r="B6" s="2" t="s">
        <v>19</v>
      </c>
      <c r="C6" s="2" t="s">
        <v>12</v>
      </c>
      <c r="D6" s="2">
        <v>0.63763213530655305</v>
      </c>
      <c r="E6" s="2">
        <v>0.14080274777806001</v>
      </c>
      <c r="F6" s="2">
        <v>0.76896121973881304</v>
      </c>
      <c r="G6" s="2">
        <v>0.10309130137956</v>
      </c>
      <c r="H6" s="2">
        <v>0.65270646665995502</v>
      </c>
      <c r="I6" s="2">
        <v>0.13504064297645499</v>
      </c>
      <c r="J6" s="2">
        <v>0.96396271686969304</v>
      </c>
      <c r="K6" s="2">
        <v>9.2203891103671901E-2</v>
      </c>
    </row>
    <row r="7" spans="1:11" x14ac:dyDescent="0.25">
      <c r="A7" s="2" t="s">
        <v>16</v>
      </c>
      <c r="B7" s="2" t="s">
        <v>15</v>
      </c>
      <c r="C7" s="2" t="s">
        <v>13</v>
      </c>
      <c r="D7" s="2">
        <v>0.64820295999999999</v>
      </c>
      <c r="E7" s="2">
        <v>0.14634419900000001</v>
      </c>
      <c r="F7" s="2">
        <v>0.76460992999999999</v>
      </c>
      <c r="G7" s="2">
        <v>0.124739934</v>
      </c>
      <c r="H7" s="2">
        <v>0.66562133000000001</v>
      </c>
      <c r="I7" s="2">
        <v>0.134113116</v>
      </c>
      <c r="J7" s="2">
        <v>0.93876891799999995</v>
      </c>
      <c r="K7" s="2">
        <v>0.14921200700000001</v>
      </c>
    </row>
    <row r="8" spans="1:11" x14ac:dyDescent="0.25">
      <c r="A8" s="2" t="s">
        <v>16</v>
      </c>
      <c r="B8" s="2" t="s">
        <v>18</v>
      </c>
      <c r="C8" s="2" t="s">
        <v>13</v>
      </c>
      <c r="D8" s="2">
        <v>0.628118393234672</v>
      </c>
      <c r="E8" s="2">
        <v>0.13301474780897499</v>
      </c>
      <c r="F8" s="2">
        <v>0.757694167018092</v>
      </c>
      <c r="G8" s="2">
        <v>9.9639329376219402E-2</v>
      </c>
      <c r="H8" s="2">
        <v>0.66090724520957</v>
      </c>
      <c r="I8" s="2">
        <v>0.13732916948248899</v>
      </c>
      <c r="J8" s="2">
        <v>0.92884828349944604</v>
      </c>
      <c r="K8" s="2">
        <v>0.124468657916165</v>
      </c>
    </row>
    <row r="9" spans="1:11" x14ac:dyDescent="0.25">
      <c r="A9" s="2" t="s">
        <v>16</v>
      </c>
      <c r="B9" s="2" t="s">
        <v>18</v>
      </c>
      <c r="C9" s="2" t="s">
        <v>12</v>
      </c>
      <c r="D9" s="2">
        <v>0.62917547568710297</v>
      </c>
      <c r="E9" s="2">
        <v>0.149886985929299</v>
      </c>
      <c r="F9" s="2">
        <v>0.75702331524204902</v>
      </c>
      <c r="G9" s="2">
        <v>0.117936529747537</v>
      </c>
      <c r="H9" s="2">
        <v>0.648031813148092</v>
      </c>
      <c r="I9" s="2">
        <v>0.13727247062599701</v>
      </c>
      <c r="J9" s="2">
        <v>0.93710778885197399</v>
      </c>
      <c r="K9" s="2">
        <v>0.12968257391080101</v>
      </c>
    </row>
    <row r="10" spans="1:11" x14ac:dyDescent="0.25">
      <c r="A10" s="2" t="s">
        <v>16</v>
      </c>
      <c r="B10" s="2" t="s">
        <v>19</v>
      </c>
      <c r="C10" s="2" t="s">
        <v>13</v>
      </c>
      <c r="D10" s="2">
        <v>0.61966173361522103</v>
      </c>
      <c r="E10" s="2">
        <v>0.14734409870520301</v>
      </c>
      <c r="F10" s="2">
        <v>0.74632779641059499</v>
      </c>
      <c r="G10" s="2">
        <v>0.115241737197808</v>
      </c>
      <c r="H10" s="2">
        <v>0.65638695929393598</v>
      </c>
      <c r="I10" s="2">
        <v>0.13998935316649</v>
      </c>
      <c r="J10" s="2">
        <v>0.90476190476190399</v>
      </c>
      <c r="K10" s="2">
        <v>0.15049768413686801</v>
      </c>
    </row>
    <row r="11" spans="1:11" x14ac:dyDescent="0.25">
      <c r="A11" s="2" t="s">
        <v>16</v>
      </c>
      <c r="B11" s="2" t="s">
        <v>15</v>
      </c>
      <c r="C11" s="2" t="s">
        <v>14</v>
      </c>
      <c r="D11" s="2">
        <v>0.61120507400000001</v>
      </c>
      <c r="E11" s="2">
        <v>0.14077893699999999</v>
      </c>
      <c r="F11" s="2">
        <v>0.73233062299999996</v>
      </c>
      <c r="G11" s="2">
        <v>0.121653761</v>
      </c>
      <c r="H11" s="2">
        <v>0.66243582000000001</v>
      </c>
      <c r="I11" s="2">
        <v>0.15628341900000001</v>
      </c>
      <c r="J11" s="2">
        <v>0.85535001200000005</v>
      </c>
      <c r="K11" s="2">
        <v>0.158361961</v>
      </c>
    </row>
    <row r="12" spans="1:11" x14ac:dyDescent="0.25">
      <c r="A12" s="2" t="s">
        <v>16</v>
      </c>
      <c r="B12" s="2" t="s">
        <v>19</v>
      </c>
      <c r="C12" s="2" t="s">
        <v>14</v>
      </c>
      <c r="D12" s="2">
        <v>0.591120507399577</v>
      </c>
      <c r="E12" s="2">
        <v>0.15218933214875699</v>
      </c>
      <c r="F12" s="2">
        <v>0.71406603692225401</v>
      </c>
      <c r="G12" s="2">
        <v>0.12887792185990901</v>
      </c>
      <c r="H12" s="2">
        <v>0.64561562468539202</v>
      </c>
      <c r="I12" s="2">
        <v>0.14611567109888299</v>
      </c>
      <c r="J12" s="2">
        <v>0.82773750797006596</v>
      </c>
      <c r="K12" s="2">
        <v>0.16058436471063101</v>
      </c>
    </row>
    <row r="13" spans="1:11" x14ac:dyDescent="0.25">
      <c r="A13" s="2" t="s">
        <v>16</v>
      </c>
      <c r="B13" s="2" t="s">
        <v>18</v>
      </c>
      <c r="C13" s="2" t="s">
        <v>14</v>
      </c>
      <c r="D13" s="2">
        <v>0.57949260042283302</v>
      </c>
      <c r="E13" s="2">
        <v>0.140413340880953</v>
      </c>
      <c r="F13" s="2">
        <v>0.70861284098738198</v>
      </c>
      <c r="G13" s="2">
        <v>0.11756794952192499</v>
      </c>
      <c r="H13" s="2">
        <v>0.64137219369777498</v>
      </c>
      <c r="I13" s="2">
        <v>0.139104083916572</v>
      </c>
      <c r="J13" s="2">
        <v>0.82629115070975501</v>
      </c>
      <c r="K13" s="2">
        <v>0.16845563633737301</v>
      </c>
    </row>
    <row r="14" spans="1:11" x14ac:dyDescent="0.25">
      <c r="A14" s="2" t="s">
        <v>17</v>
      </c>
      <c r="B14" s="2" t="s">
        <v>15</v>
      </c>
      <c r="C14" s="2" t="s">
        <v>12</v>
      </c>
      <c r="D14" s="2">
        <v>0.69751033092055403</v>
      </c>
      <c r="E14" s="2">
        <v>0.13848425570214801</v>
      </c>
      <c r="F14" s="2">
        <v>0.81347286903553595</v>
      </c>
      <c r="G14" s="2">
        <v>0.103039011805956</v>
      </c>
      <c r="H14" s="2">
        <v>0.69788542469399695</v>
      </c>
      <c r="I14" s="2">
        <v>0.13927893762257301</v>
      </c>
      <c r="J14" s="2">
        <v>0.99962490622655598</v>
      </c>
      <c r="K14" s="2">
        <v>2.4308854832737598E-3</v>
      </c>
    </row>
    <row r="15" spans="1:11" x14ac:dyDescent="0.25">
      <c r="A15" s="2" t="s">
        <v>17</v>
      </c>
      <c r="B15" s="2" t="s">
        <v>18</v>
      </c>
      <c r="C15" s="2" t="s">
        <v>12</v>
      </c>
      <c r="D15" s="2">
        <v>0.69751333167074203</v>
      </c>
      <c r="E15" s="2">
        <v>0.13919796394098299</v>
      </c>
      <c r="F15" s="2">
        <v>0.81341270895054296</v>
      </c>
      <c r="G15" s="2">
        <v>0.10330308999007801</v>
      </c>
      <c r="H15" s="2">
        <v>0.69778559485849001</v>
      </c>
      <c r="I15" s="2">
        <v>0.139253118792868</v>
      </c>
      <c r="J15" s="2">
        <v>0.99949443882709799</v>
      </c>
      <c r="K15" s="2">
        <v>3.2764108687602898E-3</v>
      </c>
    </row>
    <row r="16" spans="1:11" x14ac:dyDescent="0.25">
      <c r="A16" s="2" t="s">
        <v>17</v>
      </c>
      <c r="B16" s="2" t="s">
        <v>19</v>
      </c>
      <c r="C16" s="2" t="s">
        <v>12</v>
      </c>
      <c r="D16" s="2">
        <v>0.69751333167074203</v>
      </c>
      <c r="E16" s="2">
        <v>0.13919796394098299</v>
      </c>
      <c r="F16" s="2">
        <v>0.81341270895054296</v>
      </c>
      <c r="G16" s="2">
        <v>0.10330308999007801</v>
      </c>
      <c r="H16" s="2">
        <v>0.69778559485849001</v>
      </c>
      <c r="I16" s="2">
        <v>0.139253118792868</v>
      </c>
      <c r="J16" s="2">
        <v>0.99949443882709799</v>
      </c>
      <c r="K16" s="2">
        <v>3.2764108687602898E-3</v>
      </c>
    </row>
    <row r="17" spans="1:11" x14ac:dyDescent="0.25">
      <c r="A17" s="2" t="s">
        <v>17</v>
      </c>
      <c r="B17" s="2" t="s">
        <v>19</v>
      </c>
      <c r="C17" s="2" t="s">
        <v>11</v>
      </c>
      <c r="D17" s="2">
        <v>0.69695366794528602</v>
      </c>
      <c r="E17" s="2">
        <v>0.13818725307768401</v>
      </c>
      <c r="F17" s="2">
        <v>0.81294570129091803</v>
      </c>
      <c r="G17" s="2">
        <v>0.102777027975063</v>
      </c>
      <c r="H17" s="2">
        <v>0.69769971347496595</v>
      </c>
      <c r="I17" s="2">
        <v>0.13889425102706801</v>
      </c>
      <c r="J17" s="2">
        <v>0.998231641375807</v>
      </c>
      <c r="K17" s="2">
        <v>5.7108383787686E-3</v>
      </c>
    </row>
    <row r="18" spans="1:11" x14ac:dyDescent="0.25">
      <c r="A18" s="2" t="s">
        <v>17</v>
      </c>
      <c r="B18" s="2" t="s">
        <v>15</v>
      </c>
      <c r="C18" s="2" t="s">
        <v>11</v>
      </c>
      <c r="D18" s="2">
        <v>0.69619895429591006</v>
      </c>
      <c r="E18" s="2">
        <v>0.136862099368986</v>
      </c>
      <c r="F18" s="2">
        <v>0.81187030231466695</v>
      </c>
      <c r="G18" s="2">
        <v>0.10229266375716201</v>
      </c>
      <c r="H18" s="2">
        <v>0.69845323007720606</v>
      </c>
      <c r="I18" s="2">
        <v>0.138734214652592</v>
      </c>
      <c r="J18" s="2">
        <v>0.99369930809328</v>
      </c>
      <c r="K18" s="2">
        <v>1.62208715799637E-2</v>
      </c>
    </row>
    <row r="19" spans="1:11" x14ac:dyDescent="0.25">
      <c r="A19" s="2" t="s">
        <v>17</v>
      </c>
      <c r="B19" s="2" t="s">
        <v>18</v>
      </c>
      <c r="C19" s="2" t="s">
        <v>11</v>
      </c>
      <c r="D19" s="2">
        <v>0.69246292272704202</v>
      </c>
      <c r="E19" s="2">
        <v>0.14009053636869701</v>
      </c>
      <c r="F19" s="2">
        <v>0.809593263214192</v>
      </c>
      <c r="G19" s="2">
        <v>0.10415993499948401</v>
      </c>
      <c r="H19" s="2">
        <v>0.69638196900494298</v>
      </c>
      <c r="I19" s="2">
        <v>0.13953322056793399</v>
      </c>
      <c r="J19" s="2">
        <v>0.99141512295674195</v>
      </c>
      <c r="K19" s="2">
        <v>3.0046211523677001E-2</v>
      </c>
    </row>
    <row r="20" spans="1:11" x14ac:dyDescent="0.25">
      <c r="A20" s="2" t="s">
        <v>17</v>
      </c>
      <c r="B20" s="2" t="s">
        <v>15</v>
      </c>
      <c r="C20" s="2" t="s">
        <v>14</v>
      </c>
      <c r="D20" s="2">
        <v>0.65350552449708299</v>
      </c>
      <c r="E20" s="2">
        <v>0.104370208988924</v>
      </c>
      <c r="F20" s="2">
        <v>0.76929235365988102</v>
      </c>
      <c r="G20" s="2">
        <v>9.44031101113985E-2</v>
      </c>
      <c r="H20" s="2">
        <v>0.70259982100137497</v>
      </c>
      <c r="I20" s="2">
        <v>0.13687029039205201</v>
      </c>
      <c r="J20" s="2">
        <v>0.87082477044483397</v>
      </c>
      <c r="K20" s="2">
        <v>5.3948073540975701E-2</v>
      </c>
    </row>
    <row r="21" spans="1:11" x14ac:dyDescent="0.25">
      <c r="A21" s="2" t="s">
        <v>17</v>
      </c>
      <c r="B21" s="2" t="s">
        <v>19</v>
      </c>
      <c r="C21" s="2" t="s">
        <v>14</v>
      </c>
      <c r="D21" s="2">
        <v>0.64052420681255895</v>
      </c>
      <c r="E21" s="2">
        <v>0.109717385810654</v>
      </c>
      <c r="F21" s="2">
        <v>0.75954598951206698</v>
      </c>
      <c r="G21" s="2">
        <v>9.7332844121988796E-2</v>
      </c>
      <c r="H21" s="2">
        <v>0.69955736664934698</v>
      </c>
      <c r="I21" s="2">
        <v>0.14236905184536799</v>
      </c>
      <c r="J21" s="2">
        <v>0.853622005806835</v>
      </c>
      <c r="K21" s="2">
        <v>6.0034358736722103E-2</v>
      </c>
    </row>
    <row r="22" spans="1:11" x14ac:dyDescent="0.25">
      <c r="A22" s="2" t="s">
        <v>17</v>
      </c>
      <c r="B22" s="2" t="s">
        <v>18</v>
      </c>
      <c r="C22" s="2" t="s">
        <v>14</v>
      </c>
      <c r="D22" s="2">
        <v>0.63444451753067399</v>
      </c>
      <c r="E22" s="2">
        <v>0.113502474551569</v>
      </c>
      <c r="F22" s="2">
        <v>0.75515984588445295</v>
      </c>
      <c r="G22" s="2">
        <v>9.9482382167764699E-2</v>
      </c>
      <c r="H22" s="2">
        <v>0.69549237860500701</v>
      </c>
      <c r="I22" s="2">
        <v>0.14261347194287399</v>
      </c>
      <c r="J22" s="2">
        <v>0.849223648335096</v>
      </c>
      <c r="K22" s="2">
        <v>6.8962501653952804E-2</v>
      </c>
    </row>
    <row r="23" spans="1:11" x14ac:dyDescent="0.25">
      <c r="A23" s="2" t="s">
        <v>17</v>
      </c>
      <c r="B23" s="2" t="s">
        <v>15</v>
      </c>
      <c r="C23" s="2" t="s">
        <v>13</v>
      </c>
      <c r="D23" s="2">
        <v>0.63686818713592797</v>
      </c>
      <c r="E23" s="2">
        <v>0.123406386700859</v>
      </c>
      <c r="F23" s="2">
        <v>0.73908306020155201</v>
      </c>
      <c r="G23" s="2">
        <v>0.13471124178232</v>
      </c>
      <c r="H23" s="2">
        <v>0.70496819702997404</v>
      </c>
      <c r="I23" s="2">
        <v>0.147665297032397</v>
      </c>
      <c r="J23" s="2">
        <v>0.81779775158256596</v>
      </c>
      <c r="K23" s="2">
        <v>0.19130485269325301</v>
      </c>
    </row>
    <row r="24" spans="1:11" x14ac:dyDescent="0.25">
      <c r="A24" s="2" t="s">
        <v>17</v>
      </c>
      <c r="B24" s="2" t="s">
        <v>18</v>
      </c>
      <c r="C24" s="2" t="s">
        <v>13</v>
      </c>
      <c r="D24" s="2">
        <v>0.63424665644339095</v>
      </c>
      <c r="E24" s="2">
        <v>0.12069513954408299</v>
      </c>
      <c r="F24" s="2">
        <v>0.73724900177900898</v>
      </c>
      <c r="G24" s="2">
        <v>0.13089321250197</v>
      </c>
      <c r="H24" s="2">
        <v>0.70306319102699</v>
      </c>
      <c r="I24" s="2">
        <v>0.14423501969170499</v>
      </c>
      <c r="J24" s="2">
        <v>0.81339929944304801</v>
      </c>
      <c r="K24" s="2">
        <v>0.18600966669007099</v>
      </c>
    </row>
    <row r="25" spans="1:11" x14ac:dyDescent="0.25">
      <c r="A25" s="2" t="s">
        <v>17</v>
      </c>
      <c r="B25" s="2" t="s">
        <v>19</v>
      </c>
      <c r="C25" s="2" t="s">
        <v>13</v>
      </c>
      <c r="D25" s="2">
        <v>0.59454979814291598</v>
      </c>
      <c r="E25" s="2">
        <v>0.11459455778698401</v>
      </c>
      <c r="F25" s="2">
        <v>0.70624170087829596</v>
      </c>
      <c r="G25" s="2">
        <v>0.117035534917813</v>
      </c>
      <c r="H25" s="2">
        <v>0.69245006082189497</v>
      </c>
      <c r="I25" s="2">
        <v>0.14283332192550999</v>
      </c>
      <c r="J25" s="2">
        <v>0.75252195452335302</v>
      </c>
      <c r="K25" s="2">
        <v>0.15141921766962901</v>
      </c>
    </row>
  </sheetData>
  <autoFilter ref="A1:K25" xr:uid="{20B60A1F-9449-4A91-8C37-2E569624DE33}">
    <sortState xmlns:xlrd2="http://schemas.microsoft.com/office/spreadsheetml/2017/richdata2" ref="A2:K25">
      <sortCondition ref="A1:A2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F4F26-DE01-4BB2-9AB3-84FA32AC1323}">
  <dimension ref="A1:O14"/>
  <sheetViews>
    <sheetView tabSelected="1" workbookViewId="0">
      <selection activeCell="B25" sqref="B25"/>
    </sheetView>
  </sheetViews>
  <sheetFormatPr defaultRowHeight="15" x14ac:dyDescent="0.25"/>
  <cols>
    <col min="1" max="1" width="6.85546875" customWidth="1"/>
    <col min="2" max="2" width="16.5703125" customWidth="1"/>
    <col min="3" max="3" width="14.42578125" bestFit="1" customWidth="1"/>
    <col min="4" max="7" width="15.7109375" style="1" customWidth="1"/>
    <col min="8" max="15" width="15.7109375" customWidth="1"/>
  </cols>
  <sheetData>
    <row r="1" spans="1:15" ht="15.75" thickBot="1" x14ac:dyDescent="0.3">
      <c r="D1" s="1" t="s">
        <v>15</v>
      </c>
      <c r="E1" s="1" t="s">
        <v>15</v>
      </c>
      <c r="F1" s="1" t="s">
        <v>15</v>
      </c>
      <c r="G1" s="1" t="s">
        <v>15</v>
      </c>
      <c r="H1" t="s">
        <v>19</v>
      </c>
      <c r="I1" t="s">
        <v>19</v>
      </c>
      <c r="J1" t="s">
        <v>19</v>
      </c>
      <c r="K1" t="s">
        <v>19</v>
      </c>
      <c r="L1" t="s">
        <v>18</v>
      </c>
      <c r="M1" t="s">
        <v>18</v>
      </c>
      <c r="N1" t="s">
        <v>18</v>
      </c>
      <c r="O1" t="s">
        <v>18</v>
      </c>
    </row>
    <row r="2" spans="1:15" x14ac:dyDescent="0.25">
      <c r="B2" s="8" t="s">
        <v>29</v>
      </c>
      <c r="C2" s="38" t="s">
        <v>25</v>
      </c>
      <c r="D2" s="8" t="s">
        <v>26</v>
      </c>
      <c r="E2" s="9"/>
      <c r="F2" s="9"/>
      <c r="G2" s="10"/>
      <c r="H2" s="11" t="s">
        <v>27</v>
      </c>
      <c r="I2" s="12"/>
      <c r="J2" s="12"/>
      <c r="K2" s="13"/>
      <c r="L2" s="11" t="s">
        <v>28</v>
      </c>
      <c r="M2" s="12"/>
      <c r="N2" s="12"/>
      <c r="O2" s="13"/>
    </row>
    <row r="3" spans="1:15" x14ac:dyDescent="0.25">
      <c r="B3" s="39"/>
      <c r="C3" s="22" t="s">
        <v>20</v>
      </c>
      <c r="D3" s="21" t="s">
        <v>21</v>
      </c>
      <c r="E3" s="14" t="s">
        <v>22</v>
      </c>
      <c r="F3" s="14" t="s">
        <v>23</v>
      </c>
      <c r="G3" s="22" t="s">
        <v>24</v>
      </c>
      <c r="H3" s="21" t="s">
        <v>21</v>
      </c>
      <c r="I3" s="14" t="s">
        <v>22</v>
      </c>
      <c r="J3" s="14" t="s">
        <v>23</v>
      </c>
      <c r="K3" s="22" t="s">
        <v>24</v>
      </c>
      <c r="L3" s="21" t="s">
        <v>21</v>
      </c>
      <c r="M3" s="14" t="s">
        <v>22</v>
      </c>
      <c r="N3" s="14" t="s">
        <v>23</v>
      </c>
      <c r="O3" s="22" t="s">
        <v>24</v>
      </c>
    </row>
    <row r="4" spans="1:15" x14ac:dyDescent="0.25">
      <c r="A4" t="s">
        <v>17</v>
      </c>
      <c r="B4" s="4" t="s">
        <v>30</v>
      </c>
      <c r="C4" s="5" t="s">
        <v>11</v>
      </c>
      <c r="D4" s="6" t="str">
        <f>TEXT(ROUND(SUMIFS(Sheet1!$D:$D,Sheet1!$C:$C,$C4,Sheet1!$B:$B,D$1,Sheet1!$A:$A,$A4)*100,4),"0.0000") &amp; " ± " &amp; TEXT(ROUND(SUMIFS(Sheet1!$E:$E,Sheet1!$C:$C,$C4,Sheet1!$B:$B,D$1,Sheet1!$A:$A,$A4)*100,2),"0.00")</f>
        <v>69.6199 ± 13.69</v>
      </c>
      <c r="E4" s="2" t="str">
        <f>TEXT(ROUND(SUMIFS(Sheet1!$F:$F,Sheet1!$C:$C,$C4,Sheet1!$B:$B,E$1,Sheet1!$A:$A,$A4)*100,4),"0.0000") &amp; " ± " &amp; TEXT(ROUND(SUMIFS(Sheet1!$G:$G,Sheet1!$C:$C,$C4,Sheet1!$B:$B,E$1,Sheet1!$A:$A,$A4)*100,2),"0.00")</f>
        <v>81.1870 ± 10.23</v>
      </c>
      <c r="F4" s="2" t="str">
        <f>TEXT(ROUND(SUMIFS(Sheet1!$H:$H,Sheet1!$C:$C,$C4,Sheet1!$B:$B,F$1,Sheet1!$A:$A,$A4)*100,4),"0.0000") &amp; " ± " &amp; TEXT(ROUND(SUMIFS(Sheet1!$I:$I,Sheet1!$C:$C,$C4,Sheet1!$B:$B,F$1,Sheet1!$A:$A,$A4)*100,2),"0.00")</f>
        <v>69.8453 ± 13.87</v>
      </c>
      <c r="G4" s="7" t="str">
        <f>TEXT(ROUND(SUMIFS(Sheet1!$J:$J,Sheet1!$C:$C,$C4,Sheet1!$B:$B,G$1,Sheet1!$A:$A,$A4)*100,4),"0.0000") &amp; " ± " &amp; TEXT(ROUND(SUMIFS(Sheet1!$K:$K,Sheet1!$C:$C,$C4,Sheet1!$B:$B,G$1,Sheet1!$A:$A,$A4)*100,2),"0.00")</f>
        <v>99.3699 ± 1.62</v>
      </c>
      <c r="H4" s="6" t="str">
        <f>TEXT(ROUND(SUMIFS(Sheet1!$D:$D,Sheet1!$C:$C,$C4,Sheet1!$B:$B,H$1,Sheet1!$A:$A,$A4)*100,4),"0.0000") &amp; " ± " &amp; TEXT(ROUND(SUMIFS(Sheet1!$E:$E,Sheet1!$C:$C,$C4,Sheet1!$B:$B,H$1,Sheet1!$A:$A,$A4)*100,2),"0.00")</f>
        <v>69.6954 ± 13.82</v>
      </c>
      <c r="I4" s="2" t="str">
        <f>TEXT(ROUND(SUMIFS(Sheet1!$F:$F,Sheet1!$C:$C,$C4,Sheet1!$B:$B,I$1,Sheet1!$A:$A,$A4)*100,4),"0.0000") &amp; " ± " &amp; TEXT(ROUND(SUMIFS(Sheet1!$G:$G,Sheet1!$C:$C,$C4,Sheet1!$B:$B,I$1,Sheet1!$A:$A,$A4)*100,2),"0.00")</f>
        <v>81.2946 ± 10.28</v>
      </c>
      <c r="J4" s="2" t="str">
        <f>TEXT(ROUND(SUMIFS(Sheet1!$H:$H,Sheet1!$C:$C,$C4,Sheet1!$B:$B,J$1,Sheet1!$A:$A,$A4)*100,4),"0.0000") &amp; " ± " &amp; TEXT(ROUND(SUMIFS(Sheet1!$I:$I,Sheet1!$C:$C,$C4,Sheet1!$B:$B,J$1,Sheet1!$A:$A,$A4)*100,2),"0.00")</f>
        <v>69.7700 ± 13.89</v>
      </c>
      <c r="K4" s="7" t="str">
        <f>TEXT(ROUND(SUMIFS(Sheet1!$J:$J,Sheet1!$C:$C,$C4,Sheet1!$B:$B,K$1,Sheet1!$A:$A,$A4)*100,4),"0.0000") &amp; " ± " &amp; TEXT(ROUND(SUMIFS(Sheet1!$K:$K,Sheet1!$C:$C,$C4,Sheet1!$B:$B,K$1,Sheet1!$A:$A,$A4)*100,2),"0.00")</f>
        <v>99.8232 ± 0.57</v>
      </c>
      <c r="L4" s="6" t="str">
        <f>TEXT(ROUND(SUMIFS(Sheet1!$D:$D,Sheet1!$C:$C,$C4,Sheet1!$B:$B,L$1,Sheet1!$A:$A,$A4)*100,4),"0.0000") &amp; " ± " &amp; TEXT(ROUND(SUMIFS(Sheet1!$E:$E,Sheet1!$C:$C,$C4,Sheet1!$B:$B,L$1,Sheet1!$A:$A,$A4)*100,2),"0.00")</f>
        <v>69.2463 ± 14.01</v>
      </c>
      <c r="M4" s="2" t="str">
        <f>TEXT(ROUND(SUMIFS(Sheet1!$F:$F,Sheet1!$C:$C,$C4,Sheet1!$B:$B,M$1,Sheet1!$A:$A,$A4)*100,4),"0.0000") &amp; " ± " &amp; TEXT(ROUND(SUMIFS(Sheet1!$G:$G,Sheet1!$C:$C,$C4,Sheet1!$B:$B,M$1,Sheet1!$A:$A,$A4)*100,2),"0.00")</f>
        <v>80.9593 ± 10.42</v>
      </c>
      <c r="N4" s="2" t="str">
        <f>TEXT(ROUND(SUMIFS(Sheet1!$H:$H,Sheet1!$C:$C,$C4,Sheet1!$B:$B,N$1,Sheet1!$A:$A,$A4)*100,4),"0.0000") &amp; " ± " &amp; TEXT(ROUND(SUMIFS(Sheet1!$I:$I,Sheet1!$C:$C,$C4,Sheet1!$B:$B,N$1,Sheet1!$A:$A,$A4)*100,2),"0.00")</f>
        <v>69.6382 ± 13.95</v>
      </c>
      <c r="O4" s="7" t="str">
        <f>TEXT(ROUND(SUMIFS(Sheet1!$J:$J,Sheet1!$C:$C,$C4,Sheet1!$B:$B,O$1,Sheet1!$A:$A,$A4)*100,4),"0.0000") &amp; " ± " &amp; TEXT(ROUND(SUMIFS(Sheet1!$K:$K,Sheet1!$C:$C,$C4,Sheet1!$B:$B,O$1,Sheet1!$A:$A,$A4)*100,2),"0.00")</f>
        <v>99.1415 ± 3.00</v>
      </c>
    </row>
    <row r="5" spans="1:15" x14ac:dyDescent="0.25">
      <c r="A5" t="s">
        <v>17</v>
      </c>
      <c r="B5" s="4"/>
      <c r="C5" s="40" t="s">
        <v>13</v>
      </c>
      <c r="D5" s="23" t="str">
        <f>TEXT(ROUND(SUMIFS(Sheet1!$D:$D,Sheet1!$C:$C,$C5,Sheet1!$B:$B,D$1,Sheet1!$A:$A,$A5)*100,4),"0.0000") &amp; " ± " &amp; TEXT(ROUND(SUMIFS(Sheet1!$E:$E,Sheet1!$C:$C,$C5,Sheet1!$B:$B,D$1,Sheet1!$A:$A,$A5)*100,2),"0.00")</f>
        <v>63.6868 ± 12.34</v>
      </c>
      <c r="E5" s="17" t="str">
        <f>TEXT(ROUND(SUMIFS(Sheet1!$F:$F,Sheet1!$C:$C,$C5,Sheet1!$B:$B,E$1,Sheet1!$A:$A,$A5)*100,4),"0.0000") &amp; " ± " &amp; TEXT(ROUND(SUMIFS(Sheet1!$G:$G,Sheet1!$C:$C,$C5,Sheet1!$B:$B,E$1,Sheet1!$A:$A,$A5)*100,2),"0.00")</f>
        <v>73.9083 ± 13.47</v>
      </c>
      <c r="F5" s="36" t="str">
        <f>TEXT(ROUND(SUMIFS(Sheet1!$H:$H,Sheet1!$C:$C,$C5,Sheet1!$B:$B,F$1,Sheet1!$A:$A,$A5)*100,4),"0.0000") &amp; " ± " &amp; TEXT(ROUND(SUMIFS(Sheet1!$I:$I,Sheet1!$C:$C,$C5,Sheet1!$B:$B,F$1,Sheet1!$A:$A,$A5)*100,2),"0.00")</f>
        <v>70.4968 ± 14.77</v>
      </c>
      <c r="G5" s="24" t="str">
        <f>TEXT(ROUND(SUMIFS(Sheet1!$J:$J,Sheet1!$C:$C,$C5,Sheet1!$B:$B,G$1,Sheet1!$A:$A,$A5)*100,4),"0.0000") &amp; " ± " &amp; TEXT(ROUND(SUMIFS(Sheet1!$K:$K,Sheet1!$C:$C,$C5,Sheet1!$B:$B,G$1,Sheet1!$A:$A,$A5)*100,2),"0.00")</f>
        <v>81.7798 ± 19.13</v>
      </c>
      <c r="H5" s="23" t="str">
        <f>TEXT(ROUND(SUMIFS(Sheet1!$D:$D,Sheet1!$C:$C,$C5,Sheet1!$B:$B,H$1,Sheet1!$A:$A,$A5)*100,4),"0.0000") &amp; " ± " &amp; TEXT(ROUND(SUMIFS(Sheet1!$E:$E,Sheet1!$C:$C,$C5,Sheet1!$B:$B,H$1,Sheet1!$A:$A,$A5)*100,2),"0.00")</f>
        <v>59.4550 ± 11.46</v>
      </c>
      <c r="I5" s="17" t="str">
        <f>TEXT(ROUND(SUMIFS(Sheet1!$F:$F,Sheet1!$C:$C,$C5,Sheet1!$B:$B,I$1,Sheet1!$A:$A,$A5)*100,4),"0.0000") &amp; " ± " &amp; TEXT(ROUND(SUMIFS(Sheet1!$G:$G,Sheet1!$C:$C,$C5,Sheet1!$B:$B,I$1,Sheet1!$A:$A,$A5)*100,2),"0.00")</f>
        <v>70.6242 ± 11.70</v>
      </c>
      <c r="J5" s="17" t="str">
        <f>TEXT(ROUND(SUMIFS(Sheet1!$H:$H,Sheet1!$C:$C,$C5,Sheet1!$B:$B,J$1,Sheet1!$A:$A,$A5)*100,4),"0.0000") &amp; " ± " &amp; TEXT(ROUND(SUMIFS(Sheet1!$I:$I,Sheet1!$C:$C,$C5,Sheet1!$B:$B,J$1,Sheet1!$A:$A,$A5)*100,2),"0.00")</f>
        <v>69.2450 ± 14.28</v>
      </c>
      <c r="K5" s="24" t="str">
        <f>TEXT(ROUND(SUMIFS(Sheet1!$J:$J,Sheet1!$C:$C,$C5,Sheet1!$B:$B,K$1,Sheet1!$A:$A,$A5)*100,4),"0.0000") &amp; " ± " &amp; TEXT(ROUND(SUMIFS(Sheet1!$K:$K,Sheet1!$C:$C,$C5,Sheet1!$B:$B,K$1,Sheet1!$A:$A,$A5)*100,2),"0.00")</f>
        <v>75.2522 ± 15.14</v>
      </c>
      <c r="L5" s="23" t="str">
        <f>TEXT(ROUND(SUMIFS(Sheet1!$D:$D,Sheet1!$C:$C,$C5,Sheet1!$B:$B,L$1,Sheet1!$A:$A,$A5)*100,4),"0.0000") &amp; " ± " &amp; TEXT(ROUND(SUMIFS(Sheet1!$E:$E,Sheet1!$C:$C,$C5,Sheet1!$B:$B,L$1,Sheet1!$A:$A,$A5)*100,2),"0.00")</f>
        <v>63.4247 ± 12.07</v>
      </c>
      <c r="M5" s="17" t="str">
        <f>TEXT(ROUND(SUMIFS(Sheet1!$F:$F,Sheet1!$C:$C,$C5,Sheet1!$B:$B,M$1,Sheet1!$A:$A,$A5)*100,4),"0.0000") &amp; " ± " &amp; TEXT(ROUND(SUMIFS(Sheet1!$G:$G,Sheet1!$C:$C,$C5,Sheet1!$B:$B,M$1,Sheet1!$A:$A,$A5)*100,2),"0.00")</f>
        <v>73.7249 ± 13.09</v>
      </c>
      <c r="N5" s="17" t="str">
        <f>TEXT(ROUND(SUMIFS(Sheet1!$H:$H,Sheet1!$C:$C,$C5,Sheet1!$B:$B,N$1,Sheet1!$A:$A,$A5)*100,4),"0.0000") &amp; " ± " &amp; TEXT(ROUND(SUMIFS(Sheet1!$I:$I,Sheet1!$C:$C,$C5,Sheet1!$B:$B,N$1,Sheet1!$A:$A,$A5)*100,2),"0.00")</f>
        <v>70.3063 ± 14.42</v>
      </c>
      <c r="O5" s="24" t="str">
        <f>TEXT(ROUND(SUMIFS(Sheet1!$J:$J,Sheet1!$C:$C,$C5,Sheet1!$B:$B,O$1,Sheet1!$A:$A,$A5)*100,4),"0.0000") &amp; " ± " &amp; TEXT(ROUND(SUMIFS(Sheet1!$K:$K,Sheet1!$C:$C,$C5,Sheet1!$B:$B,O$1,Sheet1!$A:$A,$A5)*100,2),"0.00")</f>
        <v>81.3399 ± 18.60</v>
      </c>
    </row>
    <row r="6" spans="1:15" x14ac:dyDescent="0.25">
      <c r="A6" t="s">
        <v>17</v>
      </c>
      <c r="B6" s="4"/>
      <c r="C6" s="5" t="s">
        <v>12</v>
      </c>
      <c r="D6" s="35" t="str">
        <f>TEXT(ROUND(SUMIFS(Sheet1!$D:$D,Sheet1!$C:$C,$C6,Sheet1!$B:$B,D$1,Sheet1!$A:$A,$A6)*100,4),"0.0000") &amp; " ± " &amp; TEXT(ROUND(SUMIFS(Sheet1!$E:$E,Sheet1!$C:$C,$C6,Sheet1!$B:$B,D$1,Sheet1!$A:$A,$A6)*100,2),"0.00")</f>
        <v>69.7510 ± 13.85</v>
      </c>
      <c r="E6" s="18" t="str">
        <f>TEXT(ROUND(SUMIFS(Sheet1!$F:$F,Sheet1!$C:$C,$C6,Sheet1!$B:$B,E$1,Sheet1!$A:$A,$A6)*100,4),"0.0000") &amp; " ± " &amp; TEXT(ROUND(SUMIFS(Sheet1!$G:$G,Sheet1!$C:$C,$C6,Sheet1!$B:$B,E$1,Sheet1!$A:$A,$A6)*100,2),"0.00")</f>
        <v>81.3473 ± 10.30</v>
      </c>
      <c r="F6" s="2" t="str">
        <f>TEXT(ROUND(SUMIFS(Sheet1!$H:$H,Sheet1!$C:$C,$C6,Sheet1!$B:$B,F$1,Sheet1!$A:$A,$A6)*100,4),"0.0000") &amp; " ± " &amp; TEXT(ROUND(SUMIFS(Sheet1!$I:$I,Sheet1!$C:$C,$C6,Sheet1!$B:$B,F$1,Sheet1!$A:$A,$A6)*100,2),"0.00")</f>
        <v>69.7885 ± 13.93</v>
      </c>
      <c r="G6" s="37" t="str">
        <f>TEXT(ROUND(SUMIFS(Sheet1!$J:$J,Sheet1!$C:$C,$C6,Sheet1!$B:$B,G$1,Sheet1!$A:$A,$A6)*100,4),"0.0000") &amp; " ± " &amp; TEXT(ROUND(SUMIFS(Sheet1!$K:$K,Sheet1!$C:$C,$C6,Sheet1!$B:$B,G$1,Sheet1!$A:$A,$A6)*100,2),"0.00")</f>
        <v>99.9625 ± 0.24</v>
      </c>
      <c r="H6" s="35" t="str">
        <f>TEXT(ROUND(SUMIFS(Sheet1!$D:$D,Sheet1!$C:$C,$C6,Sheet1!$B:$B,H$1,Sheet1!$A:$A,$A6)*100,4),"0.0000") &amp; " ± " &amp; TEXT(ROUND(SUMIFS(Sheet1!$E:$E,Sheet1!$C:$C,$C6,Sheet1!$B:$B,H$1,Sheet1!$A:$A,$A6)*100,2),"0.00")</f>
        <v>69.7513 ± 13.92</v>
      </c>
      <c r="I6" s="18" t="str">
        <f>TEXT(ROUND(SUMIFS(Sheet1!$F:$F,Sheet1!$C:$C,$C6,Sheet1!$B:$B,I$1,Sheet1!$A:$A,$A6)*100,4),"0.0000") &amp; " ± " &amp; TEXT(ROUND(SUMIFS(Sheet1!$G:$G,Sheet1!$C:$C,$C6,Sheet1!$B:$B,I$1,Sheet1!$A:$A,$A6)*100,2),"0.00")</f>
        <v>81.3413 ± 10.33</v>
      </c>
      <c r="J6" s="18" t="str">
        <f>TEXT(ROUND(SUMIFS(Sheet1!$H:$H,Sheet1!$C:$C,$C6,Sheet1!$B:$B,J$1,Sheet1!$A:$A,$A6)*100,4),"0.0000") &amp; " ± " &amp; TEXT(ROUND(SUMIFS(Sheet1!$I:$I,Sheet1!$C:$C,$C6,Sheet1!$B:$B,J$1,Sheet1!$A:$A,$A6)*100,2),"0.00")</f>
        <v>69.7786 ± 13.93</v>
      </c>
      <c r="K6" s="37" t="str">
        <f>TEXT(ROUND(SUMIFS(Sheet1!$J:$J,Sheet1!$C:$C,$C6,Sheet1!$B:$B,K$1,Sheet1!$A:$A,$A6)*100,4),"0.0000") &amp; " ± " &amp; TEXT(ROUND(SUMIFS(Sheet1!$K:$K,Sheet1!$C:$C,$C6,Sheet1!$B:$B,K$1,Sheet1!$A:$A,$A6)*100,2),"0.00")</f>
        <v>99.9494 ± 0.33</v>
      </c>
      <c r="L6" s="35" t="str">
        <f>TEXT(ROUND(SUMIFS(Sheet1!$D:$D,Sheet1!$C:$C,$C6,Sheet1!$B:$B,L$1,Sheet1!$A:$A,$A6)*100,4),"0.0000") &amp; " ± " &amp; TEXT(ROUND(SUMIFS(Sheet1!$E:$E,Sheet1!$C:$C,$C6,Sheet1!$B:$B,L$1,Sheet1!$A:$A,$A6)*100,2),"0.00")</f>
        <v>69.7513 ± 13.92</v>
      </c>
      <c r="M6" s="18" t="str">
        <f>TEXT(ROUND(SUMIFS(Sheet1!$F:$F,Sheet1!$C:$C,$C6,Sheet1!$B:$B,M$1,Sheet1!$A:$A,$A6)*100,4),"0.0000") &amp; " ± " &amp; TEXT(ROUND(SUMIFS(Sheet1!$G:$G,Sheet1!$C:$C,$C6,Sheet1!$B:$B,M$1,Sheet1!$A:$A,$A6)*100,2),"0.00")</f>
        <v>81.3413 ± 10.33</v>
      </c>
      <c r="N6" s="18" t="str">
        <f>TEXT(ROUND(SUMIFS(Sheet1!$H:$H,Sheet1!$C:$C,$C6,Sheet1!$B:$B,N$1,Sheet1!$A:$A,$A6)*100,4),"0.0000") &amp; " ± " &amp; TEXT(ROUND(SUMIFS(Sheet1!$I:$I,Sheet1!$C:$C,$C6,Sheet1!$B:$B,N$1,Sheet1!$A:$A,$A6)*100,2),"0.00")</f>
        <v>69.7786 ± 13.93</v>
      </c>
      <c r="O6" s="37" t="str">
        <f>TEXT(ROUND(SUMIFS(Sheet1!$J:$J,Sheet1!$C:$C,$C6,Sheet1!$B:$B,O$1,Sheet1!$A:$A,$A6)*100,4),"0.0000") &amp; " ± " &amp; TEXT(ROUND(SUMIFS(Sheet1!$K:$K,Sheet1!$C:$C,$C6,Sheet1!$B:$B,O$1,Sheet1!$A:$A,$A6)*100,2),"0.00")</f>
        <v>99.9494 ± 0.33</v>
      </c>
    </row>
    <row r="7" spans="1:15" ht="15.75" thickBot="1" x14ac:dyDescent="0.3">
      <c r="A7" t="s">
        <v>17</v>
      </c>
      <c r="B7" s="3"/>
      <c r="C7" s="41" t="s">
        <v>14</v>
      </c>
      <c r="D7" s="25" t="str">
        <f>TEXT(ROUND(SUMIFS(Sheet1!$D:$D,Sheet1!$C:$C,$C7,Sheet1!$B:$B,D$1,Sheet1!$A:$A,$A7)*100,4),"0.0000") &amp; " ± " &amp; TEXT(ROUND(SUMIFS(Sheet1!$E:$E,Sheet1!$C:$C,$C7,Sheet1!$B:$B,D$1,Sheet1!$A:$A,$A7)*100,2),"0.00")</f>
        <v>65.3506 ± 10.44</v>
      </c>
      <c r="E7" s="26" t="str">
        <f>TEXT(ROUND(SUMIFS(Sheet1!$F:$F,Sheet1!$C:$C,$C7,Sheet1!$B:$B,E$1,Sheet1!$A:$A,$A7)*100,4),"0.0000") &amp; " ± " &amp; TEXT(ROUND(SUMIFS(Sheet1!$G:$G,Sheet1!$C:$C,$C7,Sheet1!$B:$B,E$1,Sheet1!$A:$A,$A7)*100,2),"0.00")</f>
        <v>76.9292 ± 9.44</v>
      </c>
      <c r="F7" s="26" t="str">
        <f>TEXT(ROUND(SUMIFS(Sheet1!$H:$H,Sheet1!$C:$C,$C7,Sheet1!$B:$B,F$1,Sheet1!$A:$A,$A7)*100,4),"0.0000") &amp; " ± " &amp; TEXT(ROUND(SUMIFS(Sheet1!$I:$I,Sheet1!$C:$C,$C7,Sheet1!$B:$B,F$1,Sheet1!$A:$A,$A7)*100,2),"0.00")</f>
        <v>70.2600 ± 13.69</v>
      </c>
      <c r="G7" s="27" t="str">
        <f>TEXT(ROUND(SUMIFS(Sheet1!$J:$J,Sheet1!$C:$C,$C7,Sheet1!$B:$B,G$1,Sheet1!$A:$A,$A7)*100,4),"0.0000") &amp; " ± " &amp; TEXT(ROUND(SUMIFS(Sheet1!$K:$K,Sheet1!$C:$C,$C7,Sheet1!$B:$B,G$1,Sheet1!$A:$A,$A7)*100,2),"0.00")</f>
        <v>87.0825 ± 5.39</v>
      </c>
      <c r="H7" s="25" t="str">
        <f>TEXT(ROUND(SUMIFS(Sheet1!$D:$D,Sheet1!$C:$C,$C7,Sheet1!$B:$B,H$1,Sheet1!$A:$A,$A7)*100,4),"0.0000") &amp; " ± " &amp; TEXT(ROUND(SUMIFS(Sheet1!$E:$E,Sheet1!$C:$C,$C7,Sheet1!$B:$B,H$1,Sheet1!$A:$A,$A7)*100,2),"0.00")</f>
        <v>64.0524 ± 10.97</v>
      </c>
      <c r="I7" s="26" t="str">
        <f>TEXT(ROUND(SUMIFS(Sheet1!$F:$F,Sheet1!$C:$C,$C7,Sheet1!$B:$B,I$1,Sheet1!$A:$A,$A7)*100,4),"0.0000") &amp; " ± " &amp; TEXT(ROUND(SUMIFS(Sheet1!$G:$G,Sheet1!$C:$C,$C7,Sheet1!$B:$B,I$1,Sheet1!$A:$A,$A7)*100,2),"0.00")</f>
        <v>75.9546 ± 9.73</v>
      </c>
      <c r="J7" s="26" t="str">
        <f>TEXT(ROUND(SUMIFS(Sheet1!$H:$H,Sheet1!$C:$C,$C7,Sheet1!$B:$B,J$1,Sheet1!$A:$A,$A7)*100,4),"0.0000") &amp; " ± " &amp; TEXT(ROUND(SUMIFS(Sheet1!$I:$I,Sheet1!$C:$C,$C7,Sheet1!$B:$B,J$1,Sheet1!$A:$A,$A7)*100,2),"0.00")</f>
        <v>69.9557 ± 14.24</v>
      </c>
      <c r="K7" s="27" t="str">
        <f>TEXT(ROUND(SUMIFS(Sheet1!$J:$J,Sheet1!$C:$C,$C7,Sheet1!$B:$B,K$1,Sheet1!$A:$A,$A7)*100,4),"0.0000") &amp; " ± " &amp; TEXT(ROUND(SUMIFS(Sheet1!$K:$K,Sheet1!$C:$C,$C7,Sheet1!$B:$B,K$1,Sheet1!$A:$A,$A7)*100,2),"0.00")</f>
        <v>85.3622 ± 6.00</v>
      </c>
      <c r="L7" s="25" t="str">
        <f>TEXT(ROUND(SUMIFS(Sheet1!$D:$D,Sheet1!$C:$C,$C7,Sheet1!$B:$B,L$1,Sheet1!$A:$A,$A7)*100,4),"0.0000") &amp; " ± " &amp; TEXT(ROUND(SUMIFS(Sheet1!$E:$E,Sheet1!$C:$C,$C7,Sheet1!$B:$B,L$1,Sheet1!$A:$A,$A7)*100,2),"0.00")</f>
        <v>63.4445 ± 11.35</v>
      </c>
      <c r="M7" s="26" t="str">
        <f>TEXT(ROUND(SUMIFS(Sheet1!$F:$F,Sheet1!$C:$C,$C7,Sheet1!$B:$B,M$1,Sheet1!$A:$A,$A7)*100,4),"0.0000") &amp; " ± " &amp; TEXT(ROUND(SUMIFS(Sheet1!$G:$G,Sheet1!$C:$C,$C7,Sheet1!$B:$B,M$1,Sheet1!$A:$A,$A7)*100,2),"0.00")</f>
        <v>75.5160 ± 9.95</v>
      </c>
      <c r="N7" s="26" t="str">
        <f>TEXT(ROUND(SUMIFS(Sheet1!$H:$H,Sheet1!$C:$C,$C7,Sheet1!$B:$B,N$1,Sheet1!$A:$A,$A7)*100,4),"0.0000") &amp; " ± " &amp; TEXT(ROUND(SUMIFS(Sheet1!$I:$I,Sheet1!$C:$C,$C7,Sheet1!$B:$B,N$1,Sheet1!$A:$A,$A7)*100,2),"0.00")</f>
        <v>69.5492 ± 14.26</v>
      </c>
      <c r="O7" s="27" t="str">
        <f>TEXT(ROUND(SUMIFS(Sheet1!$J:$J,Sheet1!$C:$C,$C7,Sheet1!$B:$B,O$1,Sheet1!$A:$A,$A7)*100,4),"0.0000") &amp; " ± " &amp; TEXT(ROUND(SUMIFS(Sheet1!$K:$K,Sheet1!$C:$C,$C7,Sheet1!$B:$B,O$1,Sheet1!$A:$A,$A7)*100,2),"0.00")</f>
        <v>84.9224 ± 6.90</v>
      </c>
    </row>
    <row r="8" spans="1:15" s="15" customFormat="1" ht="15.75" thickBot="1" x14ac:dyDescent="0.3">
      <c r="B8" s="16"/>
      <c r="D8" s="1"/>
      <c r="E8" s="1"/>
      <c r="F8" s="1"/>
      <c r="G8" s="1"/>
      <c r="H8"/>
      <c r="I8"/>
      <c r="J8"/>
      <c r="K8"/>
      <c r="L8"/>
      <c r="M8"/>
      <c r="N8"/>
      <c r="O8"/>
    </row>
    <row r="9" spans="1:15" x14ac:dyDescent="0.25">
      <c r="B9" s="8" t="s">
        <v>29</v>
      </c>
      <c r="C9" s="42" t="s">
        <v>25</v>
      </c>
      <c r="D9" s="8" t="s">
        <v>26</v>
      </c>
      <c r="E9" s="9"/>
      <c r="F9" s="9"/>
      <c r="G9" s="10"/>
      <c r="H9" s="11" t="s">
        <v>27</v>
      </c>
      <c r="I9" s="12"/>
      <c r="J9" s="12"/>
      <c r="K9" s="13"/>
      <c r="L9" s="11" t="s">
        <v>28</v>
      </c>
      <c r="M9" s="12"/>
      <c r="N9" s="12"/>
      <c r="O9" s="13"/>
    </row>
    <row r="10" spans="1:15" x14ac:dyDescent="0.25">
      <c r="B10" s="39"/>
      <c r="C10" s="43" t="s">
        <v>20</v>
      </c>
      <c r="D10" s="21" t="s">
        <v>21</v>
      </c>
      <c r="E10" s="14" t="s">
        <v>22</v>
      </c>
      <c r="F10" s="14" t="s">
        <v>23</v>
      </c>
      <c r="G10" s="22" t="s">
        <v>24</v>
      </c>
      <c r="H10" s="21" t="s">
        <v>21</v>
      </c>
      <c r="I10" s="14" t="s">
        <v>22</v>
      </c>
      <c r="J10" s="14" t="s">
        <v>23</v>
      </c>
      <c r="K10" s="22" t="s">
        <v>24</v>
      </c>
      <c r="L10" s="21" t="s">
        <v>21</v>
      </c>
      <c r="M10" s="14" t="s">
        <v>22</v>
      </c>
      <c r="N10" s="14" t="s">
        <v>23</v>
      </c>
      <c r="O10" s="22" t="s">
        <v>24</v>
      </c>
    </row>
    <row r="11" spans="1:15" x14ac:dyDescent="0.25">
      <c r="A11" t="s">
        <v>16</v>
      </c>
      <c r="B11" s="4" t="s">
        <v>31</v>
      </c>
      <c r="C11" s="5" t="s">
        <v>11</v>
      </c>
      <c r="D11" s="35" t="str">
        <f>TEXT(ROUND(SUMIFS(Sheet1!$D:$D,Sheet1!$C:$C,$C11,Sheet1!$B:$B,D$1,Sheet1!$A:$A,$A11)*100,4),"0.0000") &amp; " ± " &amp; TEXT(ROUND(SUMIFS(Sheet1!$E:$E,Sheet1!$C:$C,$C11,Sheet1!$B:$B,D$1,Sheet1!$A:$A,$A11)*100,2),"0.00")</f>
        <v>65.8774 ± 13.34</v>
      </c>
      <c r="E11" s="18" t="str">
        <f>TEXT(ROUND(SUMIFS(Sheet1!$F:$F,Sheet1!$C:$C,$C11,Sheet1!$B:$B,E$1,Sheet1!$A:$A,$A11)*100,4),"0.0000") &amp; " ± " &amp; TEXT(ROUND(SUMIFS(Sheet1!$G:$G,Sheet1!$C:$C,$C11,Sheet1!$B:$B,E$1,Sheet1!$A:$A,$A11)*100,2),"0.00")</f>
        <v>78.6007 ± 9.60</v>
      </c>
      <c r="F11" s="19" t="str">
        <f>TEXT(ROUND(SUMIFS(Sheet1!$H:$H,Sheet1!$C:$C,$C11,Sheet1!$B:$B,F$1,Sheet1!$A:$A,$A11)*100,4),"0.0000") &amp; " ± " &amp; TEXT(ROUND(SUMIFS(Sheet1!$I:$I,Sheet1!$C:$C,$C11,Sheet1!$B:$B,F$1,Sheet1!$A:$A,$A11)*100,2),"0.00")</f>
        <v>65.9479 ± 13.33</v>
      </c>
      <c r="G11" s="37" t="str">
        <f>TEXT(ROUND(SUMIFS(Sheet1!$J:$J,Sheet1!$C:$C,$C11,Sheet1!$B:$B,G$1,Sheet1!$A:$A,$A11)*100,4),"0.0000") &amp; " ± " &amp; TEXT(ROUND(SUMIFS(Sheet1!$K:$K,Sheet1!$C:$C,$C11,Sheet1!$B:$B,G$1,Sheet1!$A:$A,$A11)*100,2),"0.00")</f>
        <v>99.6678 ± 2.15</v>
      </c>
      <c r="H11" s="35" t="str">
        <f>TEXT(ROUND(SUMIFS(Sheet1!$D:$D,Sheet1!$C:$C,$C11,Sheet1!$B:$B,H$1,Sheet1!$A:$A,$A11)*100,4),"0.0000") &amp; " ± " &amp; TEXT(ROUND(SUMIFS(Sheet1!$E:$E,Sheet1!$C:$C,$C11,Sheet1!$B:$B,H$1,Sheet1!$A:$A,$A11)*100,2),"0.00")</f>
        <v>65.0317 ± 13.31</v>
      </c>
      <c r="I11" s="18" t="str">
        <f>TEXT(ROUND(SUMIFS(Sheet1!$F:$F,Sheet1!$C:$C,$C11,Sheet1!$B:$B,I$1,Sheet1!$A:$A,$A11)*100,4),"0.0000") &amp; " ± " &amp; TEXT(ROUND(SUMIFS(Sheet1!$G:$G,Sheet1!$C:$C,$C11,Sheet1!$B:$B,I$1,Sheet1!$A:$A,$A11)*100,2),"0.00")</f>
        <v>78.0467 ± 9.56</v>
      </c>
      <c r="J11" s="19" t="str">
        <f>TEXT(ROUND(SUMIFS(Sheet1!$H:$H,Sheet1!$C:$C,$C11,Sheet1!$B:$B,J$1,Sheet1!$A:$A,$A11)*100,4),"0.0000") &amp; " ± " &amp; TEXT(ROUND(SUMIFS(Sheet1!$I:$I,Sheet1!$C:$C,$C11,Sheet1!$B:$B,J$1,Sheet1!$A:$A,$A11)*100,2),"0.00")</f>
        <v>65.6096 ± 13.27</v>
      </c>
      <c r="K11" s="37" t="str">
        <f>TEXT(ROUND(SUMIFS(Sheet1!$J:$J,Sheet1!$C:$C,$C11,Sheet1!$B:$B,K$1,Sheet1!$A:$A,$A11)*100,4),"0.0000") &amp; " ± " &amp; TEXT(ROUND(SUMIFS(Sheet1!$K:$K,Sheet1!$C:$C,$C11,Sheet1!$B:$B,K$1,Sheet1!$A:$A,$A11)*100,2),"0.00")</f>
        <v>98.8280 ± 4.56</v>
      </c>
      <c r="L11" s="35" t="str">
        <f>TEXT(ROUND(SUMIFS(Sheet1!$D:$D,Sheet1!$C:$C,$C11,Sheet1!$B:$B,L$1,Sheet1!$A:$A,$A11)*100,4),"0.0000") &amp; " ± " &amp; TEXT(ROUND(SUMIFS(Sheet1!$E:$E,Sheet1!$C:$C,$C11,Sheet1!$B:$B,L$1,Sheet1!$A:$A,$A11)*100,2),"0.00")</f>
        <v>65.6660 ± 13.44</v>
      </c>
      <c r="M11" s="18" t="str">
        <f>TEXT(ROUND(SUMIFS(Sheet1!$F:$F,Sheet1!$C:$C,$C11,Sheet1!$B:$B,M$1,Sheet1!$A:$A,$A11)*100,4),"0.0000") &amp; " ± " &amp; TEXT(ROUND(SUMIFS(Sheet1!$G:$G,Sheet1!$C:$C,$C11,Sheet1!$B:$B,M$1,Sheet1!$A:$A,$A11)*100,2),"0.00")</f>
        <v>78.4981 ± 9.66</v>
      </c>
      <c r="N11" s="19" t="str">
        <f>TEXT(ROUND(SUMIFS(Sheet1!$H:$H,Sheet1!$C:$C,$C11,Sheet1!$B:$B,N$1,Sheet1!$A:$A,$A11)*100,4),"0.0000") &amp; " ± " &amp; TEXT(ROUND(SUMIFS(Sheet1!$I:$I,Sheet1!$C:$C,$C11,Sheet1!$B:$B,N$1,Sheet1!$A:$A,$A11)*100,2),"0.00")</f>
        <v>65.7928 ± 13.36</v>
      </c>
      <c r="O11" s="37" t="str">
        <f>TEXT(ROUND(SUMIFS(Sheet1!$J:$J,Sheet1!$C:$C,$C11,Sheet1!$B:$B,O$1,Sheet1!$A:$A,$A11)*100,4),"0.0000") &amp; " ± " &amp; TEXT(ROUND(SUMIFS(Sheet1!$K:$K,Sheet1!$C:$C,$C11,Sheet1!$B:$B,O$1,Sheet1!$A:$A,$A11)*100,2),"0.00")</f>
        <v>99.6678 ± 2.15</v>
      </c>
    </row>
    <row r="12" spans="1:15" x14ac:dyDescent="0.25">
      <c r="A12" t="s">
        <v>16</v>
      </c>
      <c r="B12" s="4"/>
      <c r="C12" s="40" t="s">
        <v>13</v>
      </c>
      <c r="D12" s="28" t="str">
        <f>TEXT(ROUND(SUMIFS(Sheet1!$D:$D,Sheet1!$C:$C,$C12,Sheet1!$B:$B,D$1,Sheet1!$A:$A,$A12)*100,4),"0.0000") &amp; " ± " &amp; TEXT(ROUND(SUMIFS(Sheet1!$E:$E,Sheet1!$C:$C,$C12,Sheet1!$B:$B,D$1,Sheet1!$A:$A,$A12)*100,2),"0.00")</f>
        <v>64.8203 ± 14.63</v>
      </c>
      <c r="E12" s="20" t="str">
        <f>TEXT(ROUND(SUMIFS(Sheet1!$F:$F,Sheet1!$C:$C,$C12,Sheet1!$B:$B,E$1,Sheet1!$A:$A,$A12)*100,4),"0.0000") &amp; " ± " &amp; TEXT(ROUND(SUMIFS(Sheet1!$G:$G,Sheet1!$C:$C,$C12,Sheet1!$B:$B,E$1,Sheet1!$A:$A,$A12)*100,2),"0.00")</f>
        <v>76.4610 ± 12.47</v>
      </c>
      <c r="F12" s="36" t="str">
        <f>TEXT(ROUND(SUMIFS(Sheet1!$H:$H,Sheet1!$C:$C,$C12,Sheet1!$B:$B,F$1,Sheet1!$A:$A,$A12)*100,4),"0.0000") &amp; " ± " &amp; TEXT(ROUND(SUMIFS(Sheet1!$I:$I,Sheet1!$C:$C,$C12,Sheet1!$B:$B,F$1,Sheet1!$A:$A,$A12)*100,2),"0.00")</f>
        <v>66.5621 ± 13.41</v>
      </c>
      <c r="G12" s="29" t="str">
        <f>TEXT(ROUND(SUMIFS(Sheet1!$J:$J,Sheet1!$C:$C,$C12,Sheet1!$B:$B,G$1,Sheet1!$A:$A,$A12)*100,4),"0.0000") &amp; " ± " &amp; TEXT(ROUND(SUMIFS(Sheet1!$K:$K,Sheet1!$C:$C,$C12,Sheet1!$B:$B,G$1,Sheet1!$A:$A,$A12)*100,2),"0.00")</f>
        <v>93.8769 ± 14.92</v>
      </c>
      <c r="H12" s="28" t="str">
        <f>TEXT(ROUND(SUMIFS(Sheet1!$D:$D,Sheet1!$C:$C,$C12,Sheet1!$B:$B,H$1,Sheet1!$A:$A,$A12)*100,4),"0.0000") &amp; " ± " &amp; TEXT(ROUND(SUMIFS(Sheet1!$E:$E,Sheet1!$C:$C,$C12,Sheet1!$B:$B,H$1,Sheet1!$A:$A,$A12)*100,2),"0.00")</f>
        <v>61.9662 ± 14.73</v>
      </c>
      <c r="I12" s="20" t="str">
        <f>TEXT(ROUND(SUMIFS(Sheet1!$F:$F,Sheet1!$C:$C,$C12,Sheet1!$B:$B,I$1,Sheet1!$A:$A,$A12)*100,4),"0.0000") &amp; " ± " &amp; TEXT(ROUND(SUMIFS(Sheet1!$G:$G,Sheet1!$C:$C,$C12,Sheet1!$B:$B,I$1,Sheet1!$A:$A,$A12)*100,2),"0.00")</f>
        <v>74.6328 ± 11.52</v>
      </c>
      <c r="J12" s="36" t="str">
        <f>TEXT(ROUND(SUMIFS(Sheet1!$H:$H,Sheet1!$C:$C,$C12,Sheet1!$B:$B,J$1,Sheet1!$A:$A,$A12)*100,4),"0.0000") &amp; " ± " &amp; TEXT(ROUND(SUMIFS(Sheet1!$I:$I,Sheet1!$C:$C,$C12,Sheet1!$B:$B,J$1,Sheet1!$A:$A,$A12)*100,2),"0.00")</f>
        <v>65.6387 ± 14.00</v>
      </c>
      <c r="K12" s="29" t="str">
        <f>TEXT(ROUND(SUMIFS(Sheet1!$J:$J,Sheet1!$C:$C,$C12,Sheet1!$B:$B,K$1,Sheet1!$A:$A,$A12)*100,4),"0.0000") &amp; " ± " &amp; TEXT(ROUND(SUMIFS(Sheet1!$K:$K,Sheet1!$C:$C,$C12,Sheet1!$B:$B,K$1,Sheet1!$A:$A,$A12)*100,2),"0.00")</f>
        <v>90.4762 ± 15.05</v>
      </c>
      <c r="L12" s="28" t="str">
        <f>TEXT(ROUND(SUMIFS(Sheet1!$D:$D,Sheet1!$C:$C,$C12,Sheet1!$B:$B,L$1,Sheet1!$A:$A,$A12)*100,4),"0.0000") &amp; " ± " &amp; TEXT(ROUND(SUMIFS(Sheet1!$E:$E,Sheet1!$C:$C,$C12,Sheet1!$B:$B,L$1,Sheet1!$A:$A,$A12)*100,2),"0.00")</f>
        <v>62.8118 ± 13.30</v>
      </c>
      <c r="M12" s="20" t="str">
        <f>TEXT(ROUND(SUMIFS(Sheet1!$F:$F,Sheet1!$C:$C,$C12,Sheet1!$B:$B,M$1,Sheet1!$A:$A,$A12)*100,4),"0.0000") &amp; " ± " &amp; TEXT(ROUND(SUMIFS(Sheet1!$G:$G,Sheet1!$C:$C,$C12,Sheet1!$B:$B,M$1,Sheet1!$A:$A,$A12)*100,2),"0.00")</f>
        <v>75.7694 ± 9.96</v>
      </c>
      <c r="N12" s="36" t="str">
        <f>TEXT(ROUND(SUMIFS(Sheet1!$H:$H,Sheet1!$C:$C,$C12,Sheet1!$B:$B,N$1,Sheet1!$A:$A,$A12)*100,4),"0.0000") &amp; " ± " &amp; TEXT(ROUND(SUMIFS(Sheet1!$I:$I,Sheet1!$C:$C,$C12,Sheet1!$B:$B,N$1,Sheet1!$A:$A,$A12)*100,2),"0.00")</f>
        <v>66.0907 ± 13.73</v>
      </c>
      <c r="O12" s="29" t="str">
        <f>TEXT(ROUND(SUMIFS(Sheet1!$J:$J,Sheet1!$C:$C,$C12,Sheet1!$B:$B,O$1,Sheet1!$A:$A,$A12)*100,4),"0.0000") &amp; " ± " &amp; TEXT(ROUND(SUMIFS(Sheet1!$K:$K,Sheet1!$C:$C,$C12,Sheet1!$B:$B,O$1,Sheet1!$A:$A,$A12)*100,2),"0.00")</f>
        <v>92.8848 ± 12.45</v>
      </c>
    </row>
    <row r="13" spans="1:15" x14ac:dyDescent="0.25">
      <c r="A13" t="s">
        <v>16</v>
      </c>
      <c r="B13" s="4"/>
      <c r="C13" s="5" t="s">
        <v>12</v>
      </c>
      <c r="D13" s="30" t="str">
        <f>TEXT(ROUND(SUMIFS(Sheet1!$D:$D,Sheet1!$C:$C,$C13,Sheet1!$B:$B,D$1,Sheet1!$A:$A,$A13)*100,4),"0.0000") &amp; " ± " &amp; TEXT(ROUND(SUMIFS(Sheet1!$E:$E,Sheet1!$C:$C,$C13,Sheet1!$B:$B,D$1,Sheet1!$A:$A,$A13)*100,2),"0.00")</f>
        <v>65.4545 ± 14.50</v>
      </c>
      <c r="E13" s="19" t="str">
        <f>TEXT(ROUND(SUMIFS(Sheet1!$F:$F,Sheet1!$C:$C,$C13,Sheet1!$B:$B,E$1,Sheet1!$A:$A,$A13)*100,4),"0.0000") &amp; " ± " &amp; TEXT(ROUND(SUMIFS(Sheet1!$G:$G,Sheet1!$C:$C,$C13,Sheet1!$B:$B,E$1,Sheet1!$A:$A,$A13)*100,2),"0.00")</f>
        <v>77.5601 ± 10.82</v>
      </c>
      <c r="F13" s="19" t="str">
        <f>TEXT(ROUND(SUMIFS(Sheet1!$H:$H,Sheet1!$C:$C,$C13,Sheet1!$B:$B,F$1,Sheet1!$A:$A,$A13)*100,4),"0.0000") &amp; " ± " &amp; TEXT(ROUND(SUMIFS(Sheet1!$I:$I,Sheet1!$C:$C,$C13,Sheet1!$B:$B,F$1,Sheet1!$A:$A,$A13)*100,2),"0.00")</f>
        <v>66.4365 ± 13.72</v>
      </c>
      <c r="G13" s="31" t="str">
        <f>TEXT(ROUND(SUMIFS(Sheet1!$J:$J,Sheet1!$C:$C,$C13,Sheet1!$B:$B,G$1,Sheet1!$A:$A,$A13)*100,4),"0.0000") &amp; " ± " &amp; TEXT(ROUND(SUMIFS(Sheet1!$K:$K,Sheet1!$C:$C,$C13,Sheet1!$B:$B,G$1,Sheet1!$A:$A,$A13)*100,2),"0.00")</f>
        <v>96.0271 ± 10.27</v>
      </c>
      <c r="H13" s="30" t="str">
        <f>TEXT(ROUND(SUMIFS(Sheet1!$D:$D,Sheet1!$C:$C,$C13,Sheet1!$B:$B,H$1,Sheet1!$A:$A,$A13)*100,4),"0.0000") &amp; " ± " &amp; TEXT(ROUND(SUMIFS(Sheet1!$E:$E,Sheet1!$C:$C,$C13,Sheet1!$B:$B,H$1,Sheet1!$A:$A,$A13)*100,2),"0.00")</f>
        <v>63.7632 ± 14.08</v>
      </c>
      <c r="I13" s="19" t="str">
        <f>TEXT(ROUND(SUMIFS(Sheet1!$F:$F,Sheet1!$C:$C,$C13,Sheet1!$B:$B,I$1,Sheet1!$A:$A,$A13)*100,4),"0.0000") &amp; " ± " &amp; TEXT(ROUND(SUMIFS(Sheet1!$G:$G,Sheet1!$C:$C,$C13,Sheet1!$B:$B,I$1,Sheet1!$A:$A,$A13)*100,2),"0.00")</f>
        <v>76.8961 ± 10.31</v>
      </c>
      <c r="J13" s="19" t="str">
        <f>TEXT(ROUND(SUMIFS(Sheet1!$H:$H,Sheet1!$C:$C,$C13,Sheet1!$B:$B,J$1,Sheet1!$A:$A,$A13)*100,4),"0.0000") &amp; " ± " &amp; TEXT(ROUND(SUMIFS(Sheet1!$I:$I,Sheet1!$C:$C,$C13,Sheet1!$B:$B,J$1,Sheet1!$A:$A,$A13)*100,2),"0.00")</f>
        <v>65.2706 ± 13.50</v>
      </c>
      <c r="K13" s="31" t="str">
        <f>TEXT(ROUND(SUMIFS(Sheet1!$J:$J,Sheet1!$C:$C,$C13,Sheet1!$B:$B,K$1,Sheet1!$A:$A,$A13)*100,4),"0.0000") &amp; " ± " &amp; TEXT(ROUND(SUMIFS(Sheet1!$K:$K,Sheet1!$C:$C,$C13,Sheet1!$B:$B,K$1,Sheet1!$A:$A,$A13)*100,2),"0.00")</f>
        <v>96.3963 ± 9.22</v>
      </c>
      <c r="L13" s="30" t="str">
        <f>TEXT(ROUND(SUMIFS(Sheet1!$D:$D,Sheet1!$C:$C,$C13,Sheet1!$B:$B,L$1,Sheet1!$A:$A,$A13)*100,4),"0.0000") &amp; " ± " &amp; TEXT(ROUND(SUMIFS(Sheet1!$E:$E,Sheet1!$C:$C,$C13,Sheet1!$B:$B,L$1,Sheet1!$A:$A,$A13)*100,2),"0.00")</f>
        <v>62.9175 ± 14.99</v>
      </c>
      <c r="M13" s="19" t="str">
        <f>TEXT(ROUND(SUMIFS(Sheet1!$F:$F,Sheet1!$C:$C,$C13,Sheet1!$B:$B,M$1,Sheet1!$A:$A,$A13)*100,4),"0.0000") &amp; " ± " &amp; TEXT(ROUND(SUMIFS(Sheet1!$G:$G,Sheet1!$C:$C,$C13,Sheet1!$B:$B,M$1,Sheet1!$A:$A,$A13)*100,2),"0.00")</f>
        <v>75.7023 ± 11.79</v>
      </c>
      <c r="N13" s="19" t="str">
        <f>TEXT(ROUND(SUMIFS(Sheet1!$H:$H,Sheet1!$C:$C,$C13,Sheet1!$B:$B,N$1,Sheet1!$A:$A,$A13)*100,4),"0.0000") &amp; " ± " &amp; TEXT(ROUND(SUMIFS(Sheet1!$I:$I,Sheet1!$C:$C,$C13,Sheet1!$B:$B,N$1,Sheet1!$A:$A,$A13)*100,2),"0.00")</f>
        <v>64.8032 ± 13.73</v>
      </c>
      <c r="O13" s="31" t="str">
        <f>TEXT(ROUND(SUMIFS(Sheet1!$J:$J,Sheet1!$C:$C,$C13,Sheet1!$B:$B,O$1,Sheet1!$A:$A,$A13)*100,4),"0.0000") &amp; " ± " &amp; TEXT(ROUND(SUMIFS(Sheet1!$K:$K,Sheet1!$C:$C,$C13,Sheet1!$B:$B,O$1,Sheet1!$A:$A,$A13)*100,2),"0.00")</f>
        <v>93.7108 ± 12.97</v>
      </c>
    </row>
    <row r="14" spans="1:15" ht="15.75" thickBot="1" x14ac:dyDescent="0.3">
      <c r="A14" t="s">
        <v>16</v>
      </c>
      <c r="B14" s="3"/>
      <c r="C14" s="41" t="s">
        <v>14</v>
      </c>
      <c r="D14" s="32" t="str">
        <f>TEXT(ROUND(SUMIFS(Sheet1!$D:$D,Sheet1!$C:$C,$C14,Sheet1!$B:$B,D$1,Sheet1!$A:$A,$A14)*100,4),"0.0000") &amp; " ± " &amp; TEXT(ROUND(SUMIFS(Sheet1!$E:$E,Sheet1!$C:$C,$C14,Sheet1!$B:$B,D$1,Sheet1!$A:$A,$A14)*100,2),"0.00")</f>
        <v>61.1205 ± 14.08</v>
      </c>
      <c r="E14" s="33" t="str">
        <f>TEXT(ROUND(SUMIFS(Sheet1!$F:$F,Sheet1!$C:$C,$C14,Sheet1!$B:$B,E$1,Sheet1!$A:$A,$A14)*100,4),"0.0000") &amp; " ± " &amp; TEXT(ROUND(SUMIFS(Sheet1!$G:$G,Sheet1!$C:$C,$C14,Sheet1!$B:$B,E$1,Sheet1!$A:$A,$A14)*100,2),"0.00")</f>
        <v>73.2331 ± 12.17</v>
      </c>
      <c r="F14" s="33" t="str">
        <f>TEXT(ROUND(SUMIFS(Sheet1!$H:$H,Sheet1!$C:$C,$C14,Sheet1!$B:$B,F$1,Sheet1!$A:$A,$A14)*100,4),"0.0000") &amp; " ± " &amp; TEXT(ROUND(SUMIFS(Sheet1!$I:$I,Sheet1!$C:$C,$C14,Sheet1!$B:$B,F$1,Sheet1!$A:$A,$A14)*100,2),"0.00")</f>
        <v>66.2436 ± 15.63</v>
      </c>
      <c r="G14" s="34" t="str">
        <f>TEXT(ROUND(SUMIFS(Sheet1!$J:$J,Sheet1!$C:$C,$C14,Sheet1!$B:$B,G$1,Sheet1!$A:$A,$A14)*100,4),"0.0000") &amp; " ± " &amp; TEXT(ROUND(SUMIFS(Sheet1!$K:$K,Sheet1!$C:$C,$C14,Sheet1!$B:$B,G$1,Sheet1!$A:$A,$A14)*100,2),"0.00")</f>
        <v>85.5350 ± 15.84</v>
      </c>
      <c r="H14" s="32" t="str">
        <f>TEXT(ROUND(SUMIFS(Sheet1!$D:$D,Sheet1!$C:$C,$C14,Sheet1!$B:$B,H$1,Sheet1!$A:$A,$A14)*100,4),"0.0000") &amp; " ± " &amp; TEXT(ROUND(SUMIFS(Sheet1!$E:$E,Sheet1!$C:$C,$C14,Sheet1!$B:$B,H$1,Sheet1!$A:$A,$A14)*100,2),"0.00")</f>
        <v>59.1121 ± 15.22</v>
      </c>
      <c r="I14" s="33" t="str">
        <f>TEXT(ROUND(SUMIFS(Sheet1!$F:$F,Sheet1!$C:$C,$C14,Sheet1!$B:$B,I$1,Sheet1!$A:$A,$A14)*100,4),"0.0000") &amp; " ± " &amp; TEXT(ROUND(SUMIFS(Sheet1!$G:$G,Sheet1!$C:$C,$C14,Sheet1!$B:$B,I$1,Sheet1!$A:$A,$A14)*100,2),"0.00")</f>
        <v>71.4066 ± 12.89</v>
      </c>
      <c r="J14" s="33" t="str">
        <f>TEXT(ROUND(SUMIFS(Sheet1!$H:$H,Sheet1!$C:$C,$C14,Sheet1!$B:$B,J$1,Sheet1!$A:$A,$A14)*100,4),"0.0000") &amp; " ± " &amp; TEXT(ROUND(SUMIFS(Sheet1!$I:$I,Sheet1!$C:$C,$C14,Sheet1!$B:$B,J$1,Sheet1!$A:$A,$A14)*100,2),"0.00")</f>
        <v>64.5616 ± 14.61</v>
      </c>
      <c r="K14" s="34" t="str">
        <f>TEXT(ROUND(SUMIFS(Sheet1!$J:$J,Sheet1!$C:$C,$C14,Sheet1!$B:$B,K$1,Sheet1!$A:$A,$A14)*100,4),"0.0000") &amp; " ± " &amp; TEXT(ROUND(SUMIFS(Sheet1!$K:$K,Sheet1!$C:$C,$C14,Sheet1!$B:$B,K$1,Sheet1!$A:$A,$A14)*100,2),"0.00")</f>
        <v>82.7738 ± 16.06</v>
      </c>
      <c r="L14" s="32" t="str">
        <f>TEXT(ROUND(SUMIFS(Sheet1!$D:$D,Sheet1!$C:$C,$C14,Sheet1!$B:$B,L$1,Sheet1!$A:$A,$A14)*100,4),"0.0000") &amp; " ± " &amp; TEXT(ROUND(SUMIFS(Sheet1!$E:$E,Sheet1!$C:$C,$C14,Sheet1!$B:$B,L$1,Sheet1!$A:$A,$A14)*100,2),"0.00")</f>
        <v>57.9493 ± 14.04</v>
      </c>
      <c r="M14" s="33" t="str">
        <f>TEXT(ROUND(SUMIFS(Sheet1!$F:$F,Sheet1!$C:$C,$C14,Sheet1!$B:$B,M$1,Sheet1!$A:$A,$A14)*100,4),"0.0000") &amp; " ± " &amp; TEXT(ROUND(SUMIFS(Sheet1!$G:$G,Sheet1!$C:$C,$C14,Sheet1!$B:$B,M$1,Sheet1!$A:$A,$A14)*100,2),"0.00")</f>
        <v>70.8613 ± 11.76</v>
      </c>
      <c r="N14" s="33" t="str">
        <f>TEXT(ROUND(SUMIFS(Sheet1!$H:$H,Sheet1!$C:$C,$C14,Sheet1!$B:$B,N$1,Sheet1!$A:$A,$A14)*100,4),"0.0000") &amp; " ± " &amp; TEXT(ROUND(SUMIFS(Sheet1!$I:$I,Sheet1!$C:$C,$C14,Sheet1!$B:$B,N$1,Sheet1!$A:$A,$A14)*100,2),"0.00")</f>
        <v>64.1372 ± 13.91</v>
      </c>
      <c r="O14" s="34" t="str">
        <f>TEXT(ROUND(SUMIFS(Sheet1!$J:$J,Sheet1!$C:$C,$C14,Sheet1!$B:$B,O$1,Sheet1!$A:$A,$A14)*100,4),"0.0000") &amp; " ± " &amp; TEXT(ROUND(SUMIFS(Sheet1!$K:$K,Sheet1!$C:$C,$C14,Sheet1!$B:$B,O$1,Sheet1!$A:$A,$A14)*100,2),"0.00")</f>
        <v>82.6291 ± 16.85</v>
      </c>
    </row>
  </sheetData>
  <mergeCells count="10">
    <mergeCell ref="D2:G2"/>
    <mergeCell ref="H2:K2"/>
    <mergeCell ref="L2:O2"/>
    <mergeCell ref="B4:B7"/>
    <mergeCell ref="B11:B14"/>
    <mergeCell ref="B2:B3"/>
    <mergeCell ref="B9:B10"/>
    <mergeCell ref="D9:G9"/>
    <mergeCell ref="H9:K9"/>
    <mergeCell ref="L9:O9"/>
  </mergeCells>
  <conditionalFormatting sqref="D4:O7 D11:G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:K1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:O1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Hanifi</dc:creator>
  <cp:lastModifiedBy>Ali Hanifi</cp:lastModifiedBy>
  <dcterms:created xsi:type="dcterms:W3CDTF">2026-06-07T13:23:22Z</dcterms:created>
  <dcterms:modified xsi:type="dcterms:W3CDTF">2026-06-07T14:16:19Z</dcterms:modified>
</cp:coreProperties>
</file>