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koo\Documents\GitHub\Emognition-Processing\Results\MLP-GCN-GAT\"/>
    </mc:Choice>
  </mc:AlternateContent>
  <xr:revisionPtr revIDLastSave="0" documentId="13_ncr:1_{D9CA7123-EE3D-44EC-A520-B2FE5CA8DFE9}" xr6:coauthVersionLast="47" xr6:coauthVersionMax="47" xr10:uidLastSave="{00000000-0000-0000-0000-000000000000}"/>
  <bookViews>
    <workbookView xWindow="-108" yWindow="-108" windowWidth="23256" windowHeight="12456" activeTab="1" xr2:uid="{8D592C9F-CC51-43DD-B2E3-0BF015735963}"/>
  </bookViews>
  <sheets>
    <sheet name="Data" sheetId="1" r:id="rId1"/>
    <sheet name="Comparison" sheetId="3" r:id="rId2"/>
  </sheets>
  <definedNames>
    <definedName name="_xlnm._FilterDatabase" localSheetId="0" hidden="1">Data!$A$1:$P$1</definedName>
    <definedName name="ClassMode">Comparison!$AE$2:$AG$4</definedName>
    <definedName name="FastMode">Comparison!$AB$2:$AD$3</definedName>
    <definedName name="FilterMode">Comparison!$Y$2:$AA$3</definedName>
    <definedName name="LabelMode">Comparison!$AH$2:$AJ$3</definedName>
    <definedName name="NormalMode">Comparison!$AK$2:$AM$3</definedName>
    <definedName name="RunMode">Comparison!$V$2:$X$3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9" i="3" l="1"/>
  <c r="S9" i="3"/>
  <c r="R9" i="3"/>
  <c r="P9" i="3"/>
  <c r="O9" i="3"/>
  <c r="N9" i="3"/>
  <c r="L9" i="3"/>
  <c r="K9" i="3"/>
  <c r="J9" i="3"/>
  <c r="B7" i="3"/>
  <c r="B6" i="3"/>
  <c r="B5" i="3"/>
  <c r="B4" i="3"/>
  <c r="B3" i="3"/>
  <c r="B2" i="3"/>
  <c r="H9" i="3"/>
  <c r="G9" i="3"/>
  <c r="F9" i="3"/>
  <c r="F17" i="3" l="1"/>
  <c r="F18" i="3"/>
  <c r="G17" i="3"/>
  <c r="F12" i="3"/>
  <c r="S18" i="3"/>
  <c r="G18" i="3"/>
  <c r="N17" i="3"/>
  <c r="N18" i="3"/>
  <c r="O17" i="3"/>
  <c r="O18" i="3"/>
  <c r="J17" i="3"/>
  <c r="R17" i="3"/>
  <c r="G28" i="3"/>
  <c r="J18" i="3"/>
  <c r="R18" i="3"/>
  <c r="S30" i="3"/>
  <c r="K17" i="3"/>
  <c r="S17" i="3"/>
  <c r="K18" i="3"/>
  <c r="R10" i="3"/>
  <c r="G13" i="3"/>
  <c r="J19" i="3"/>
  <c r="J21" i="3"/>
  <c r="G24" i="3"/>
  <c r="G26" i="3"/>
  <c r="G30" i="3"/>
  <c r="K11" i="3"/>
  <c r="O13" i="3"/>
  <c r="O15" i="3"/>
  <c r="R20" i="3"/>
  <c r="R22" i="3"/>
  <c r="O24" i="3"/>
  <c r="O25" i="3"/>
  <c r="O26" i="3"/>
  <c r="O27" i="3"/>
  <c r="O29" i="3"/>
  <c r="O30" i="3"/>
  <c r="N11" i="3"/>
  <c r="R13" i="3"/>
  <c r="R15" i="3"/>
  <c r="R16" i="3"/>
  <c r="S20" i="3"/>
  <c r="S21" i="3"/>
  <c r="S23" i="3"/>
  <c r="R25" i="3"/>
  <c r="R26" i="3"/>
  <c r="R27" i="3"/>
  <c r="R28" i="3"/>
  <c r="R30" i="3"/>
  <c r="F10" i="3"/>
  <c r="O10" i="3"/>
  <c r="R11" i="3"/>
  <c r="S12" i="3"/>
  <c r="F14" i="3"/>
  <c r="F15" i="3"/>
  <c r="F16" i="3"/>
  <c r="G19" i="3"/>
  <c r="G20" i="3"/>
  <c r="G21" i="3"/>
  <c r="G22" i="3"/>
  <c r="G23" i="3"/>
  <c r="F24" i="3"/>
  <c r="F25" i="3"/>
  <c r="F26" i="3"/>
  <c r="F27" i="3"/>
  <c r="F28" i="3"/>
  <c r="F29" i="3"/>
  <c r="F30" i="3"/>
  <c r="S11" i="3"/>
  <c r="G15" i="3"/>
  <c r="G16" i="3"/>
  <c r="J20" i="3"/>
  <c r="J23" i="3"/>
  <c r="G25" i="3"/>
  <c r="G27" i="3"/>
  <c r="G29" i="3"/>
  <c r="S10" i="3"/>
  <c r="G12" i="3"/>
  <c r="J13" i="3"/>
  <c r="J14" i="3"/>
  <c r="J15" i="3"/>
  <c r="J16" i="3"/>
  <c r="K19" i="3"/>
  <c r="K20" i="3"/>
  <c r="K21" i="3"/>
  <c r="K22" i="3"/>
  <c r="K23" i="3"/>
  <c r="J24" i="3"/>
  <c r="J25" i="3"/>
  <c r="J26" i="3"/>
  <c r="J27" i="3"/>
  <c r="J28" i="3"/>
  <c r="J29" i="3"/>
  <c r="J30" i="3"/>
  <c r="F13" i="3"/>
  <c r="G11" i="3"/>
  <c r="J12" i="3"/>
  <c r="K13" i="3"/>
  <c r="K14" i="3"/>
  <c r="K15" i="3"/>
  <c r="K16" i="3"/>
  <c r="N19" i="3"/>
  <c r="N20" i="3"/>
  <c r="N21" i="3"/>
  <c r="N22" i="3"/>
  <c r="N23" i="3"/>
  <c r="K24" i="3"/>
  <c r="K25" i="3"/>
  <c r="K26" i="3"/>
  <c r="K27" i="3"/>
  <c r="K28" i="3"/>
  <c r="K29" i="3"/>
  <c r="K30" i="3"/>
  <c r="G10" i="3"/>
  <c r="J11" i="3"/>
  <c r="K12" i="3"/>
  <c r="N13" i="3"/>
  <c r="N14" i="3"/>
  <c r="N15" i="3"/>
  <c r="N16" i="3"/>
  <c r="O19" i="3"/>
  <c r="O20" i="3"/>
  <c r="O21" i="3"/>
  <c r="O22" i="3"/>
  <c r="O23" i="3"/>
  <c r="N24" i="3"/>
  <c r="N25" i="3"/>
  <c r="N26" i="3"/>
  <c r="N27" i="3"/>
  <c r="N28" i="3"/>
  <c r="N29" i="3"/>
  <c r="N30" i="3"/>
  <c r="F11" i="3"/>
  <c r="G14" i="3"/>
  <c r="J22" i="3"/>
  <c r="J10" i="3"/>
  <c r="N12" i="3"/>
  <c r="O14" i="3"/>
  <c r="O16" i="3"/>
  <c r="R19" i="3"/>
  <c r="R21" i="3"/>
  <c r="R23" i="3"/>
  <c r="O28" i="3"/>
  <c r="K10" i="3"/>
  <c r="O12" i="3"/>
  <c r="R14" i="3"/>
  <c r="S19" i="3"/>
  <c r="S22" i="3"/>
  <c r="R24" i="3"/>
  <c r="R29" i="3"/>
  <c r="N10" i="3"/>
  <c r="O11" i="3"/>
  <c r="R12" i="3"/>
  <c r="S13" i="3"/>
  <c r="S14" i="3"/>
  <c r="S15" i="3"/>
  <c r="S16" i="3"/>
  <c r="F20" i="3"/>
  <c r="F21" i="3"/>
  <c r="F22" i="3"/>
  <c r="F23" i="3"/>
  <c r="F19" i="3"/>
  <c r="S24" i="3"/>
  <c r="S25" i="3"/>
  <c r="S26" i="3"/>
  <c r="S27" i="3"/>
  <c r="S28" i="3"/>
  <c r="S29" i="3"/>
  <c r="Q13" i="3" l="1"/>
  <c r="Q12" i="3"/>
  <c r="E29" i="3"/>
  <c r="T25" i="3"/>
  <c r="M16" i="3"/>
  <c r="I24" i="3"/>
  <c r="I27" i="3"/>
  <c r="Q16" i="3"/>
  <c r="I28" i="3"/>
  <c r="M12" i="3"/>
  <c r="Q15" i="3"/>
  <c r="M27" i="3"/>
  <c r="Q25" i="3"/>
  <c r="H30" i="3"/>
  <c r="E10" i="3"/>
  <c r="P30" i="3"/>
  <c r="I10" i="3"/>
  <c r="P27" i="3"/>
  <c r="H27" i="3"/>
  <c r="I14" i="3"/>
  <c r="I30" i="3"/>
  <c r="L24" i="3"/>
  <c r="I15" i="3"/>
  <c r="E26" i="3"/>
  <c r="I13" i="3"/>
  <c r="M26" i="3"/>
  <c r="M10" i="3"/>
  <c r="I25" i="3"/>
  <c r="I29" i="3"/>
  <c r="T24" i="3"/>
  <c r="Q10" i="3"/>
  <c r="I26" i="3"/>
  <c r="M28" i="3"/>
  <c r="H21" i="3"/>
  <c r="E21" i="3"/>
  <c r="L17" i="3"/>
  <c r="I17" i="3"/>
  <c r="L20" i="3"/>
  <c r="I20" i="3"/>
  <c r="T20" i="3"/>
  <c r="Q20" i="3"/>
  <c r="T28" i="3"/>
  <c r="E28" i="3"/>
  <c r="Q27" i="3"/>
  <c r="T18" i="3"/>
  <c r="Q18" i="3"/>
  <c r="H22" i="3"/>
  <c r="E22" i="3"/>
  <c r="I11" i="3"/>
  <c r="H26" i="3"/>
  <c r="T23" i="3"/>
  <c r="Q23" i="3"/>
  <c r="H25" i="3"/>
  <c r="E25" i="3"/>
  <c r="E27" i="3"/>
  <c r="H18" i="3"/>
  <c r="E18" i="3"/>
  <c r="P20" i="3"/>
  <c r="M20" i="3"/>
  <c r="P25" i="3"/>
  <c r="M25" i="3"/>
  <c r="P19" i="3"/>
  <c r="M19" i="3"/>
  <c r="T13" i="3"/>
  <c r="L13" i="3"/>
  <c r="H13" i="3"/>
  <c r="P13" i="3"/>
  <c r="E13" i="3"/>
  <c r="L25" i="3"/>
  <c r="H14" i="3"/>
  <c r="T14" i="3"/>
  <c r="P14" i="3"/>
  <c r="E14" i="3"/>
  <c r="L14" i="3"/>
  <c r="L18" i="3"/>
  <c r="I18" i="3"/>
  <c r="Q24" i="3"/>
  <c r="P22" i="3"/>
  <c r="M22" i="3"/>
  <c r="T11" i="3"/>
  <c r="H11" i="3"/>
  <c r="L11" i="3"/>
  <c r="P11" i="3"/>
  <c r="E11" i="3"/>
  <c r="H29" i="3"/>
  <c r="T27" i="3"/>
  <c r="M29" i="3"/>
  <c r="T21" i="3"/>
  <c r="Q21" i="3"/>
  <c r="H24" i="3"/>
  <c r="E24" i="3"/>
  <c r="P23" i="3"/>
  <c r="M23" i="3"/>
  <c r="M11" i="3"/>
  <c r="Q11" i="3"/>
  <c r="Q26" i="3"/>
  <c r="P24" i="3"/>
  <c r="M24" i="3"/>
  <c r="Q14" i="3"/>
  <c r="T29" i="3"/>
  <c r="P10" i="3"/>
  <c r="L10" i="3"/>
  <c r="H10" i="3"/>
  <c r="T10" i="3"/>
  <c r="H20" i="3"/>
  <c r="E20" i="3"/>
  <c r="Q28" i="3"/>
  <c r="H19" i="3"/>
  <c r="E19" i="3"/>
  <c r="T16" i="3"/>
  <c r="H16" i="3"/>
  <c r="L16" i="3"/>
  <c r="E16" i="3"/>
  <c r="P16" i="3"/>
  <c r="P29" i="3"/>
  <c r="L28" i="3"/>
  <c r="L27" i="3"/>
  <c r="I12" i="3"/>
  <c r="I16" i="3"/>
  <c r="P28" i="3"/>
  <c r="T26" i="3"/>
  <c r="H23" i="3"/>
  <c r="E23" i="3"/>
  <c r="Q30" i="3"/>
  <c r="L22" i="3"/>
  <c r="I22" i="3"/>
  <c r="M13" i="3"/>
  <c r="L23" i="3"/>
  <c r="I23" i="3"/>
  <c r="M15" i="3"/>
  <c r="T22" i="3"/>
  <c r="Q22" i="3"/>
  <c r="L29" i="3"/>
  <c r="P17" i="3"/>
  <c r="M17" i="3"/>
  <c r="T17" i="3"/>
  <c r="Q17" i="3"/>
  <c r="P26" i="3"/>
  <c r="E12" i="3"/>
  <c r="H12" i="3"/>
  <c r="P12" i="3"/>
  <c r="T12" i="3"/>
  <c r="L12" i="3"/>
  <c r="H17" i="3"/>
  <c r="E17" i="3"/>
  <c r="P18" i="3"/>
  <c r="M18" i="3"/>
  <c r="Q29" i="3"/>
  <c r="T15" i="3"/>
  <c r="L15" i="3"/>
  <c r="E15" i="3"/>
  <c r="P15" i="3"/>
  <c r="H15" i="3"/>
  <c r="H28" i="3"/>
  <c r="L26" i="3"/>
  <c r="T19" i="3"/>
  <c r="Q19" i="3"/>
  <c r="M14" i="3"/>
  <c r="P21" i="3"/>
  <c r="M21" i="3"/>
  <c r="L21" i="3"/>
  <c r="I21" i="3"/>
  <c r="T30" i="3"/>
  <c r="L30" i="3"/>
  <c r="E30" i="3"/>
  <c r="L19" i="3"/>
  <c r="I19" i="3"/>
  <c r="M30" i="3"/>
</calcChain>
</file>

<file path=xl/sharedStrings.xml><?xml version="1.0" encoding="utf-8"?>
<sst xmlns="http://schemas.openxmlformats.org/spreadsheetml/2006/main" count="464" uniqueCount="64">
  <si>
    <t>Model</t>
  </si>
  <si>
    <t>Data Type</t>
  </si>
  <si>
    <t>KNN</t>
  </si>
  <si>
    <t>Accuracy (±std)</t>
  </si>
  <si>
    <t>F1 Score (±std)</t>
  </si>
  <si>
    <t>Precision (±std)</t>
  </si>
  <si>
    <t>Recall (±std)</t>
  </si>
  <si>
    <t>Raw Features</t>
  </si>
  <si>
    <t>Run Mode</t>
  </si>
  <si>
    <t>Windowed</t>
  </si>
  <si>
    <t>Aggregated</t>
  </si>
  <si>
    <t>Filter Mode:</t>
  </si>
  <si>
    <t>Fast Mode:</t>
  </si>
  <si>
    <t>Classification:</t>
  </si>
  <si>
    <t>All</t>
  </si>
  <si>
    <t>Yes</t>
  </si>
  <si>
    <t>No</t>
  </si>
  <si>
    <t>Binary</t>
  </si>
  <si>
    <t>Ternary</t>
  </si>
  <si>
    <t>Regression</t>
  </si>
  <si>
    <t>Run Mode:</t>
  </si>
  <si>
    <t>NoBaseline/Neutral</t>
  </si>
  <si>
    <t xml:space="preserve">                              Model
                               Name
     Metric</t>
  </si>
  <si>
    <t>MAE (±std)</t>
  </si>
  <si>
    <t>RMSE (±std)</t>
  </si>
  <si>
    <t>R2 (±std)</t>
  </si>
  <si>
    <t>Label:</t>
  </si>
  <si>
    <t>Valence</t>
  </si>
  <si>
    <t>Arousal</t>
  </si>
  <si>
    <t>Label</t>
  </si>
  <si>
    <t>Classification</t>
  </si>
  <si>
    <t>Normalized:</t>
  </si>
  <si>
    <t>Normalized</t>
  </si>
  <si>
    <t>Filter</t>
  </si>
  <si>
    <t>Fast Mode</t>
  </si>
  <si>
    <t>c1_mean</t>
  </si>
  <si>
    <t>c1_std</t>
  </si>
  <si>
    <t>c2_mean</t>
  </si>
  <si>
    <t>c2_std</t>
  </si>
  <si>
    <t>c3_mean</t>
  </si>
  <si>
    <t>c3_std</t>
  </si>
  <si>
    <t>c4_mean</t>
  </si>
  <si>
    <t>c4_std</t>
  </si>
  <si>
    <t>arousal</t>
  </si>
  <si>
    <t>aggregated</t>
  </si>
  <si>
    <t>binary</t>
  </si>
  <si>
    <t>normalized</t>
  </si>
  <si>
    <t>noBaselineNeutral</t>
  </si>
  <si>
    <t>fast</t>
  </si>
  <si>
    <t>raw</t>
  </si>
  <si>
    <t>windowed</t>
  </si>
  <si>
    <t>noFilter</t>
  </si>
  <si>
    <t>gridsearch</t>
  </si>
  <si>
    <t>ternary</t>
  </si>
  <si>
    <t>regression</t>
  </si>
  <si>
    <t>valence</t>
  </si>
  <si>
    <t>notNormalized</t>
  </si>
  <si>
    <t>vg</t>
  </si>
  <si>
    <t>VG Features</t>
  </si>
  <si>
    <t>Raw + VG Features</t>
  </si>
  <si>
    <t>rawvg</t>
  </si>
  <si>
    <t>MLP</t>
  </si>
  <si>
    <t>GCN</t>
  </si>
  <si>
    <t>GAT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</si>
</sst>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CC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medium">
        <color indexed="64"/>
      </left>
      <right style="thin">
        <color indexed="64"/>
      </right>
      <top style="medium">
        <color indexed="64"/>
      </top>
      <bottom/>
      <diagonal style="thin">
        <color auto="1"/>
      </diagonal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0" xfId="0" applyFont="1"/>
    <xf numFmtId="0" fontId="0" fillId="2" borderId="3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vertical="center" textRotation="90"/>
    </xf>
    <xf numFmtId="0" fontId="0" fillId="0" borderId="10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5" borderId="11" xfId="0" applyFill="1" applyBorder="1" applyAlignment="1">
      <alignment horizontal="left" vertical="top" wrapText="1"/>
    </xf>
    <xf numFmtId="0" fontId="0" fillId="5" borderId="12" xfId="0" applyFill="1" applyBorder="1" applyAlignment="1">
      <alignment horizontal="center" vertical="center" wrapText="1"/>
    </xf>
    <xf numFmtId="0" fontId="0" fillId="5" borderId="13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textRotation="90" wrapText="1"/>
    </xf>
    <xf numFmtId="0" fontId="0" fillId="2" borderId="8" xfId="0" applyFill="1" applyBorder="1" applyAlignment="1">
      <alignment horizontal="center" vertical="center" textRotation="90" wrapText="1"/>
    </xf>
    <xf numFmtId="0" fontId="0" fillId="2" borderId="5" xfId="0" applyFill="1" applyBorder="1" applyAlignment="1">
      <alignment horizontal="center" vertical="center" textRotation="90" wrapText="1"/>
    </xf>
    <xf numFmtId="0" fontId="0" fillId="4" borderId="2" xfId="0" applyFill="1" applyBorder="1" applyAlignment="1">
      <alignment horizontal="center" vertical="center" textRotation="90" wrapText="1"/>
    </xf>
    <xf numFmtId="0" fontId="0" fillId="4" borderId="8" xfId="0" applyFill="1" applyBorder="1" applyAlignment="1">
      <alignment horizontal="center" vertical="center" textRotation="90" wrapText="1"/>
    </xf>
    <xf numFmtId="0" fontId="0" fillId="4" borderId="5" xfId="0" applyFill="1" applyBorder="1" applyAlignment="1">
      <alignment horizontal="center" vertical="center" textRotation="90" wrapText="1"/>
    </xf>
    <xf numFmtId="0" fontId="0" fillId="3" borderId="16" xfId="0" applyFill="1" applyBorder="1" applyAlignment="1">
      <alignment horizontal="center" vertical="center" textRotation="90" wrapText="1"/>
    </xf>
    <xf numFmtId="0" fontId="0" fillId="3" borderId="17" xfId="0" applyFill="1" applyBorder="1" applyAlignment="1">
      <alignment horizontal="center" vertical="center" textRotation="90" wrapText="1"/>
    </xf>
    <xf numFmtId="0" fontId="0" fillId="3" borderId="18" xfId="0" applyFill="1" applyBorder="1" applyAlignment="1">
      <alignment horizontal="center" vertical="center" textRotation="90" wrapText="1"/>
    </xf>
  </cellXfs>
  <cellStyles count="1">
    <cellStyle name="Normal" xfId="0" builtinId="0"/>
  </cellStyles>
  <dxfs count="4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2" dropStyle="combo" dx="26" fmlaLink="$D$2" fmlaRange="$Z$2:$Z$3" sel="1" val="0"/>
</file>

<file path=xl/ctrlProps/ctrlProp2.xml><?xml version="1.0" encoding="utf-8"?>
<formControlPr xmlns="http://schemas.microsoft.com/office/spreadsheetml/2009/9/main" objectType="Drop" dropLines="2" dropStyle="combo" dx="26" fmlaLink="$D$3" fmlaRange="$AC$2:$AC$3" sel="1" val="0"/>
</file>

<file path=xl/ctrlProps/ctrlProp3.xml><?xml version="1.0" encoding="utf-8"?>
<formControlPr xmlns="http://schemas.microsoft.com/office/spreadsheetml/2009/9/main" objectType="Drop" dropLines="3" dropStyle="combo" dx="26" fmlaLink="$D$4" fmlaRange="$AF$2:$AF$4" sel="1" val="0"/>
</file>

<file path=xl/ctrlProps/ctrlProp4.xml><?xml version="1.0" encoding="utf-8"?>
<formControlPr xmlns="http://schemas.microsoft.com/office/spreadsheetml/2009/9/main" objectType="Drop" dropLines="2" dropStyle="combo" dx="26" fmlaLink="$D$5" fmlaRange="$W$2:$W$3" sel="1" val="0"/>
</file>

<file path=xl/ctrlProps/ctrlProp5.xml><?xml version="1.0" encoding="utf-8"?>
<formControlPr xmlns="http://schemas.microsoft.com/office/spreadsheetml/2009/9/main" objectType="Drop" dropLines="2" dropStyle="combo" dx="26" fmlaLink="$D$6" fmlaRange="$AI$2:$AI$3" sel="2" val="0"/>
</file>

<file path=xl/ctrlProps/ctrlProp6.xml><?xml version="1.0" encoding="utf-8"?>
<formControlPr xmlns="http://schemas.microsoft.com/office/spreadsheetml/2009/9/main" objectType="Drop" dropLines="2" dropStyle="combo" dx="26" fmlaLink="$D$7" fmlaRange="$AL$2:$AL$3" sel="2" val="0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1</xdr:row>
          <xdr:rowOff>38100</xdr:rowOff>
        </xdr:from>
        <xdr:to>
          <xdr:col>3</xdr:col>
          <xdr:colOff>1158240</xdr:colOff>
          <xdr:row>1</xdr:row>
          <xdr:rowOff>243840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2</xdr:row>
          <xdr:rowOff>22860</xdr:rowOff>
        </xdr:from>
        <xdr:to>
          <xdr:col>3</xdr:col>
          <xdr:colOff>1158240</xdr:colOff>
          <xdr:row>2</xdr:row>
          <xdr:rowOff>228600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3</xdr:row>
          <xdr:rowOff>22860</xdr:rowOff>
        </xdr:from>
        <xdr:to>
          <xdr:col>3</xdr:col>
          <xdr:colOff>1158240</xdr:colOff>
          <xdr:row>3</xdr:row>
          <xdr:rowOff>228600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4</xdr:row>
          <xdr:rowOff>30480</xdr:rowOff>
        </xdr:from>
        <xdr:to>
          <xdr:col>3</xdr:col>
          <xdr:colOff>1158240</xdr:colOff>
          <xdr:row>4</xdr:row>
          <xdr:rowOff>236220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5</xdr:row>
          <xdr:rowOff>38100</xdr:rowOff>
        </xdr:from>
        <xdr:to>
          <xdr:col>3</xdr:col>
          <xdr:colOff>1158240</xdr:colOff>
          <xdr:row>5</xdr:row>
          <xdr:rowOff>243840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6</xdr:row>
          <xdr:rowOff>45720</xdr:rowOff>
        </xdr:from>
        <xdr:to>
          <xdr:col>3</xdr:col>
          <xdr:colOff>1158240</xdr:colOff>
          <xdr:row>6</xdr:row>
          <xdr:rowOff>251460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685800</xdr:colOff>
          <xdr:row>1</xdr:row>
          <xdr:rowOff>7620</xdr:rowOff>
        </xdr:from>
        <xdr:to>
          <xdr:col>8</xdr:col>
          <xdr:colOff>320040</xdr:colOff>
          <xdr:row>2</xdr:row>
          <xdr:rowOff>15240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60A1F-9449-4A91-8C37-2E569624DE33}">
  <sheetPr codeName="Sheet1"/>
  <dimension ref="A1:P49"/>
  <sheetViews>
    <sheetView zoomScaleNormal="100" workbookViewId="0">
      <selection activeCell="C20" sqref="C20"/>
    </sheetView>
  </sheetViews>
  <sheetFormatPr defaultRowHeight="14.4" x14ac:dyDescent="0.3"/>
  <cols>
    <col min="2" max="2" width="9.88671875" bestFit="1" customWidth="1"/>
    <col min="3" max="3" width="11.77734375" customWidth="1"/>
    <col min="4" max="4" width="11.88671875" bestFit="1" customWidth="1"/>
    <col min="5" max="5" width="14.77734375" customWidth="1"/>
    <col min="6" max="6" width="14.5546875" customWidth="1"/>
    <col min="7" max="7" width="9.5546875" customWidth="1"/>
    <col min="8" max="8" width="14.44140625" bestFit="1" customWidth="1"/>
    <col min="9" max="11" width="12" bestFit="1" customWidth="1"/>
    <col min="12" max="12" width="12" customWidth="1"/>
    <col min="13" max="16" width="12" bestFit="1" customWidth="1"/>
  </cols>
  <sheetData>
    <row r="1" spans="1:16" x14ac:dyDescent="0.3">
      <c r="A1" t="s">
        <v>29</v>
      </c>
      <c r="B1" t="s">
        <v>1</v>
      </c>
      <c r="C1" t="s">
        <v>8</v>
      </c>
      <c r="D1" t="s">
        <v>30</v>
      </c>
      <c r="E1" s="1" t="s">
        <v>32</v>
      </c>
      <c r="F1" s="1" t="s">
        <v>33</v>
      </c>
      <c r="G1" s="1" t="s">
        <v>34</v>
      </c>
      <c r="H1" s="1" t="s">
        <v>0</v>
      </c>
      <c r="I1" s="1" t="s">
        <v>35</v>
      </c>
      <c r="J1" s="1" t="s">
        <v>36</v>
      </c>
      <c r="K1" s="1" t="s">
        <v>37</v>
      </c>
      <c r="L1" s="1" t="s">
        <v>38</v>
      </c>
      <c r="M1" s="1" t="s">
        <v>39</v>
      </c>
      <c r="N1" s="1" t="s">
        <v>40</v>
      </c>
      <c r="O1" s="1" t="s">
        <v>41</v>
      </c>
      <c r="P1" s="1" t="s">
        <v>42</v>
      </c>
    </row>
    <row r="2" spans="1:16" x14ac:dyDescent="0.3">
      <c r="A2" t="s">
        <v>43</v>
      </c>
      <c r="B2" t="s">
        <v>60</v>
      </c>
      <c r="C2" t="s">
        <v>44</v>
      </c>
      <c r="D2" t="s">
        <v>45</v>
      </c>
      <c r="E2" t="s">
        <v>46</v>
      </c>
      <c r="F2" t="s">
        <v>47</v>
      </c>
      <c r="G2" t="s">
        <v>48</v>
      </c>
      <c r="H2" t="s">
        <v>61</v>
      </c>
      <c r="I2">
        <v>0.53529900332225899</v>
      </c>
      <c r="J2">
        <v>0.17904788480623399</v>
      </c>
      <c r="K2">
        <v>0.48172176660548699</v>
      </c>
      <c r="L2">
        <v>0.19285311618097001</v>
      </c>
      <c r="M2">
        <v>0.51222314507198197</v>
      </c>
      <c r="N2">
        <v>0.23049384319284699</v>
      </c>
      <c r="O2">
        <v>0.53006644518272406</v>
      </c>
      <c r="P2">
        <v>0.182163953537509</v>
      </c>
    </row>
    <row r="3" spans="1:16" x14ac:dyDescent="0.3">
      <c r="A3" t="s">
        <v>43</v>
      </c>
      <c r="B3" t="s">
        <v>60</v>
      </c>
      <c r="C3" t="s">
        <v>44</v>
      </c>
      <c r="D3" t="s">
        <v>45</v>
      </c>
      <c r="E3" t="s">
        <v>46</v>
      </c>
      <c r="F3" t="s">
        <v>47</v>
      </c>
      <c r="G3" t="s">
        <v>48</v>
      </c>
      <c r="H3" t="s">
        <v>62</v>
      </c>
      <c r="I3">
        <v>0.51591915836101798</v>
      </c>
      <c r="J3">
        <v>0.17956405972843301</v>
      </c>
      <c r="K3">
        <v>0.464468670864019</v>
      </c>
      <c r="L3">
        <v>0.186640283338594</v>
      </c>
      <c r="M3">
        <v>0.50274086378737504</v>
      </c>
      <c r="N3">
        <v>0.22061609459215401</v>
      </c>
      <c r="O3">
        <v>0.49939091915836098</v>
      </c>
      <c r="P3">
        <v>0.19773382104068701</v>
      </c>
    </row>
    <row r="4" spans="1:16" x14ac:dyDescent="0.3">
      <c r="A4" t="s">
        <v>43</v>
      </c>
      <c r="B4" t="s">
        <v>60</v>
      </c>
      <c r="C4" t="s">
        <v>44</v>
      </c>
      <c r="D4" t="s">
        <v>45</v>
      </c>
      <c r="E4" t="s">
        <v>46</v>
      </c>
      <c r="F4" t="s">
        <v>47</v>
      </c>
      <c r="G4" t="s">
        <v>48</v>
      </c>
      <c r="H4" t="s">
        <v>63</v>
      </c>
      <c r="I4">
        <v>0.50678294573643401</v>
      </c>
      <c r="J4">
        <v>0.164565047102575</v>
      </c>
      <c r="K4">
        <v>0.46344675995838702</v>
      </c>
      <c r="L4">
        <v>0.18036236692180899</v>
      </c>
      <c r="M4">
        <v>0.50833333333333297</v>
      </c>
      <c r="N4">
        <v>0.227122721874191</v>
      </c>
      <c r="O4">
        <v>0.51240310077519302</v>
      </c>
      <c r="P4">
        <v>0.18430625773615</v>
      </c>
    </row>
    <row r="5" spans="1:16" x14ac:dyDescent="0.3">
      <c r="A5" t="s">
        <v>43</v>
      </c>
      <c r="B5" t="s">
        <v>60</v>
      </c>
      <c r="C5" t="s">
        <v>44</v>
      </c>
      <c r="D5" t="s">
        <v>45</v>
      </c>
      <c r="E5" t="s">
        <v>56</v>
      </c>
      <c r="F5" t="s">
        <v>47</v>
      </c>
      <c r="G5" t="s">
        <v>48</v>
      </c>
      <c r="H5" t="s">
        <v>61</v>
      </c>
      <c r="I5">
        <v>0.55495570321151699</v>
      </c>
      <c r="J5">
        <v>0.25357629366294498</v>
      </c>
      <c r="K5">
        <v>0.43486106916339401</v>
      </c>
      <c r="L5">
        <v>0.22902805780999</v>
      </c>
      <c r="M5">
        <v>0.51229235880398605</v>
      </c>
      <c r="N5">
        <v>0.22760916648263299</v>
      </c>
      <c r="O5">
        <v>0.48528516057585802</v>
      </c>
      <c r="P5">
        <v>0.23587937346077201</v>
      </c>
    </row>
    <row r="6" spans="1:16" x14ac:dyDescent="0.3">
      <c r="A6" t="s">
        <v>43</v>
      </c>
      <c r="B6" t="s">
        <v>60</v>
      </c>
      <c r="C6" t="s">
        <v>44</v>
      </c>
      <c r="D6" t="s">
        <v>45</v>
      </c>
      <c r="E6" t="s">
        <v>56</v>
      </c>
      <c r="F6" t="s">
        <v>47</v>
      </c>
      <c r="G6" t="s">
        <v>48</v>
      </c>
      <c r="H6" t="s">
        <v>63</v>
      </c>
      <c r="I6">
        <v>0.54969545957917998</v>
      </c>
      <c r="J6">
        <v>0.271652038945219</v>
      </c>
      <c r="K6">
        <v>0.42523826302896001</v>
      </c>
      <c r="L6">
        <v>0.248524706341816</v>
      </c>
      <c r="M6">
        <v>0.46835548172757402</v>
      </c>
      <c r="N6">
        <v>0.26174514195593901</v>
      </c>
      <c r="O6">
        <v>0.46809246954595701</v>
      </c>
      <c r="P6">
        <v>0.25341118355236297</v>
      </c>
    </row>
    <row r="7" spans="1:16" x14ac:dyDescent="0.3">
      <c r="A7" t="s">
        <v>43</v>
      </c>
      <c r="B7" t="s">
        <v>60</v>
      </c>
      <c r="C7" t="s">
        <v>44</v>
      </c>
      <c r="D7" t="s">
        <v>45</v>
      </c>
      <c r="E7" t="s">
        <v>56</v>
      </c>
      <c r="F7" t="s">
        <v>47</v>
      </c>
      <c r="G7" t="s">
        <v>48</v>
      </c>
      <c r="H7" t="s">
        <v>62</v>
      </c>
      <c r="I7">
        <v>0.57461240310077499</v>
      </c>
      <c r="J7">
        <v>0.31018953887428502</v>
      </c>
      <c r="K7">
        <v>0.42006494797192401</v>
      </c>
      <c r="L7">
        <v>0.27316317675402102</v>
      </c>
      <c r="M7">
        <v>0.406810631229235</v>
      </c>
      <c r="N7">
        <v>0.28949380194685598</v>
      </c>
      <c r="O7">
        <v>0.50726744186046502</v>
      </c>
      <c r="P7">
        <v>0.248537539315515</v>
      </c>
    </row>
    <row r="8" spans="1:16" x14ac:dyDescent="0.3">
      <c r="A8" t="s">
        <v>43</v>
      </c>
      <c r="B8" t="s">
        <v>60</v>
      </c>
      <c r="C8" t="s">
        <v>50</v>
      </c>
      <c r="D8" t="s">
        <v>45</v>
      </c>
      <c r="E8" t="s">
        <v>46</v>
      </c>
      <c r="F8" t="s">
        <v>47</v>
      </c>
      <c r="G8" t="s">
        <v>48</v>
      </c>
      <c r="H8" t="s">
        <v>61</v>
      </c>
      <c r="I8">
        <v>0.53670733491274902</v>
      </c>
      <c r="J8">
        <v>0.12240556424691799</v>
      </c>
      <c r="K8">
        <v>0.50514860119201099</v>
      </c>
      <c r="L8">
        <v>0.13255337161766001</v>
      </c>
      <c r="M8">
        <v>0.55263145112621304</v>
      </c>
      <c r="N8">
        <v>0.13611483591951401</v>
      </c>
      <c r="O8">
        <v>0.53983679972052001</v>
      </c>
      <c r="P8">
        <v>0.131328665810058</v>
      </c>
    </row>
    <row r="9" spans="1:16" x14ac:dyDescent="0.3">
      <c r="A9" t="s">
        <v>43</v>
      </c>
      <c r="B9" t="s">
        <v>60</v>
      </c>
      <c r="C9" t="s">
        <v>50</v>
      </c>
      <c r="D9" t="s">
        <v>45</v>
      </c>
      <c r="E9" t="s">
        <v>46</v>
      </c>
      <c r="F9" t="s">
        <v>47</v>
      </c>
      <c r="G9" t="s">
        <v>48</v>
      </c>
      <c r="H9" t="s">
        <v>63</v>
      </c>
      <c r="I9">
        <v>0.49466588553005802</v>
      </c>
      <c r="J9">
        <v>0.138399340551568</v>
      </c>
      <c r="K9">
        <v>0.46082374102593998</v>
      </c>
      <c r="L9">
        <v>0.14463601647060201</v>
      </c>
      <c r="M9">
        <v>0.47358745455710599</v>
      </c>
      <c r="N9">
        <v>0.15848170487739</v>
      </c>
      <c r="O9">
        <v>0.49983426349705401</v>
      </c>
      <c r="P9">
        <v>0.133159474758408</v>
      </c>
    </row>
    <row r="10" spans="1:16" x14ac:dyDescent="0.3">
      <c r="A10" t="s">
        <v>43</v>
      </c>
      <c r="B10" t="s">
        <v>60</v>
      </c>
      <c r="C10" t="s">
        <v>50</v>
      </c>
      <c r="D10" t="s">
        <v>45</v>
      </c>
      <c r="E10" t="s">
        <v>46</v>
      </c>
      <c r="F10" t="s">
        <v>47</v>
      </c>
      <c r="G10" t="s">
        <v>48</v>
      </c>
      <c r="H10" t="s">
        <v>62</v>
      </c>
      <c r="I10">
        <v>0.46706324920829201</v>
      </c>
      <c r="J10">
        <v>0.12659545656857801</v>
      </c>
      <c r="K10">
        <v>0.41692351055055199</v>
      </c>
      <c r="L10">
        <v>0.122240211502386</v>
      </c>
      <c r="M10">
        <v>0.46707864448972503</v>
      </c>
      <c r="N10">
        <v>0.15916605462483099</v>
      </c>
      <c r="O10">
        <v>0.47648778869709102</v>
      </c>
      <c r="P10">
        <v>0.114524390488194</v>
      </c>
    </row>
    <row r="11" spans="1:16" x14ac:dyDescent="0.3">
      <c r="A11" t="s">
        <v>43</v>
      </c>
      <c r="B11" t="s">
        <v>60</v>
      </c>
      <c r="C11" t="s">
        <v>50</v>
      </c>
      <c r="D11" t="s">
        <v>45</v>
      </c>
      <c r="E11" t="s">
        <v>56</v>
      </c>
      <c r="F11" t="s">
        <v>47</v>
      </c>
      <c r="G11" t="s">
        <v>48</v>
      </c>
      <c r="H11" t="s">
        <v>62</v>
      </c>
      <c r="I11">
        <v>0.63646553684713303</v>
      </c>
      <c r="J11">
        <v>0.32361058055506497</v>
      </c>
      <c r="K11">
        <v>0.48039387441058601</v>
      </c>
      <c r="L11">
        <v>0.31363489912501002</v>
      </c>
      <c r="M11">
        <v>0.46484159555294902</v>
      </c>
      <c r="N11">
        <v>0.33441937877993</v>
      </c>
      <c r="O11">
        <v>0.57613911396401096</v>
      </c>
      <c r="P11">
        <v>0.26995721249155602</v>
      </c>
    </row>
    <row r="12" spans="1:16" x14ac:dyDescent="0.3">
      <c r="A12" t="s">
        <v>43</v>
      </c>
      <c r="B12" t="s">
        <v>60</v>
      </c>
      <c r="C12" t="s">
        <v>50</v>
      </c>
      <c r="D12" t="s">
        <v>45</v>
      </c>
      <c r="E12" t="s">
        <v>56</v>
      </c>
      <c r="F12" t="s">
        <v>47</v>
      </c>
      <c r="G12" t="s">
        <v>48</v>
      </c>
      <c r="H12" t="s">
        <v>63</v>
      </c>
      <c r="I12">
        <v>0.56672026623786997</v>
      </c>
      <c r="J12">
        <v>0.32174068833291602</v>
      </c>
      <c r="K12">
        <v>0.42759151389118499</v>
      </c>
      <c r="L12">
        <v>0.292383117938948</v>
      </c>
      <c r="M12">
        <v>0.42418682988198397</v>
      </c>
      <c r="N12">
        <v>0.31206204696546203</v>
      </c>
      <c r="O12">
        <v>0.50323499230187896</v>
      </c>
      <c r="P12">
        <v>0.26505982986318599</v>
      </c>
    </row>
    <row r="13" spans="1:16" x14ac:dyDescent="0.3">
      <c r="A13" t="s">
        <v>43</v>
      </c>
      <c r="B13" t="s">
        <v>60</v>
      </c>
      <c r="C13" t="s">
        <v>50</v>
      </c>
      <c r="D13" t="s">
        <v>45</v>
      </c>
      <c r="E13" t="s">
        <v>56</v>
      </c>
      <c r="F13" t="s">
        <v>47</v>
      </c>
      <c r="G13" t="s">
        <v>48</v>
      </c>
      <c r="H13" t="s">
        <v>61</v>
      </c>
      <c r="I13">
        <v>0.54248786009711902</v>
      </c>
      <c r="J13">
        <v>0.23559021617301901</v>
      </c>
      <c r="K13">
        <v>0.40006994206107399</v>
      </c>
      <c r="L13">
        <v>0.16913652787558101</v>
      </c>
      <c r="M13">
        <v>0.49434387906515098</v>
      </c>
      <c r="N13">
        <v>0.158235408741113</v>
      </c>
      <c r="O13">
        <v>0.42771730375274503</v>
      </c>
      <c r="P13">
        <v>0.17588216083147701</v>
      </c>
    </row>
    <row r="14" spans="1:16" x14ac:dyDescent="0.3">
      <c r="A14" t="s">
        <v>43</v>
      </c>
      <c r="B14" t="s">
        <v>57</v>
      </c>
      <c r="C14" t="s">
        <v>44</v>
      </c>
      <c r="D14" t="s">
        <v>45</v>
      </c>
      <c r="E14" t="s">
        <v>46</v>
      </c>
      <c r="F14" t="s">
        <v>47</v>
      </c>
      <c r="G14" t="s">
        <v>48</v>
      </c>
      <c r="H14" t="s">
        <v>61</v>
      </c>
      <c r="I14">
        <v>0.52353266888150596</v>
      </c>
      <c r="J14">
        <v>0.199440206467739</v>
      </c>
      <c r="K14">
        <v>0.48967163327628399</v>
      </c>
      <c r="L14">
        <v>0.20370079829292201</v>
      </c>
      <c r="M14">
        <v>0.52441860465116197</v>
      </c>
      <c r="N14">
        <v>0.222676316961507</v>
      </c>
      <c r="O14">
        <v>0.52920819490586901</v>
      </c>
      <c r="P14">
        <v>0.213786694211965</v>
      </c>
    </row>
    <row r="15" spans="1:16" x14ac:dyDescent="0.3">
      <c r="A15" t="s">
        <v>43</v>
      </c>
      <c r="B15" t="s">
        <v>57</v>
      </c>
      <c r="C15" t="s">
        <v>44</v>
      </c>
      <c r="D15" t="s">
        <v>45</v>
      </c>
      <c r="E15" t="s">
        <v>46</v>
      </c>
      <c r="F15" t="s">
        <v>47</v>
      </c>
      <c r="G15" t="s">
        <v>48</v>
      </c>
      <c r="H15" t="s">
        <v>62</v>
      </c>
      <c r="I15">
        <v>0.504291251384274</v>
      </c>
      <c r="J15">
        <v>0.18616790504481701</v>
      </c>
      <c r="K15">
        <v>0.45373250780227498</v>
      </c>
      <c r="L15">
        <v>0.20162849327152099</v>
      </c>
      <c r="M15">
        <v>0.47751937984496101</v>
      </c>
      <c r="N15">
        <v>0.233898676836998</v>
      </c>
      <c r="O15">
        <v>0.49066998892580199</v>
      </c>
      <c r="P15">
        <v>0.20367800281163301</v>
      </c>
    </row>
    <row r="16" spans="1:16" x14ac:dyDescent="0.3">
      <c r="A16" t="s">
        <v>43</v>
      </c>
      <c r="B16" t="s">
        <v>57</v>
      </c>
      <c r="C16" t="s">
        <v>44</v>
      </c>
      <c r="D16" t="s">
        <v>45</v>
      </c>
      <c r="E16" t="s">
        <v>46</v>
      </c>
      <c r="F16" t="s">
        <v>47</v>
      </c>
      <c r="G16" t="s">
        <v>48</v>
      </c>
      <c r="H16" t="s">
        <v>63</v>
      </c>
      <c r="I16">
        <v>0.49460132890365399</v>
      </c>
      <c r="J16">
        <v>0.183023200030868</v>
      </c>
      <c r="K16">
        <v>0.44442643919388097</v>
      </c>
      <c r="L16">
        <v>0.19399906420065399</v>
      </c>
      <c r="M16">
        <v>0.46467331118493899</v>
      </c>
      <c r="N16">
        <v>0.23853136564373401</v>
      </c>
      <c r="O16">
        <v>0.49576411960132799</v>
      </c>
      <c r="P16">
        <v>0.18461056123946501</v>
      </c>
    </row>
    <row r="17" spans="1:16" x14ac:dyDescent="0.3">
      <c r="A17" t="s">
        <v>43</v>
      </c>
      <c r="B17" t="s">
        <v>57</v>
      </c>
      <c r="C17" t="s">
        <v>44</v>
      </c>
      <c r="D17" t="s">
        <v>45</v>
      </c>
      <c r="E17" t="s">
        <v>56</v>
      </c>
      <c r="F17" t="s">
        <v>47</v>
      </c>
      <c r="G17" t="s">
        <v>48</v>
      </c>
      <c r="H17" t="s">
        <v>61</v>
      </c>
      <c r="I17">
        <v>0.61101882613510505</v>
      </c>
      <c r="J17">
        <v>0.21994002651965799</v>
      </c>
      <c r="K17">
        <v>0.48461886950258998</v>
      </c>
      <c r="L17">
        <v>0.23113881544309101</v>
      </c>
      <c r="M17">
        <v>0.54760520487264597</v>
      </c>
      <c r="N17">
        <v>0.23068941487171499</v>
      </c>
      <c r="O17">
        <v>0.51799557032115096</v>
      </c>
      <c r="P17">
        <v>0.244560640222798</v>
      </c>
    </row>
    <row r="18" spans="1:16" x14ac:dyDescent="0.3">
      <c r="A18" t="s">
        <v>43</v>
      </c>
      <c r="B18" t="s">
        <v>57</v>
      </c>
      <c r="C18" t="s">
        <v>44</v>
      </c>
      <c r="D18" t="s">
        <v>45</v>
      </c>
      <c r="E18" t="s">
        <v>56</v>
      </c>
      <c r="F18" t="s">
        <v>47</v>
      </c>
      <c r="G18" t="s">
        <v>48</v>
      </c>
      <c r="H18" t="s">
        <v>63</v>
      </c>
      <c r="I18">
        <v>0.57378183831672203</v>
      </c>
      <c r="J18">
        <v>0.25744382334442401</v>
      </c>
      <c r="K18">
        <v>0.435228079414125</v>
      </c>
      <c r="L18">
        <v>0.23476479975393599</v>
      </c>
      <c r="M18">
        <v>0.47584440753045398</v>
      </c>
      <c r="N18">
        <v>0.24688757042259801</v>
      </c>
      <c r="O18">
        <v>0.47927740863787299</v>
      </c>
      <c r="P18">
        <v>0.24094157105059899</v>
      </c>
    </row>
    <row r="19" spans="1:16" x14ac:dyDescent="0.3">
      <c r="A19" t="s">
        <v>43</v>
      </c>
      <c r="B19" t="s">
        <v>57</v>
      </c>
      <c r="C19" t="s">
        <v>44</v>
      </c>
      <c r="D19" t="s">
        <v>45</v>
      </c>
      <c r="E19" t="s">
        <v>56</v>
      </c>
      <c r="F19" t="s">
        <v>47</v>
      </c>
      <c r="G19" t="s">
        <v>48</v>
      </c>
      <c r="H19" t="s">
        <v>62</v>
      </c>
      <c r="I19">
        <v>0.56007751937984496</v>
      </c>
      <c r="J19">
        <v>0.30924367048901003</v>
      </c>
      <c r="K19">
        <v>0.40298512856652302</v>
      </c>
      <c r="L19">
        <v>0.26559808900855902</v>
      </c>
      <c r="M19">
        <v>0.39426910299003298</v>
      </c>
      <c r="N19">
        <v>0.28101586926178601</v>
      </c>
      <c r="O19">
        <v>0.48041251384274603</v>
      </c>
      <c r="P19">
        <v>0.25532807833939097</v>
      </c>
    </row>
    <row r="20" spans="1:16" x14ac:dyDescent="0.3">
      <c r="A20" t="s">
        <v>43</v>
      </c>
      <c r="B20" t="s">
        <v>57</v>
      </c>
      <c r="C20" t="s">
        <v>50</v>
      </c>
      <c r="D20" t="s">
        <v>45</v>
      </c>
      <c r="E20" t="s">
        <v>46</v>
      </c>
      <c r="F20" t="s">
        <v>47</v>
      </c>
      <c r="G20" t="s">
        <v>48</v>
      </c>
      <c r="H20" t="s">
        <v>61</v>
      </c>
      <c r="I20">
        <v>0.53988068095455199</v>
      </c>
      <c r="J20">
        <v>0.157235539400295</v>
      </c>
      <c r="K20">
        <v>0.51368275002528896</v>
      </c>
      <c r="L20">
        <v>0.15627110308726799</v>
      </c>
      <c r="M20">
        <v>0.55910474804113597</v>
      </c>
      <c r="N20">
        <v>0.16562084390057499</v>
      </c>
      <c r="O20">
        <v>0.53947955575862505</v>
      </c>
      <c r="P20">
        <v>0.15978080213971099</v>
      </c>
    </row>
    <row r="21" spans="1:16" x14ac:dyDescent="0.3">
      <c r="A21" t="s">
        <v>43</v>
      </c>
      <c r="B21" t="s">
        <v>57</v>
      </c>
      <c r="C21" t="s">
        <v>50</v>
      </c>
      <c r="D21" t="s">
        <v>45</v>
      </c>
      <c r="E21" t="s">
        <v>46</v>
      </c>
      <c r="F21" t="s">
        <v>47</v>
      </c>
      <c r="G21" t="s">
        <v>48</v>
      </c>
      <c r="H21" t="s">
        <v>63</v>
      </c>
      <c r="I21">
        <v>0.48999772287535898</v>
      </c>
      <c r="J21">
        <v>0.11845154057356</v>
      </c>
      <c r="K21">
        <v>0.44570177236997499</v>
      </c>
      <c r="L21">
        <v>0.118231162534368</v>
      </c>
      <c r="M21">
        <v>0.50290634168433102</v>
      </c>
      <c r="N21">
        <v>0.15617707798703301</v>
      </c>
      <c r="O21">
        <v>0.49328738660133897</v>
      </c>
      <c r="P21">
        <v>0.118912402239006</v>
      </c>
    </row>
    <row r="22" spans="1:16" x14ac:dyDescent="0.3">
      <c r="A22" t="s">
        <v>43</v>
      </c>
      <c r="B22" t="s">
        <v>57</v>
      </c>
      <c r="C22" t="s">
        <v>50</v>
      </c>
      <c r="D22" t="s">
        <v>45</v>
      </c>
      <c r="E22" t="s">
        <v>46</v>
      </c>
      <c r="F22" t="s">
        <v>47</v>
      </c>
      <c r="G22" t="s">
        <v>48</v>
      </c>
      <c r="H22" t="s">
        <v>62</v>
      </c>
      <c r="I22">
        <v>0.46558840386419698</v>
      </c>
      <c r="J22">
        <v>0.115158146216776</v>
      </c>
      <c r="K22">
        <v>0.40264517990443399</v>
      </c>
      <c r="L22">
        <v>0.106480987054142</v>
      </c>
      <c r="M22">
        <v>0.45197385488848102</v>
      </c>
      <c r="N22">
        <v>0.17241357454981299</v>
      </c>
      <c r="O22">
        <v>0.47682139135627499</v>
      </c>
      <c r="P22">
        <v>0.101608893737599</v>
      </c>
    </row>
    <row r="23" spans="1:16" x14ac:dyDescent="0.3">
      <c r="A23" t="s">
        <v>43</v>
      </c>
      <c r="B23" t="s">
        <v>57</v>
      </c>
      <c r="C23" t="s">
        <v>50</v>
      </c>
      <c r="D23" t="s">
        <v>45</v>
      </c>
      <c r="E23" t="s">
        <v>56</v>
      </c>
      <c r="F23" t="s">
        <v>47</v>
      </c>
      <c r="G23" t="s">
        <v>48</v>
      </c>
      <c r="H23" t="s">
        <v>62</v>
      </c>
      <c r="I23">
        <v>0.63646553684713303</v>
      </c>
      <c r="J23">
        <v>0.32361058055506497</v>
      </c>
      <c r="K23">
        <v>0.48039387441058601</v>
      </c>
      <c r="L23">
        <v>0.31363489912501002</v>
      </c>
      <c r="M23">
        <v>0.46484159555294902</v>
      </c>
      <c r="N23">
        <v>0.33441937877993</v>
      </c>
      <c r="O23">
        <v>0.57613911396401096</v>
      </c>
      <c r="P23">
        <v>0.26995721249155602</v>
      </c>
    </row>
    <row r="24" spans="1:16" x14ac:dyDescent="0.3">
      <c r="A24" t="s">
        <v>43</v>
      </c>
      <c r="B24" t="s">
        <v>57</v>
      </c>
      <c r="C24" t="s">
        <v>50</v>
      </c>
      <c r="D24" t="s">
        <v>45</v>
      </c>
      <c r="E24" t="s">
        <v>56</v>
      </c>
      <c r="F24" t="s">
        <v>47</v>
      </c>
      <c r="G24" t="s">
        <v>48</v>
      </c>
      <c r="H24" t="s">
        <v>63</v>
      </c>
      <c r="I24">
        <v>0.58153879054681801</v>
      </c>
      <c r="J24">
        <v>0.31152180649934502</v>
      </c>
      <c r="K24">
        <v>0.42922150818872501</v>
      </c>
      <c r="L24">
        <v>0.27334911657793298</v>
      </c>
      <c r="M24">
        <v>0.45556808032725898</v>
      </c>
      <c r="N24">
        <v>0.28611583508718003</v>
      </c>
      <c r="O24">
        <v>0.49377256025907801</v>
      </c>
      <c r="P24">
        <v>0.25013635807117901</v>
      </c>
    </row>
    <row r="25" spans="1:16" x14ac:dyDescent="0.3">
      <c r="A25" t="s">
        <v>43</v>
      </c>
      <c r="B25" t="s">
        <v>57</v>
      </c>
      <c r="C25" t="s">
        <v>50</v>
      </c>
      <c r="D25" t="s">
        <v>45</v>
      </c>
      <c r="E25" t="s">
        <v>56</v>
      </c>
      <c r="F25" t="s">
        <v>47</v>
      </c>
      <c r="G25" t="s">
        <v>48</v>
      </c>
      <c r="H25" t="s">
        <v>61</v>
      </c>
      <c r="I25">
        <v>0.56693365024508302</v>
      </c>
      <c r="J25">
        <v>0.24918471285605101</v>
      </c>
      <c r="K25">
        <v>0.39873012508169398</v>
      </c>
      <c r="L25">
        <v>0.16988968024690099</v>
      </c>
      <c r="M25">
        <v>0.48054162779968301</v>
      </c>
      <c r="N25">
        <v>0.162805040448497</v>
      </c>
      <c r="O25">
        <v>0.43849723950793101</v>
      </c>
      <c r="P25">
        <v>0.180656321346888</v>
      </c>
    </row>
    <row r="26" spans="1:16" x14ac:dyDescent="0.3">
      <c r="A26" t="s">
        <v>55</v>
      </c>
      <c r="B26" t="s">
        <v>60</v>
      </c>
      <c r="C26" t="s">
        <v>44</v>
      </c>
      <c r="D26" t="s">
        <v>45</v>
      </c>
      <c r="E26" t="s">
        <v>46</v>
      </c>
      <c r="F26" t="s">
        <v>47</v>
      </c>
      <c r="G26" t="s">
        <v>48</v>
      </c>
      <c r="H26" t="s">
        <v>63</v>
      </c>
      <c r="I26">
        <v>0.55260243632336603</v>
      </c>
      <c r="J26">
        <v>0.17475117268555701</v>
      </c>
      <c r="K26">
        <v>0.52063240377193798</v>
      </c>
      <c r="L26">
        <v>0.19089978773718499</v>
      </c>
      <c r="M26">
        <v>0.548338870431893</v>
      </c>
      <c r="N26">
        <v>0.224817500493428</v>
      </c>
      <c r="O26">
        <v>0.55988372093023198</v>
      </c>
      <c r="P26">
        <v>0.17132309087294101</v>
      </c>
    </row>
    <row r="27" spans="1:16" x14ac:dyDescent="0.3">
      <c r="A27" t="s">
        <v>55</v>
      </c>
      <c r="B27" t="s">
        <v>60</v>
      </c>
      <c r="C27" t="s">
        <v>44</v>
      </c>
      <c r="D27" t="s">
        <v>45</v>
      </c>
      <c r="E27" t="s">
        <v>46</v>
      </c>
      <c r="F27" t="s">
        <v>47</v>
      </c>
      <c r="G27" t="s">
        <v>48</v>
      </c>
      <c r="H27" t="s">
        <v>61</v>
      </c>
      <c r="I27">
        <v>0.53349944629014301</v>
      </c>
      <c r="J27">
        <v>0.174492087563517</v>
      </c>
      <c r="K27">
        <v>0.46768399559097201</v>
      </c>
      <c r="L27">
        <v>0.19504121278793399</v>
      </c>
      <c r="M27">
        <v>0.47858527131782902</v>
      </c>
      <c r="N27">
        <v>0.24004783127363599</v>
      </c>
      <c r="O27">
        <v>0.52325581395348797</v>
      </c>
      <c r="P27">
        <v>0.173303498285168</v>
      </c>
    </row>
    <row r="28" spans="1:16" x14ac:dyDescent="0.3">
      <c r="A28" t="s">
        <v>55</v>
      </c>
      <c r="B28" t="s">
        <v>60</v>
      </c>
      <c r="C28" t="s">
        <v>44</v>
      </c>
      <c r="D28" t="s">
        <v>45</v>
      </c>
      <c r="E28" t="s">
        <v>46</v>
      </c>
      <c r="F28" t="s">
        <v>47</v>
      </c>
      <c r="G28" t="s">
        <v>48</v>
      </c>
      <c r="H28" t="s">
        <v>62</v>
      </c>
      <c r="I28">
        <v>0.47992801771871502</v>
      </c>
      <c r="J28">
        <v>0.16123905985210099</v>
      </c>
      <c r="K28">
        <v>0.445470485586764</v>
      </c>
      <c r="L28">
        <v>0.16980955488813201</v>
      </c>
      <c r="M28">
        <v>0.47429401993355402</v>
      </c>
      <c r="N28">
        <v>0.215352727358916</v>
      </c>
      <c r="O28">
        <v>0.49050387596899198</v>
      </c>
      <c r="P28">
        <v>0.16569076099635199</v>
      </c>
    </row>
    <row r="29" spans="1:16" x14ac:dyDescent="0.3">
      <c r="A29" t="s">
        <v>55</v>
      </c>
      <c r="B29" t="s">
        <v>60</v>
      </c>
      <c r="C29" t="s">
        <v>44</v>
      </c>
      <c r="D29" t="s">
        <v>45</v>
      </c>
      <c r="E29" t="s">
        <v>56</v>
      </c>
      <c r="F29" t="s">
        <v>47</v>
      </c>
      <c r="G29" t="s">
        <v>48</v>
      </c>
      <c r="H29" t="s">
        <v>62</v>
      </c>
      <c r="I29">
        <v>0.532253599114064</v>
      </c>
      <c r="J29">
        <v>0.17449307591192401</v>
      </c>
      <c r="K29">
        <v>0.48542491100630603</v>
      </c>
      <c r="L29">
        <v>0.18901148100910101</v>
      </c>
      <c r="M29">
        <v>0.51196013289036502</v>
      </c>
      <c r="N29">
        <v>0.219980649789318</v>
      </c>
      <c r="O29">
        <v>0.52918050941306705</v>
      </c>
      <c r="P29">
        <v>0.18437797832817199</v>
      </c>
    </row>
    <row r="30" spans="1:16" x14ac:dyDescent="0.3">
      <c r="A30" t="s">
        <v>55</v>
      </c>
      <c r="B30" t="s">
        <v>60</v>
      </c>
      <c r="C30" t="s">
        <v>44</v>
      </c>
      <c r="D30" t="s">
        <v>45</v>
      </c>
      <c r="E30" t="s">
        <v>56</v>
      </c>
      <c r="F30" t="s">
        <v>47</v>
      </c>
      <c r="G30" t="s">
        <v>48</v>
      </c>
      <c r="H30" t="s">
        <v>61</v>
      </c>
      <c r="I30">
        <v>0.52574750830564698</v>
      </c>
      <c r="J30">
        <v>0.16556908473458201</v>
      </c>
      <c r="K30">
        <v>0.48309339239571703</v>
      </c>
      <c r="L30">
        <v>0.179550623620407</v>
      </c>
      <c r="M30">
        <v>0.51071428571428501</v>
      </c>
      <c r="N30">
        <v>0.21154470013210899</v>
      </c>
      <c r="O30">
        <v>0.53111849390919097</v>
      </c>
      <c r="P30">
        <v>0.17931380962319399</v>
      </c>
    </row>
    <row r="31" spans="1:16" x14ac:dyDescent="0.3">
      <c r="A31" t="s">
        <v>55</v>
      </c>
      <c r="B31" t="s">
        <v>60</v>
      </c>
      <c r="C31" t="s">
        <v>44</v>
      </c>
      <c r="D31" t="s">
        <v>45</v>
      </c>
      <c r="E31" t="s">
        <v>56</v>
      </c>
      <c r="F31" t="s">
        <v>47</v>
      </c>
      <c r="G31" t="s">
        <v>48</v>
      </c>
      <c r="H31" t="s">
        <v>63</v>
      </c>
      <c r="I31">
        <v>0.50609080841638898</v>
      </c>
      <c r="J31">
        <v>0.182394875791416</v>
      </c>
      <c r="K31">
        <v>0.45804473304473298</v>
      </c>
      <c r="L31">
        <v>0.190777363718349</v>
      </c>
      <c r="M31">
        <v>0.47735326688815</v>
      </c>
      <c r="N31">
        <v>0.22550772522981999</v>
      </c>
      <c r="O31">
        <v>0.49853266888150599</v>
      </c>
      <c r="P31">
        <v>0.186484658327634</v>
      </c>
    </row>
    <row r="32" spans="1:16" x14ac:dyDescent="0.3">
      <c r="A32" t="s">
        <v>55</v>
      </c>
      <c r="B32" t="s">
        <v>60</v>
      </c>
      <c r="C32" t="s">
        <v>50</v>
      </c>
      <c r="D32" t="s">
        <v>45</v>
      </c>
      <c r="E32" t="s">
        <v>46</v>
      </c>
      <c r="F32" t="s">
        <v>47</v>
      </c>
      <c r="G32" t="s">
        <v>48</v>
      </c>
      <c r="H32" t="s">
        <v>63</v>
      </c>
      <c r="I32">
        <v>0.53655210758313898</v>
      </c>
      <c r="J32">
        <v>0.14902203322044</v>
      </c>
      <c r="K32">
        <v>0.50501876185759298</v>
      </c>
      <c r="L32">
        <v>0.15400350078150099</v>
      </c>
      <c r="M32">
        <v>0.538451118514928</v>
      </c>
      <c r="N32">
        <v>0.17157247088104799</v>
      </c>
      <c r="O32">
        <v>0.53837454535128904</v>
      </c>
      <c r="P32">
        <v>0.151283076364705</v>
      </c>
    </row>
    <row r="33" spans="1:16" x14ac:dyDescent="0.3">
      <c r="A33" t="s">
        <v>55</v>
      </c>
      <c r="B33" t="s">
        <v>60</v>
      </c>
      <c r="C33" t="s">
        <v>50</v>
      </c>
      <c r="D33" t="s">
        <v>45</v>
      </c>
      <c r="E33" t="s">
        <v>46</v>
      </c>
      <c r="F33" t="s">
        <v>47</v>
      </c>
      <c r="G33" t="s">
        <v>48</v>
      </c>
      <c r="H33" t="s">
        <v>61</v>
      </c>
      <c r="I33">
        <v>0.49308255533955703</v>
      </c>
      <c r="J33">
        <v>0.13984097253805999</v>
      </c>
      <c r="K33">
        <v>0.46846381402568299</v>
      </c>
      <c r="L33">
        <v>0.14547570185585701</v>
      </c>
      <c r="M33">
        <v>0.479350541169696</v>
      </c>
      <c r="N33">
        <v>0.15426591946316801</v>
      </c>
      <c r="O33">
        <v>0.49025761060644701</v>
      </c>
      <c r="P33">
        <v>0.14232626566946499</v>
      </c>
    </row>
    <row r="34" spans="1:16" x14ac:dyDescent="0.3">
      <c r="A34" t="s">
        <v>55</v>
      </c>
      <c r="B34" t="s">
        <v>60</v>
      </c>
      <c r="C34" t="s">
        <v>50</v>
      </c>
      <c r="D34" t="s">
        <v>45</v>
      </c>
      <c r="E34" t="s">
        <v>46</v>
      </c>
      <c r="F34" t="s">
        <v>47</v>
      </c>
      <c r="G34" t="s">
        <v>48</v>
      </c>
      <c r="H34" t="s">
        <v>62</v>
      </c>
      <c r="I34">
        <v>0.50839716139413704</v>
      </c>
      <c r="J34">
        <v>0.14768093610640801</v>
      </c>
      <c r="K34">
        <v>0.45673710735680001</v>
      </c>
      <c r="L34">
        <v>0.14984636183365699</v>
      </c>
      <c r="M34">
        <v>0.48298319519606597</v>
      </c>
      <c r="N34">
        <v>0.190027073751912</v>
      </c>
      <c r="O34">
        <v>0.51108397416536899</v>
      </c>
      <c r="P34">
        <v>0.13483036481793401</v>
      </c>
    </row>
    <row r="35" spans="1:16" x14ac:dyDescent="0.3">
      <c r="A35" t="s">
        <v>55</v>
      </c>
      <c r="B35" t="s">
        <v>60</v>
      </c>
      <c r="C35" t="s">
        <v>50</v>
      </c>
      <c r="D35" t="s">
        <v>45</v>
      </c>
      <c r="E35" t="s">
        <v>56</v>
      </c>
      <c r="F35" t="s">
        <v>47</v>
      </c>
      <c r="G35" t="s">
        <v>48</v>
      </c>
      <c r="H35" t="s">
        <v>62</v>
      </c>
      <c r="I35">
        <v>0.51124486718391904</v>
      </c>
      <c r="J35">
        <v>0.13315386808577401</v>
      </c>
      <c r="K35">
        <v>0.46401754693717201</v>
      </c>
      <c r="L35">
        <v>0.133647814032125</v>
      </c>
      <c r="M35">
        <v>0.496069133594783</v>
      </c>
      <c r="N35">
        <v>0.15828839240182399</v>
      </c>
      <c r="O35">
        <v>0.50259654213142502</v>
      </c>
      <c r="P35">
        <v>0.12689085643992901</v>
      </c>
    </row>
    <row r="36" spans="1:16" x14ac:dyDescent="0.3">
      <c r="A36" t="s">
        <v>55</v>
      </c>
      <c r="B36" t="s">
        <v>60</v>
      </c>
      <c r="C36" t="s">
        <v>50</v>
      </c>
      <c r="D36" t="s">
        <v>45</v>
      </c>
      <c r="E36" t="s">
        <v>56</v>
      </c>
      <c r="F36" t="s">
        <v>47</v>
      </c>
      <c r="G36" t="s">
        <v>48</v>
      </c>
      <c r="H36" t="s">
        <v>63</v>
      </c>
      <c r="I36">
        <v>0.50074527975204697</v>
      </c>
      <c r="J36">
        <v>0.14546875061886499</v>
      </c>
      <c r="K36">
        <v>0.455304851625982</v>
      </c>
      <c r="L36">
        <v>0.14968280501206199</v>
      </c>
      <c r="M36">
        <v>0.48020418104387402</v>
      </c>
      <c r="N36">
        <v>0.162399909902637</v>
      </c>
      <c r="O36">
        <v>0.49093396660086103</v>
      </c>
      <c r="P36">
        <v>0.145149457390435</v>
      </c>
    </row>
    <row r="37" spans="1:16" x14ac:dyDescent="0.3">
      <c r="A37" t="s">
        <v>55</v>
      </c>
      <c r="B37" t="s">
        <v>60</v>
      </c>
      <c r="C37" t="s">
        <v>50</v>
      </c>
      <c r="D37" t="s">
        <v>45</v>
      </c>
      <c r="E37" t="s">
        <v>56</v>
      </c>
      <c r="F37" t="s">
        <v>47</v>
      </c>
      <c r="G37" t="s">
        <v>48</v>
      </c>
      <c r="H37" t="s">
        <v>61</v>
      </c>
      <c r="I37">
        <v>0.483475632194942</v>
      </c>
      <c r="J37">
        <v>0.14056337346488099</v>
      </c>
      <c r="K37">
        <v>0.44969766674935802</v>
      </c>
      <c r="L37">
        <v>0.142799082867687</v>
      </c>
      <c r="M37">
        <v>0.48004541328304701</v>
      </c>
      <c r="N37">
        <v>0.16576319829219599</v>
      </c>
      <c r="O37">
        <v>0.492715951778879</v>
      </c>
      <c r="P37">
        <v>0.153927430151166</v>
      </c>
    </row>
    <row r="38" spans="1:16" x14ac:dyDescent="0.3">
      <c r="A38" t="s">
        <v>55</v>
      </c>
      <c r="B38" t="s">
        <v>57</v>
      </c>
      <c r="C38" t="s">
        <v>44</v>
      </c>
      <c r="D38" t="s">
        <v>45</v>
      </c>
      <c r="E38" t="s">
        <v>46</v>
      </c>
      <c r="F38" t="s">
        <v>47</v>
      </c>
      <c r="G38" t="s">
        <v>48</v>
      </c>
      <c r="H38" t="s">
        <v>63</v>
      </c>
      <c r="I38">
        <v>0.56229235880398598</v>
      </c>
      <c r="J38">
        <v>0.19364809861520299</v>
      </c>
      <c r="K38">
        <v>0.53118980502701396</v>
      </c>
      <c r="L38">
        <v>0.203508962269526</v>
      </c>
      <c r="M38">
        <v>0.56309523809523798</v>
      </c>
      <c r="N38">
        <v>0.231677345110641</v>
      </c>
      <c r="O38">
        <v>0.56162790697674403</v>
      </c>
      <c r="P38">
        <v>0.19070062864038001</v>
      </c>
    </row>
    <row r="39" spans="1:16" x14ac:dyDescent="0.3">
      <c r="A39" t="s">
        <v>55</v>
      </c>
      <c r="B39" t="s">
        <v>57</v>
      </c>
      <c r="C39" t="s">
        <v>44</v>
      </c>
      <c r="D39" t="s">
        <v>45</v>
      </c>
      <c r="E39" t="s">
        <v>46</v>
      </c>
      <c r="F39" t="s">
        <v>47</v>
      </c>
      <c r="G39" t="s">
        <v>48</v>
      </c>
      <c r="H39" t="s">
        <v>61</v>
      </c>
      <c r="I39">
        <v>0.50899778516057503</v>
      </c>
      <c r="J39">
        <v>0.17579219716240799</v>
      </c>
      <c r="K39">
        <v>0.47794724655189702</v>
      </c>
      <c r="L39">
        <v>0.182855149166995</v>
      </c>
      <c r="M39">
        <v>0.52080564784053096</v>
      </c>
      <c r="N39">
        <v>0.22594981052968499</v>
      </c>
      <c r="O39">
        <v>0.51434108527131694</v>
      </c>
      <c r="P39">
        <v>0.18390788740839401</v>
      </c>
    </row>
    <row r="40" spans="1:16" x14ac:dyDescent="0.3">
      <c r="A40" t="s">
        <v>55</v>
      </c>
      <c r="B40" t="s">
        <v>57</v>
      </c>
      <c r="C40" t="s">
        <v>44</v>
      </c>
      <c r="D40" t="s">
        <v>45</v>
      </c>
      <c r="E40" t="s">
        <v>46</v>
      </c>
      <c r="F40" t="s">
        <v>47</v>
      </c>
      <c r="G40" t="s">
        <v>48</v>
      </c>
      <c r="H40" t="s">
        <v>62</v>
      </c>
      <c r="I40">
        <v>0.48131229235880402</v>
      </c>
      <c r="J40">
        <v>0.179975933780637</v>
      </c>
      <c r="K40">
        <v>0.44800496660961697</v>
      </c>
      <c r="L40">
        <v>0.18558155891917499</v>
      </c>
      <c r="M40">
        <v>0.46679125138427402</v>
      </c>
      <c r="N40">
        <v>0.22213155855351999</v>
      </c>
      <c r="O40">
        <v>0.482751937984496</v>
      </c>
      <c r="P40">
        <v>0.17957201621597901</v>
      </c>
    </row>
    <row r="41" spans="1:16" x14ac:dyDescent="0.3">
      <c r="A41" t="s">
        <v>55</v>
      </c>
      <c r="B41" t="s">
        <v>57</v>
      </c>
      <c r="C41" t="s">
        <v>44</v>
      </c>
      <c r="D41" t="s">
        <v>45</v>
      </c>
      <c r="E41" t="s">
        <v>56</v>
      </c>
      <c r="F41" t="s">
        <v>47</v>
      </c>
      <c r="G41" t="s">
        <v>48</v>
      </c>
      <c r="H41" t="s">
        <v>61</v>
      </c>
      <c r="I41">
        <v>0.54374307862679905</v>
      </c>
      <c r="J41">
        <v>0.18168149812373399</v>
      </c>
      <c r="K41">
        <v>0.51489815094466196</v>
      </c>
      <c r="L41">
        <v>0.191053016167228</v>
      </c>
      <c r="M41">
        <v>0.53986710963455098</v>
      </c>
      <c r="N41">
        <v>0.212384573204871</v>
      </c>
      <c r="O41">
        <v>0.55141196013288996</v>
      </c>
      <c r="P41">
        <v>0.17644792327657399</v>
      </c>
    </row>
    <row r="42" spans="1:16" x14ac:dyDescent="0.3">
      <c r="A42" t="s">
        <v>55</v>
      </c>
      <c r="B42" t="s">
        <v>57</v>
      </c>
      <c r="C42" t="s">
        <v>44</v>
      </c>
      <c r="D42" t="s">
        <v>45</v>
      </c>
      <c r="E42" t="s">
        <v>56</v>
      </c>
      <c r="F42" t="s">
        <v>47</v>
      </c>
      <c r="G42" t="s">
        <v>48</v>
      </c>
      <c r="H42" t="s">
        <v>62</v>
      </c>
      <c r="I42">
        <v>0.52602436323366497</v>
      </c>
      <c r="J42">
        <v>0.18124622448599501</v>
      </c>
      <c r="K42">
        <v>0.48384638617196701</v>
      </c>
      <c r="L42">
        <v>0.19111167464246201</v>
      </c>
      <c r="M42">
        <v>0.50747508305647804</v>
      </c>
      <c r="N42">
        <v>0.21224132062962001</v>
      </c>
      <c r="O42">
        <v>0.52646733111849298</v>
      </c>
      <c r="P42">
        <v>0.18618980302983101</v>
      </c>
    </row>
    <row r="43" spans="1:16" x14ac:dyDescent="0.3">
      <c r="A43" t="s">
        <v>55</v>
      </c>
      <c r="B43" t="s">
        <v>57</v>
      </c>
      <c r="C43" t="s">
        <v>44</v>
      </c>
      <c r="D43" t="s">
        <v>45</v>
      </c>
      <c r="E43" t="s">
        <v>56</v>
      </c>
      <c r="F43" t="s">
        <v>47</v>
      </c>
      <c r="G43" t="s">
        <v>48</v>
      </c>
      <c r="H43" t="s">
        <v>63</v>
      </c>
      <c r="I43">
        <v>0.50235326688814996</v>
      </c>
      <c r="J43">
        <v>0.18225772266238599</v>
      </c>
      <c r="K43">
        <v>0.45701365817644801</v>
      </c>
      <c r="L43">
        <v>0.187448300672555</v>
      </c>
      <c r="M43">
        <v>0.47920819490586902</v>
      </c>
      <c r="N43">
        <v>0.21073631546365601</v>
      </c>
      <c r="O43">
        <v>0.48676633444075301</v>
      </c>
      <c r="P43">
        <v>0.182110049467237</v>
      </c>
    </row>
    <row r="44" spans="1:16" x14ac:dyDescent="0.3">
      <c r="A44" t="s">
        <v>55</v>
      </c>
      <c r="B44" t="s">
        <v>57</v>
      </c>
      <c r="C44" t="s">
        <v>50</v>
      </c>
      <c r="D44" t="s">
        <v>45</v>
      </c>
      <c r="E44" t="s">
        <v>46</v>
      </c>
      <c r="F44" t="s">
        <v>47</v>
      </c>
      <c r="G44" t="s">
        <v>48</v>
      </c>
      <c r="H44" t="s">
        <v>63</v>
      </c>
      <c r="I44">
        <v>0.51493822335135597</v>
      </c>
      <c r="J44">
        <v>0.14267092500008199</v>
      </c>
      <c r="K44">
        <v>0.47791107525006998</v>
      </c>
      <c r="L44">
        <v>0.14869764535556601</v>
      </c>
      <c r="M44">
        <v>0.52149967555069898</v>
      </c>
      <c r="N44">
        <v>0.181996049180255</v>
      </c>
      <c r="O44">
        <v>0.52098119903352402</v>
      </c>
      <c r="P44">
        <v>0.143089932476402</v>
      </c>
    </row>
    <row r="45" spans="1:16" x14ac:dyDescent="0.3">
      <c r="A45" t="s">
        <v>55</v>
      </c>
      <c r="B45" t="s">
        <v>57</v>
      </c>
      <c r="C45" t="s">
        <v>50</v>
      </c>
      <c r="D45" t="s">
        <v>45</v>
      </c>
      <c r="E45" t="s">
        <v>46</v>
      </c>
      <c r="F45" t="s">
        <v>47</v>
      </c>
      <c r="G45" t="s">
        <v>48</v>
      </c>
      <c r="H45" t="s">
        <v>61</v>
      </c>
      <c r="I45">
        <v>0.49927897719675302</v>
      </c>
      <c r="J45">
        <v>0.12686886523270899</v>
      </c>
      <c r="K45">
        <v>0.46374469306953398</v>
      </c>
      <c r="L45">
        <v>0.124654690331126</v>
      </c>
      <c r="M45">
        <v>0.48750835158153899</v>
      </c>
      <c r="N45">
        <v>0.13997837135258101</v>
      </c>
      <c r="O45">
        <v>0.48779553779553703</v>
      </c>
      <c r="P45">
        <v>0.12365919249452199</v>
      </c>
    </row>
    <row r="46" spans="1:16" x14ac:dyDescent="0.3">
      <c r="A46" t="s">
        <v>55</v>
      </c>
      <c r="B46" t="s">
        <v>57</v>
      </c>
      <c r="C46" t="s">
        <v>50</v>
      </c>
      <c r="D46" t="s">
        <v>45</v>
      </c>
      <c r="E46" t="s">
        <v>46</v>
      </c>
      <c r="F46" t="s">
        <v>47</v>
      </c>
      <c r="G46" t="s">
        <v>48</v>
      </c>
      <c r="H46" t="s">
        <v>62</v>
      </c>
      <c r="I46">
        <v>0.50113310522087195</v>
      </c>
      <c r="J46">
        <v>0.12950021493953001</v>
      </c>
      <c r="K46">
        <v>0.44850135435243998</v>
      </c>
      <c r="L46">
        <v>0.13245364729298101</v>
      </c>
      <c r="M46">
        <v>0.46327628145208599</v>
      </c>
      <c r="N46">
        <v>0.174320083420133</v>
      </c>
      <c r="O46">
        <v>0.49856314551081898</v>
      </c>
      <c r="P46">
        <v>0.120529457866839</v>
      </c>
    </row>
    <row r="47" spans="1:16" x14ac:dyDescent="0.3">
      <c r="A47" t="s">
        <v>55</v>
      </c>
      <c r="B47" t="s">
        <v>57</v>
      </c>
      <c r="C47" t="s">
        <v>50</v>
      </c>
      <c r="D47" t="s">
        <v>45</v>
      </c>
      <c r="E47" t="s">
        <v>56</v>
      </c>
      <c r="F47" t="s">
        <v>47</v>
      </c>
      <c r="G47" t="s">
        <v>48</v>
      </c>
      <c r="H47" t="s">
        <v>61</v>
      </c>
      <c r="I47">
        <v>0.52347994073190196</v>
      </c>
      <c r="J47">
        <v>0.12102640117768999</v>
      </c>
      <c r="K47">
        <v>0.487989609733743</v>
      </c>
      <c r="L47">
        <v>0.124059201453109</v>
      </c>
      <c r="M47">
        <v>0.511825565185688</v>
      </c>
      <c r="N47">
        <v>0.13557184541501499</v>
      </c>
      <c r="O47">
        <v>0.51449026792733998</v>
      </c>
      <c r="P47">
        <v>0.12058318676622801</v>
      </c>
    </row>
    <row r="48" spans="1:16" x14ac:dyDescent="0.3">
      <c r="A48" t="s">
        <v>55</v>
      </c>
      <c r="B48" t="s">
        <v>57</v>
      </c>
      <c r="C48" t="s">
        <v>50</v>
      </c>
      <c r="D48" t="s">
        <v>45</v>
      </c>
      <c r="E48" t="s">
        <v>56</v>
      </c>
      <c r="F48" t="s">
        <v>47</v>
      </c>
      <c r="G48" t="s">
        <v>48</v>
      </c>
      <c r="H48" t="s">
        <v>62</v>
      </c>
      <c r="I48">
        <v>0.526014834738465</v>
      </c>
      <c r="J48">
        <v>0.14460669423877601</v>
      </c>
      <c r="K48">
        <v>0.483798052598644</v>
      </c>
      <c r="L48">
        <v>0.15730708215684699</v>
      </c>
      <c r="M48">
        <v>0.49598950676361397</v>
      </c>
      <c r="N48">
        <v>0.16876305262820601</v>
      </c>
      <c r="O48">
        <v>0.51416049497444805</v>
      </c>
      <c r="P48">
        <v>0.14610109640375599</v>
      </c>
    </row>
    <row r="49" spans="1:16" x14ac:dyDescent="0.3">
      <c r="A49" t="s">
        <v>55</v>
      </c>
      <c r="B49" t="s">
        <v>57</v>
      </c>
      <c r="C49" t="s">
        <v>50</v>
      </c>
      <c r="D49" t="s">
        <v>45</v>
      </c>
      <c r="E49" t="s">
        <v>56</v>
      </c>
      <c r="F49" t="s">
        <v>47</v>
      </c>
      <c r="G49" t="s">
        <v>48</v>
      </c>
      <c r="H49" t="s">
        <v>63</v>
      </c>
      <c r="I49">
        <v>0.51348502069126301</v>
      </c>
      <c r="J49">
        <v>0.122604484954025</v>
      </c>
      <c r="K49">
        <v>0.47392549616651602</v>
      </c>
      <c r="L49">
        <v>0.12167849301271901</v>
      </c>
      <c r="M49">
        <v>0.52007573479871605</v>
      </c>
      <c r="N49">
        <v>0.130942987127561</v>
      </c>
      <c r="O49">
        <v>0.51120646086446297</v>
      </c>
      <c r="P49">
        <v>0.11554285625487901</v>
      </c>
    </row>
  </sheetData>
  <autoFilter ref="A1:P1" xr:uid="{20B60A1F-9449-4A91-8C37-2E569624DE33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43688-E9FF-412A-AC91-3B1EB1DAB781}">
  <sheetPr codeName="Sheet3">
    <tabColor theme="6" tint="0.79998168889431442"/>
  </sheetPr>
  <dimension ref="B2:AM30"/>
  <sheetViews>
    <sheetView tabSelected="1" workbookViewId="0">
      <selection activeCell="AO19" sqref="AO19"/>
    </sheetView>
  </sheetViews>
  <sheetFormatPr defaultRowHeight="14.4" x14ac:dyDescent="0.3"/>
  <cols>
    <col min="2" max="2" width="8.88671875" style="6"/>
    <col min="3" max="3" width="12.44140625" bestFit="1" customWidth="1"/>
    <col min="4" max="4" width="17" bestFit="1" customWidth="1"/>
    <col min="5" max="5" width="18.77734375" customWidth="1"/>
    <col min="6" max="7" width="13.5546875" hidden="1" customWidth="1"/>
    <col min="8" max="8" width="16.44140625" hidden="1" customWidth="1"/>
    <col min="9" max="9" width="18.77734375" customWidth="1"/>
    <col min="10" max="12" width="14.6640625" hidden="1" customWidth="1"/>
    <col min="13" max="13" width="18.77734375" customWidth="1"/>
    <col min="14" max="16" width="14" hidden="1" customWidth="1"/>
    <col min="17" max="17" width="18.77734375" hidden="1" customWidth="1"/>
    <col min="18" max="20" width="12" hidden="1" customWidth="1"/>
    <col min="22" max="22" width="0" hidden="1" customWidth="1"/>
    <col min="23" max="25" width="10" hidden="1" customWidth="1"/>
    <col min="26" max="39" width="0" hidden="1" customWidth="1"/>
  </cols>
  <sheetData>
    <row r="2" spans="2:39" ht="22.05" customHeight="1" x14ac:dyDescent="0.3">
      <c r="B2" s="6" t="str">
        <f>VLOOKUP(D2,FilterMode,3,0)</f>
        <v>noBaselineNeutral</v>
      </c>
      <c r="C2" s="1" t="s">
        <v>11</v>
      </c>
      <c r="D2" s="1">
        <v>1</v>
      </c>
      <c r="V2">
        <v>1</v>
      </c>
      <c r="W2" t="s">
        <v>9</v>
      </c>
      <c r="X2" t="s">
        <v>50</v>
      </c>
      <c r="Y2">
        <v>1</v>
      </c>
      <c r="Z2" t="s">
        <v>21</v>
      </c>
      <c r="AA2" t="s">
        <v>47</v>
      </c>
      <c r="AB2">
        <v>1</v>
      </c>
      <c r="AC2" t="s">
        <v>15</v>
      </c>
      <c r="AD2" t="s">
        <v>48</v>
      </c>
      <c r="AE2">
        <v>1</v>
      </c>
      <c r="AF2" s="8" t="s">
        <v>17</v>
      </c>
      <c r="AG2" s="8" t="s">
        <v>45</v>
      </c>
      <c r="AH2" s="8">
        <v>1</v>
      </c>
      <c r="AI2" t="s">
        <v>27</v>
      </c>
      <c r="AJ2" s="8" t="s">
        <v>55</v>
      </c>
      <c r="AK2">
        <v>1</v>
      </c>
      <c r="AL2" t="s">
        <v>15</v>
      </c>
      <c r="AM2" t="s">
        <v>46</v>
      </c>
    </row>
    <row r="3" spans="2:39" ht="22.05" customHeight="1" x14ac:dyDescent="0.3">
      <c r="B3" s="6" t="str">
        <f>VLOOKUP(D3,FastMode,3,0)</f>
        <v>fast</v>
      </c>
      <c r="C3" s="1" t="s">
        <v>12</v>
      </c>
      <c r="D3" s="1">
        <v>1</v>
      </c>
      <c r="V3">
        <v>2</v>
      </c>
      <c r="W3" t="s">
        <v>10</v>
      </c>
      <c r="X3" t="s">
        <v>44</v>
      </c>
      <c r="Y3">
        <v>2</v>
      </c>
      <c r="Z3" t="s">
        <v>14</v>
      </c>
      <c r="AA3" t="s">
        <v>51</v>
      </c>
      <c r="AB3">
        <v>2</v>
      </c>
      <c r="AC3" t="s">
        <v>16</v>
      </c>
      <c r="AD3" t="s">
        <v>52</v>
      </c>
      <c r="AE3">
        <v>2</v>
      </c>
      <c r="AF3" s="8" t="s">
        <v>18</v>
      </c>
      <c r="AG3" s="8" t="s">
        <v>53</v>
      </c>
      <c r="AH3" s="8">
        <v>2</v>
      </c>
      <c r="AI3" t="s">
        <v>28</v>
      </c>
      <c r="AJ3" s="8" t="s">
        <v>43</v>
      </c>
      <c r="AK3">
        <v>2</v>
      </c>
      <c r="AL3" t="s">
        <v>16</v>
      </c>
      <c r="AM3" t="s">
        <v>56</v>
      </c>
    </row>
    <row r="4" spans="2:39" ht="22.05" customHeight="1" x14ac:dyDescent="0.3">
      <c r="B4" s="6" t="str">
        <f>VLOOKUP(D4,ClassMode,3,0)</f>
        <v>binary</v>
      </c>
      <c r="C4" s="1" t="s">
        <v>13</v>
      </c>
      <c r="D4" s="1">
        <v>1</v>
      </c>
      <c r="AE4">
        <v>3</v>
      </c>
      <c r="AF4" s="8" t="s">
        <v>19</v>
      </c>
      <c r="AG4" s="8" t="s">
        <v>54</v>
      </c>
      <c r="AH4" s="8"/>
    </row>
    <row r="5" spans="2:39" ht="22.05" customHeight="1" x14ac:dyDescent="0.3">
      <c r="B5" s="6" t="str">
        <f>VLOOKUP(D5,RunMode,3,0)</f>
        <v>windowed</v>
      </c>
      <c r="C5" s="1" t="s">
        <v>20</v>
      </c>
      <c r="D5" s="1">
        <v>1</v>
      </c>
    </row>
    <row r="6" spans="2:39" ht="22.05" customHeight="1" x14ac:dyDescent="0.3">
      <c r="B6" s="6" t="str">
        <f>VLOOKUP(D6,LabelMode,3,0)</f>
        <v>arousal</v>
      </c>
      <c r="C6" s="1" t="s">
        <v>26</v>
      </c>
      <c r="D6">
        <v>2</v>
      </c>
    </row>
    <row r="7" spans="2:39" ht="22.05" customHeight="1" x14ac:dyDescent="0.3">
      <c r="B7" s="6" t="str">
        <f>VLOOKUP(D7,NormalMode,3,0)</f>
        <v>notNormalized</v>
      </c>
      <c r="C7" s="1" t="s">
        <v>31</v>
      </c>
      <c r="D7">
        <v>2</v>
      </c>
    </row>
    <row r="8" spans="2:39" ht="15" thickBot="1" x14ac:dyDescent="0.35"/>
    <row r="9" spans="2:39" ht="67.2" customHeight="1" thickBot="1" x14ac:dyDescent="0.35">
      <c r="C9" s="10"/>
      <c r="D9" s="31" t="s">
        <v>22</v>
      </c>
      <c r="E9" s="32" t="s">
        <v>61</v>
      </c>
      <c r="F9" s="32" t="str">
        <f>_xlfn.CONCAT(E9,"_Main")</f>
        <v>MLP_Main</v>
      </c>
      <c r="G9" s="32" t="str">
        <f>_xlfn.CONCAT(E9,"_Std")</f>
        <v>MLP_Std</v>
      </c>
      <c r="H9" s="32" t="str">
        <f>_xlfn.CONCAT(E9,"_IsMax")</f>
        <v>MLP_IsMax</v>
      </c>
      <c r="I9" s="32" t="s">
        <v>62</v>
      </c>
      <c r="J9" s="32" t="str">
        <f>_xlfn.CONCAT(I9,"_Main")</f>
        <v>GCN_Main</v>
      </c>
      <c r="K9" s="32" t="str">
        <f>_xlfn.CONCAT(I9,"_Std")</f>
        <v>GCN_Std</v>
      </c>
      <c r="L9" s="32" t="str">
        <f>_xlfn.CONCAT(I9,"_IsMax")</f>
        <v>GCN_IsMax</v>
      </c>
      <c r="M9" s="32" t="s">
        <v>63</v>
      </c>
      <c r="N9" s="32" t="str">
        <f>_xlfn.CONCAT(M9,"_Main")</f>
        <v>GAT_Main</v>
      </c>
      <c r="O9" s="32" t="str">
        <f>_xlfn.CONCAT(M9,"_Std")</f>
        <v>GAT_Std</v>
      </c>
      <c r="P9" s="32" t="str">
        <f>_xlfn.CONCAT(M9,"_IsMax")</f>
        <v>GAT_IsMax</v>
      </c>
      <c r="Q9" s="33" t="s">
        <v>2</v>
      </c>
      <c r="R9" s="13" t="str">
        <f>_xlfn.CONCAT(Q9,"_Main")</f>
        <v>KNN_Main</v>
      </c>
      <c r="S9" s="9" t="str">
        <f>_xlfn.CONCAT(Q9,"_Std")</f>
        <v>KNN_Std</v>
      </c>
      <c r="T9" s="9" t="str">
        <f>_xlfn.CONCAT(Q9,"_IsMax")</f>
        <v>KNN_IsMax</v>
      </c>
    </row>
    <row r="10" spans="2:39" ht="19.95" hidden="1" customHeight="1" x14ac:dyDescent="0.3">
      <c r="B10" s="6" t="s">
        <v>49</v>
      </c>
      <c r="C10" s="40" t="s">
        <v>7</v>
      </c>
      <c r="D10" s="28" t="s">
        <v>3</v>
      </c>
      <c r="E10" s="14" t="str">
        <f>TEXT(ROUND(F10*100,4),"0.0000") &amp; " ± " &amp; TEXT(ROUND(G10*100,2),"0.00")</f>
        <v>0.0000 ± 0.00</v>
      </c>
      <c r="F10" s="14">
        <f>SUMIFS(Data!$I:$I,Data!$H:$H,E$9,Data!$A:$A,$B$6,Data!$B:$B,$B$10,Data!$C:$C,$B$5,Data!$D:$D,$B$4,Data!$E:$E,$B$7,Data!$F:$F,$B$2,Data!$G:$G,$B$3)</f>
        <v>0</v>
      </c>
      <c r="G10" s="14">
        <f>SUMIFS(Data!$J:$J,Data!$H:$H,E$9,Data!$A:$A,$B$6,Data!$B:$B,$B$10,Data!$C:$C,$B$5,Data!$D:$D,$B$4,Data!$E:$E,$B$7,Data!$F:$F,$B$2,Data!$G:$G,$B$3)</f>
        <v>0</v>
      </c>
      <c r="H10" s="14" t="b">
        <f>MAX($F10,$J10,$N10,$R10)=F10</f>
        <v>1</v>
      </c>
      <c r="I10" s="14" t="str">
        <f>TEXT(ROUND(J10*100,4),"0.0000") &amp; " ± " &amp; TEXT(ROUND(K10*100,2),"0.00")</f>
        <v>0.0000 ± 0.00</v>
      </c>
      <c r="J10" s="14">
        <f>SUMIFS(Data!$I:$I,Data!$H:$H,I$9,Data!$A:$A,$B$6,Data!$B:$B,$B$10,Data!$C:$C,$B$5,Data!$D:$D,$B$4,Data!$E:$E,$B$7,Data!$F:$F,$B$2,Data!$G:$G,$B$3)</f>
        <v>0</v>
      </c>
      <c r="K10" s="14">
        <f>SUMIFS(Data!$J:$J,Data!$H:$H,I$9,Data!$A:$A,$B$6,Data!$B:$B,$B$10,Data!$C:$C,$B$5,Data!$D:$D,$B$4,Data!$E:$E,$B$7,Data!$F:$F,$B$2,Data!$G:$G,$B$3)</f>
        <v>0</v>
      </c>
      <c r="L10" s="14" t="b">
        <f>MAX($F10,$J10,$N10,$R10)=J10</f>
        <v>1</v>
      </c>
      <c r="M10" s="14" t="str">
        <f>TEXT(ROUND(N10*100,4),"0.0000") &amp; " ± " &amp; TEXT(ROUND(O10*100,2),"0.00")</f>
        <v>0.0000 ± 0.00</v>
      </c>
      <c r="N10" s="14">
        <f>SUMIFS(Data!$I:$I,Data!$H:$H,M$9,Data!$A:$A,$B$6,Data!$B:$B,$B$10,Data!$C:$C,$B$5,Data!$D:$D,$B$4,Data!$E:$E,$B$7,Data!$F:$F,$B$2,Data!$G:$G,$B$3)</f>
        <v>0</v>
      </c>
      <c r="O10" s="14">
        <f>SUMIFS(Data!$J:$J,Data!$H:$H,M$9,Data!$A:$A,$B$6,Data!$B:$B,$B$10,Data!$C:$C,$B$5,Data!$D:$D,$B$4,Data!$E:$E,$B$7,Data!$F:$F,$B$2,Data!$G:$G,$B$3)</f>
        <v>0</v>
      </c>
      <c r="P10" s="14" t="b">
        <f>MAX($F10,$J10,$N10,$R10)=N10</f>
        <v>1</v>
      </c>
      <c r="Q10" s="15" t="str">
        <f>TEXT(ROUND(R10*100,4),"0.0000") &amp; " ± " &amp; TEXT(ROUND(S10*100,2),"0.00")</f>
        <v>0.0000 ± 0.00</v>
      </c>
      <c r="R10" s="11">
        <f>SUMIFS(Data!$I:$I,Data!$H:$H,Q$9,Data!$A:$A,$B$6,Data!$B:$B,$B$10,Data!$C:$C,$B$5,Data!$D:$D,$B$4,Data!$E:$E,$B$7,Data!$F:$F,$B$2,Data!$G:$G,$B$3)</f>
        <v>0</v>
      </c>
      <c r="S10" s="2">
        <f>SUMIFS(Data!$J:$J,Data!$H:$H,Q$9,Data!$A:$A,$B$6,Data!$B:$B,$B$10,Data!$C:$C,$B$5,Data!$D:$D,$B$4,Data!$E:$E,$B$7,Data!$F:$F,$B$2,Data!$G:$G,$B$3)</f>
        <v>0</v>
      </c>
      <c r="T10" s="2" t="b">
        <f>MAX($F10,$J10,$N10,$R10)=R10</f>
        <v>1</v>
      </c>
    </row>
    <row r="11" spans="2:39" ht="19.95" hidden="1" customHeight="1" x14ac:dyDescent="0.3">
      <c r="C11" s="41"/>
      <c r="D11" s="11" t="s">
        <v>4</v>
      </c>
      <c r="E11" s="2" t="str">
        <f t="shared" ref="E11:E13" si="0">TEXT(ROUND(F11*100,4),"0.0000") &amp; " ± " &amp; TEXT(ROUND(G11*100,2),"0.00")</f>
        <v>0.0000 ± 0.00</v>
      </c>
      <c r="F11" s="2">
        <f>SUMIFS(Data!$K:$K,Data!$H:$H,E$9,Data!$A:$A,$B$6,Data!$B:$B,$B$10,Data!$C:$C,$B$5,Data!$D:$D,$B$4,Data!$E:$E,$B$7,Data!$F:$F,$B$2,Data!$G:$G,$B$3)</f>
        <v>0</v>
      </c>
      <c r="G11" s="2">
        <f>SUMIFS(Data!$L:$L,Data!$H:$H,E$9,Data!$A:$A,$B$6,Data!$B:$B,$B$10,Data!$C:$C,$B$5,Data!$D:$D,$B$4,Data!$E:$E,$B$7,Data!$F:$F,$B$2,Data!$G:$G,$B$3)</f>
        <v>0</v>
      </c>
      <c r="H11" s="2" t="b">
        <f t="shared" ref="H11:H16" si="1">MAX($F11,$J11,$N11,$R11)=F11</f>
        <v>1</v>
      </c>
      <c r="I11" s="2" t="str">
        <f t="shared" ref="I11:I13" si="2">TEXT(ROUND(J11*100,4),"0.0000") &amp; " ± " &amp; TEXT(ROUND(K11*100,2),"0.00")</f>
        <v>0.0000 ± 0.00</v>
      </c>
      <c r="J11" s="2">
        <f>SUMIFS(Data!$K:$K,Data!$H:$H,I$9,Data!$A:$A,$B$6,Data!$B:$B,$B$10,Data!$C:$C,$B$5,Data!$D:$D,$B$4,Data!$E:$E,$B$7,Data!$F:$F,$B$2,Data!$G:$G,$B$3)</f>
        <v>0</v>
      </c>
      <c r="K11" s="2">
        <f>SUMIFS(Data!$L:$L,Data!$H:$H,I$9,Data!$A:$A,$B$6,Data!$B:$B,$B$10,Data!$C:$C,$B$5,Data!$D:$D,$B$4,Data!$E:$E,$B$7,Data!$F:$F,$B$2,Data!$G:$G,$B$3)</f>
        <v>0</v>
      </c>
      <c r="L11" s="2" t="b">
        <f t="shared" ref="L11:L16" si="3">MAX($F11,$J11,$N11,$R11)=J11</f>
        <v>1</v>
      </c>
      <c r="M11" s="2" t="str">
        <f t="shared" ref="M11:M13" si="4">TEXT(ROUND(N11*100,4),"0.0000") &amp; " ± " &amp; TEXT(ROUND(O11*100,2),"0.00")</f>
        <v>0.0000 ± 0.00</v>
      </c>
      <c r="N11" s="2">
        <f>SUMIFS(Data!$K:$K,Data!$H:$H,M$9,Data!$A:$A,$B$6,Data!$B:$B,$B$10,Data!$C:$C,$B$5,Data!$D:$D,$B$4,Data!$E:$E,$B$7,Data!$F:$F,$B$2,Data!$G:$G,$B$3)</f>
        <v>0</v>
      </c>
      <c r="O11" s="2">
        <f>SUMIFS(Data!$L:$L,Data!$H:$H,M$9,Data!$A:$A,$B$6,Data!$B:$B,$B$10,Data!$C:$C,$B$5,Data!$D:$D,$B$4,Data!$E:$E,$B$7,Data!$F:$F,$B$2,Data!$G:$G,$B$3)</f>
        <v>0</v>
      </c>
      <c r="P11" s="2" t="b">
        <f t="shared" ref="P11:P16" si="5">MAX($F11,$J11,$N11,$R11)=N11</f>
        <v>1</v>
      </c>
      <c r="Q11" s="12" t="str">
        <f t="shared" ref="Q11:Q13" si="6">TEXT(ROUND(R11*100,4),"0.0000") &amp; " ± " &amp; TEXT(ROUND(S11*100,2),"0.00")</f>
        <v>0.0000 ± 0.00</v>
      </c>
      <c r="R11" s="11">
        <f>SUMIFS(Data!$K:$K,Data!$H:$H,Q$9,Data!$A:$A,$B$6,Data!$B:$B,$B$10,Data!$C:$C,$B$5,Data!$D:$D,$B$4,Data!$E:$E,$B$7,Data!$F:$F,$B$2,Data!$G:$G,$B$3)</f>
        <v>0</v>
      </c>
      <c r="S11" s="2">
        <f>SUMIFS(Data!$L:$L,Data!$H:$H,Q$9,Data!$A:$A,$B$6,Data!$B:$B,$B$10,Data!$C:$C,$B$5,Data!$D:$D,$B$4,Data!$E:$E,$B$7,Data!$F:$F,$B$2,Data!$G:$G,$B$3)</f>
        <v>0</v>
      </c>
      <c r="T11" s="2" t="b">
        <f t="shared" ref="T11:T16" si="7">MAX($F11,$J11,$N11,$R11)=R11</f>
        <v>1</v>
      </c>
    </row>
    <row r="12" spans="2:39" ht="19.95" hidden="1" customHeight="1" x14ac:dyDescent="0.3">
      <c r="C12" s="41"/>
      <c r="D12" s="29" t="s">
        <v>5</v>
      </c>
      <c r="E12" s="18" t="str">
        <f t="shared" si="0"/>
        <v>0.0000 ± 0.00</v>
      </c>
      <c r="F12" s="18">
        <f>SUMIFS(Data!$M:$M,Data!$H:$H,E$9,Data!$A:$A,$B$6,Data!$B:$B,$B$10,Data!$C:$C,$B$5,Data!$D:$D,$B$4,Data!$E:$E,$B$7,Data!$F:$F,$B$2,Data!$G:$G,$B$3)</f>
        <v>0</v>
      </c>
      <c r="G12" s="18">
        <f>SUMIFS(Data!$N:$N,Data!$H:$H,E$9,Data!$A:$A,$B$6,Data!$B:$B,$B$10,Data!$C:$C,$B$5,Data!$D:$D,$B$4,Data!$E:$E,$B$7,Data!$F:$F,$B$2,Data!$G:$G,$B$3)</f>
        <v>0</v>
      </c>
      <c r="H12" s="18" t="b">
        <f t="shared" si="1"/>
        <v>1</v>
      </c>
      <c r="I12" s="18" t="str">
        <f t="shared" si="2"/>
        <v>0.0000 ± 0.00</v>
      </c>
      <c r="J12" s="18">
        <f>SUMIFS(Data!$M:$M,Data!$H:$H,I$9,Data!$A:$A,$B$6,Data!$B:$B,$B$10,Data!$C:$C,$B$5,Data!$D:$D,$B$4,Data!$E:$E,$B$7,Data!$F:$F,$B$2,Data!$G:$G,$B$3)</f>
        <v>0</v>
      </c>
      <c r="K12" s="18">
        <f>SUMIFS(Data!$N:$N,Data!$H:$H,I$9,Data!$A:$A,$B$6,Data!$B:$B,$B$10,Data!$C:$C,$B$5,Data!$D:$D,$B$4,Data!$E:$E,$B$7,Data!$F:$F,$B$2,Data!$G:$G,$B$3)</f>
        <v>0</v>
      </c>
      <c r="L12" s="18" t="b">
        <f t="shared" si="3"/>
        <v>1</v>
      </c>
      <c r="M12" s="18" t="str">
        <f t="shared" si="4"/>
        <v>0.0000 ± 0.00</v>
      </c>
      <c r="N12" s="18">
        <f>SUMIFS(Data!$M:$M,Data!$H:$H,M$9,Data!$A:$A,$B$6,Data!$B:$B,$B$10,Data!$C:$C,$B$5,Data!$D:$D,$B$4,Data!$E:$E,$B$7,Data!$F:$F,$B$2,Data!$G:$G,$B$3)</f>
        <v>0</v>
      </c>
      <c r="O12" s="18">
        <f>SUMIFS(Data!$N:$N,Data!$H:$H,M$9,Data!$A:$A,$B$6,Data!$B:$B,$B$10,Data!$C:$C,$B$5,Data!$D:$D,$B$4,Data!$E:$E,$B$7,Data!$F:$F,$B$2,Data!$G:$G,$B$3)</f>
        <v>0</v>
      </c>
      <c r="P12" s="18" t="b">
        <f t="shared" si="5"/>
        <v>1</v>
      </c>
      <c r="Q12" s="20" t="str">
        <f t="shared" si="6"/>
        <v>0.0000 ± 0.00</v>
      </c>
      <c r="R12" s="11">
        <f>SUMIFS(Data!$M:$M,Data!$H:$H,Q$9,Data!$A:$A,$B$6,Data!$B:$B,$B$10,Data!$C:$C,$B$5,Data!$D:$D,$B$4,Data!$E:$E,$B$7,Data!$F:$F,$B$2,Data!$G:$G,$B$3)</f>
        <v>0</v>
      </c>
      <c r="S12" s="2">
        <f>SUMIFS(Data!$N:$N,Data!$H:$H,Q$9,Data!$A:$A,$B$6,Data!$B:$B,$B$10,Data!$C:$C,$B$5,Data!$D:$D,$B$4,Data!$E:$E,$B$7,Data!$F:$F,$B$2,Data!$G:$G,$B$3)</f>
        <v>0</v>
      </c>
      <c r="T12" s="2" t="b">
        <f t="shared" si="7"/>
        <v>1</v>
      </c>
    </row>
    <row r="13" spans="2:39" ht="19.95" hidden="1" customHeight="1" thickBot="1" x14ac:dyDescent="0.35">
      <c r="C13" s="41"/>
      <c r="D13" s="11" t="s">
        <v>6</v>
      </c>
      <c r="E13" s="2" t="str">
        <f t="shared" si="0"/>
        <v>0.0000 ± 0.00</v>
      </c>
      <c r="F13" s="2">
        <f>SUMIFS(Data!$O:$O,Data!$H:$H,E$9,Data!$A:$A,$B$6,Data!$B:$B,$B$10,Data!$C:$C,$B$5,Data!$D:$D,$B$4,Data!$E:$E,$B$7,Data!$F:$F,$B$2,Data!$G:$G,$B$3)</f>
        <v>0</v>
      </c>
      <c r="G13" s="2">
        <f>SUMIFS(Data!$P:$P,Data!$H:$H,E$9,Data!$A:$A,$B$6,Data!$B:$B,$B$10,Data!$C:$C,$B$5,Data!$D:$D,$B$4,Data!$E:$E,$B$7,Data!$F:$F,$B$2,Data!$G:$G,$B$3)</f>
        <v>0</v>
      </c>
      <c r="H13" s="2" t="b">
        <f t="shared" si="1"/>
        <v>1</v>
      </c>
      <c r="I13" s="2" t="str">
        <f t="shared" si="2"/>
        <v>0.0000 ± 0.00</v>
      </c>
      <c r="J13" s="2">
        <f>SUMIFS(Data!$O:$O,Data!$H:$H,I$9,Data!$A:$A,$B$6,Data!$B:$B,$B$10,Data!$C:$C,$B$5,Data!$D:$D,$B$4,Data!$E:$E,$B$7,Data!$F:$F,$B$2,Data!$G:$G,$B$3)</f>
        <v>0</v>
      </c>
      <c r="K13" s="2">
        <f>SUMIFS(Data!$P:$P,Data!$H:$H,I$9,Data!$A:$A,$B$6,Data!$B:$B,$B$10,Data!$C:$C,$B$5,Data!$D:$D,$B$4,Data!$E:$E,$B$7,Data!$F:$F,$B$2,Data!$G:$G,$B$3)</f>
        <v>0</v>
      </c>
      <c r="L13" s="2" t="b">
        <f t="shared" si="3"/>
        <v>1</v>
      </c>
      <c r="M13" s="2" t="str">
        <f t="shared" si="4"/>
        <v>0.0000 ± 0.00</v>
      </c>
      <c r="N13" s="2">
        <f>SUMIFS(Data!$O:$O,Data!$H:$H,M$9,Data!$A:$A,$B$6,Data!$B:$B,$B$10,Data!$C:$C,$B$5,Data!$D:$D,$B$4,Data!$E:$E,$B$7,Data!$F:$F,$B$2,Data!$G:$G,$B$3)</f>
        <v>0</v>
      </c>
      <c r="O13" s="2">
        <f>SUMIFS(Data!$P:$P,Data!$H:$H,M$9,Data!$A:$A,$B$6,Data!$B:$B,$B$10,Data!$C:$C,$B$5,Data!$D:$D,$B$4,Data!$E:$E,$B$7,Data!$F:$F,$B$2,Data!$G:$G,$B$3)</f>
        <v>0</v>
      </c>
      <c r="P13" s="2" t="b">
        <f t="shared" si="5"/>
        <v>1</v>
      </c>
      <c r="Q13" s="12" t="str">
        <f t="shared" si="6"/>
        <v>0.0000 ± 0.00</v>
      </c>
      <c r="R13" s="11">
        <f>SUMIFS(Data!$O:$O,Data!$H:$H,Q$9,Data!$A:$A,$B$6,Data!$B:$B,$B$10,Data!$C:$C,$B$5,Data!$D:$D,$B$4,Data!$E:$E,$B$7,Data!$F:$F,$B$2,Data!$G:$G,$B$3)</f>
        <v>0</v>
      </c>
      <c r="S13" s="2">
        <f>SUMIFS(Data!$P:$P,Data!$H:$H,Q$9,Data!$A:$A,$B$6,Data!$B:$B,$B$10,Data!$C:$C,$B$5,Data!$D:$D,$B$4,Data!$E:$E,$B$7,Data!$F:$F,$B$2,Data!$G:$G,$B$3)</f>
        <v>0</v>
      </c>
      <c r="T13" s="2" t="b">
        <f t="shared" si="7"/>
        <v>1</v>
      </c>
    </row>
    <row r="14" spans="2:39" ht="19.95" hidden="1" customHeight="1" x14ac:dyDescent="0.3">
      <c r="C14" s="41"/>
      <c r="D14" s="29" t="s">
        <v>23</v>
      </c>
      <c r="E14" s="18" t="str">
        <f>TEXT(ROUND(F14,4),"0.0000") &amp; " ± " &amp; TEXT(ROUND(G14*100,2),"0.00")</f>
        <v>0.0000 ± 0.00</v>
      </c>
      <c r="F14" s="18">
        <f>SUMIFS(Data!$I:$I,Data!$H:$H,E$9,Data!$A:$A,$B$6,Data!$B:$B,$B$10,Data!$C:$C,$B$5,Data!$D:$D,$B$4,Data!$E:$E,$B$7,Data!$F:$F,$B$2,Data!$G:$G,$B$3)</f>
        <v>0</v>
      </c>
      <c r="G14" s="18">
        <f>SUMIFS(Data!$J:$J,Data!$H:$H,E$9,Data!$A:$A,$B$6,Data!$B:$B,$B$10,Data!$C:$C,$B$5,Data!$D:$D,$B$4,Data!$E:$E,$B$7,Data!$F:$F,$B$2,Data!$G:$G,$B$3)</f>
        <v>0</v>
      </c>
      <c r="H14" s="18" t="b">
        <f>MAX($F14,$J14,$N14,$R14)=F14</f>
        <v>1</v>
      </c>
      <c r="I14" s="18" t="str">
        <f>TEXT(ROUND(J14,4),"0.0000") &amp; " ± " &amp; TEXT(ROUND(K14*100,2),"0.00")</f>
        <v>0.0000 ± 0.00</v>
      </c>
      <c r="J14" s="18">
        <f>SUMIFS(Data!$I:$I,Data!$H:$H,I$9,Data!$A:$A,$B$6,Data!$B:$B,$B$10,Data!$C:$C,$B$5,Data!$D:$D,$B$4,Data!$E:$E,$B$7,Data!$F:$F,$B$2,Data!$G:$G,$B$3)</f>
        <v>0</v>
      </c>
      <c r="K14" s="18">
        <f>SUMIFS(Data!$J:$J,Data!$H:$H,I$9,Data!$A:$A,$B$6,Data!$B:$B,$B$10,Data!$C:$C,$B$5,Data!$D:$D,$B$4,Data!$E:$E,$B$7,Data!$F:$F,$B$2,Data!$G:$G,$B$3)</f>
        <v>0</v>
      </c>
      <c r="L14" s="18" t="b">
        <f>MAX($F14,$J14,$N14,$R14)=J14</f>
        <v>1</v>
      </c>
      <c r="M14" s="18" t="str">
        <f>TEXT(ROUND(N14,4),"0.0000") &amp; " ± " &amp; TEXT(ROUND(O14*100,2),"0.00")</f>
        <v>0.0000 ± 0.00</v>
      </c>
      <c r="N14" s="18">
        <f>SUMIFS(Data!$I:$I,Data!$H:$H,M$9,Data!$A:$A,$B$6,Data!$B:$B,$B$10,Data!$C:$C,$B$5,Data!$D:$D,$B$4,Data!$E:$E,$B$7,Data!$F:$F,$B$2,Data!$G:$G,$B$3)</f>
        <v>0</v>
      </c>
      <c r="O14" s="18">
        <f>SUMIFS(Data!$J:$J,Data!$H:$H,M$9,Data!$A:$A,$B$6,Data!$B:$B,$B$10,Data!$C:$C,$B$5,Data!$D:$D,$B$4,Data!$E:$E,$B$7,Data!$F:$F,$B$2,Data!$G:$G,$B$3)</f>
        <v>0</v>
      </c>
      <c r="P14" s="18" t="b">
        <f>MAX($F14,$J14,$N14,$R14)=N14</f>
        <v>1</v>
      </c>
      <c r="Q14" s="20" t="str">
        <f>TEXT(ROUND(R14,4),"0.0000") &amp; " ± " &amp; TEXT(ROUND(S14*100,2),"0.00")</f>
        <v>0.0000 ± 0.00</v>
      </c>
      <c r="R14" s="11">
        <f>SUMIFS(Data!$I:$I,Data!$H:$H,Q$9,Data!$A:$A,$B$6,Data!$B:$B,$B$10,Data!$C:$C,$B$5,Data!$D:$D,$B$4,Data!$E:$E,$B$7,Data!$F:$F,$B$2,Data!$G:$G,$B$3)</f>
        <v>0</v>
      </c>
      <c r="S14" s="2">
        <f>SUMIFS(Data!$J:$J,Data!$H:$H,Q$9,Data!$A:$A,$B$6,Data!$B:$B,$B$10,Data!$C:$C,$B$5,Data!$D:$D,$B$4,Data!$E:$E,$B$7,Data!$F:$F,$B$2,Data!$G:$G,$B$3)</f>
        <v>0</v>
      </c>
      <c r="T14" s="2" t="b">
        <f>MAX($F14,$J14,$N14,$R14)=R14</f>
        <v>1</v>
      </c>
    </row>
    <row r="15" spans="2:39" ht="19.95" hidden="1" customHeight="1" x14ac:dyDescent="0.3">
      <c r="C15" s="41"/>
      <c r="D15" s="11" t="s">
        <v>24</v>
      </c>
      <c r="E15" s="2" t="str">
        <f t="shared" ref="E15:E16" si="8">TEXT(ROUND(F15,4),"0.0000") &amp; " ± " &amp; TEXT(ROUND(G15*100,2),"0.00")</f>
        <v>0.0000 ± 0.00</v>
      </c>
      <c r="F15" s="2">
        <f>SUMIFS(Data!$K:$K,Data!$H:$H,E$9,Data!$A:$A,$B$6,Data!$B:$B,$B$10,Data!$C:$C,$B$5,Data!$D:$D,$B$4,Data!$E:$E,$B$7,Data!$F:$F,$B$2,Data!$G:$G,$B$3)</f>
        <v>0</v>
      </c>
      <c r="G15" s="2">
        <f>SUMIFS(Data!$L:$L,Data!$H:$H,E$9,Data!$A:$A,$B$6,Data!$B:$B,$B$10,Data!$C:$C,$B$5,Data!$D:$D,$B$4,Data!$E:$E,$B$7,Data!$F:$F,$B$2,Data!$G:$G,$B$3)</f>
        <v>0</v>
      </c>
      <c r="H15" s="2" t="b">
        <f t="shared" si="1"/>
        <v>1</v>
      </c>
      <c r="I15" s="2" t="str">
        <f t="shared" ref="I15:I16" si="9">TEXT(ROUND(J15,4),"0.0000") &amp; " ± " &amp; TEXT(ROUND(K15*100,2),"0.00")</f>
        <v>0.0000 ± 0.00</v>
      </c>
      <c r="J15" s="2">
        <f>SUMIFS(Data!$K:$K,Data!$H:$H,I$9,Data!$A:$A,$B$6,Data!$B:$B,$B$10,Data!$C:$C,$B$5,Data!$D:$D,$B$4,Data!$E:$E,$B$7,Data!$F:$F,$B$2,Data!$G:$G,$B$3)</f>
        <v>0</v>
      </c>
      <c r="K15" s="2">
        <f>SUMIFS(Data!$L:$L,Data!$H:$H,I$9,Data!$A:$A,$B$6,Data!$B:$B,$B$10,Data!$C:$C,$B$5,Data!$D:$D,$B$4,Data!$E:$E,$B$7,Data!$F:$F,$B$2,Data!$G:$G,$B$3)</f>
        <v>0</v>
      </c>
      <c r="L15" s="2" t="b">
        <f t="shared" si="3"/>
        <v>1</v>
      </c>
      <c r="M15" s="2" t="str">
        <f t="shared" ref="M15:M16" si="10">TEXT(ROUND(N15,4),"0.0000") &amp; " ± " &amp; TEXT(ROUND(O15*100,2),"0.00")</f>
        <v>0.0000 ± 0.00</v>
      </c>
      <c r="N15" s="2">
        <f>SUMIFS(Data!$K:$K,Data!$H:$H,M$9,Data!$A:$A,$B$6,Data!$B:$B,$B$10,Data!$C:$C,$B$5,Data!$D:$D,$B$4,Data!$E:$E,$B$7,Data!$F:$F,$B$2,Data!$G:$G,$B$3)</f>
        <v>0</v>
      </c>
      <c r="O15" s="2">
        <f>SUMIFS(Data!$L:$L,Data!$H:$H,M$9,Data!$A:$A,$B$6,Data!$B:$B,$B$10,Data!$C:$C,$B$5,Data!$D:$D,$B$4,Data!$E:$E,$B$7,Data!$F:$F,$B$2,Data!$G:$G,$B$3)</f>
        <v>0</v>
      </c>
      <c r="P15" s="2" t="b">
        <f t="shared" si="5"/>
        <v>1</v>
      </c>
      <c r="Q15" s="12" t="str">
        <f t="shared" ref="Q15:Q16" si="11">TEXT(ROUND(R15,4),"0.0000") &amp; " ± " &amp; TEXT(ROUND(S15*100,2),"0.00")</f>
        <v>0.0000 ± 0.00</v>
      </c>
      <c r="R15" s="11">
        <f>SUMIFS(Data!$K:$K,Data!$H:$H,Q$9,Data!$A:$A,$B$6,Data!$B:$B,$B$10,Data!$C:$C,$B$5,Data!$D:$D,$B$4,Data!$E:$E,$B$7,Data!$F:$F,$B$2,Data!$G:$G,$B$3)</f>
        <v>0</v>
      </c>
      <c r="S15" s="2">
        <f>SUMIFS(Data!$L:$L,Data!$H:$H,Q$9,Data!$A:$A,$B$6,Data!$B:$B,$B$10,Data!$C:$C,$B$5,Data!$D:$D,$B$4,Data!$E:$E,$B$7,Data!$F:$F,$B$2,Data!$G:$G,$B$3)</f>
        <v>0</v>
      </c>
      <c r="T15" s="2" t="b">
        <f t="shared" si="7"/>
        <v>1</v>
      </c>
    </row>
    <row r="16" spans="2:39" ht="19.95" hidden="1" customHeight="1" thickBot="1" x14ac:dyDescent="0.35">
      <c r="C16" s="42"/>
      <c r="D16" s="30" t="s">
        <v>25</v>
      </c>
      <c r="E16" s="21" t="str">
        <f t="shared" si="8"/>
        <v>0.0000 ± 0.00</v>
      </c>
      <c r="F16" s="21">
        <f>SUMIFS(Data!$M:$M,Data!$H:$H,E$9,Data!$A:$A,$B$6,Data!$B:$B,$B$10,Data!$C:$C,$B$5,Data!$D:$D,$B$4,Data!$E:$E,$B$7,Data!$F:$F,$B$2,Data!$G:$G,$B$3)</f>
        <v>0</v>
      </c>
      <c r="G16" s="21">
        <f>SUMIFS(Data!$N:$N,Data!$H:$H,E$9,Data!$A:$A,$B$6,Data!$B:$B,$B$10,Data!$C:$C,$B$5,Data!$D:$D,$B$4,Data!$E:$E,$B$7,Data!$F:$F,$B$2,Data!$G:$G,$B$3)</f>
        <v>0</v>
      </c>
      <c r="H16" s="21" t="b">
        <f t="shared" si="1"/>
        <v>1</v>
      </c>
      <c r="I16" s="21" t="str">
        <f t="shared" si="9"/>
        <v>0.0000 ± 0.00</v>
      </c>
      <c r="J16" s="21">
        <f>SUMIFS(Data!$M:$M,Data!$H:$H,I$9,Data!$A:$A,$B$6,Data!$B:$B,$B$10,Data!$C:$C,$B$5,Data!$D:$D,$B$4,Data!$E:$E,$B$7,Data!$F:$F,$B$2,Data!$G:$G,$B$3)</f>
        <v>0</v>
      </c>
      <c r="K16" s="21">
        <f>SUMIFS(Data!$N:$N,Data!$H:$H,I$9,Data!$A:$A,$B$6,Data!$B:$B,$B$10,Data!$C:$C,$B$5,Data!$D:$D,$B$4,Data!$E:$E,$B$7,Data!$F:$F,$B$2,Data!$G:$G,$B$3)</f>
        <v>0</v>
      </c>
      <c r="L16" s="21" t="b">
        <f t="shared" si="3"/>
        <v>1</v>
      </c>
      <c r="M16" s="21" t="str">
        <f t="shared" si="10"/>
        <v>0.0000 ± 0.00</v>
      </c>
      <c r="N16" s="21">
        <f>SUMIFS(Data!$M:$M,Data!$H:$H,M$9,Data!$A:$A,$B$6,Data!$B:$B,$B$10,Data!$C:$C,$B$5,Data!$D:$D,$B$4,Data!$E:$E,$B$7,Data!$F:$F,$B$2,Data!$G:$G,$B$3)</f>
        <v>0</v>
      </c>
      <c r="O16" s="21">
        <f>SUMIFS(Data!$N:$N,Data!$H:$H,M$9,Data!$A:$A,$B$6,Data!$B:$B,$B$10,Data!$C:$C,$B$5,Data!$D:$D,$B$4,Data!$E:$E,$B$7,Data!$F:$F,$B$2,Data!$G:$G,$B$3)</f>
        <v>0</v>
      </c>
      <c r="P16" s="21" t="b">
        <f t="shared" si="5"/>
        <v>1</v>
      </c>
      <c r="Q16" s="22" t="str">
        <f t="shared" si="11"/>
        <v>0.0000 ± 0.00</v>
      </c>
      <c r="R16" s="11">
        <f>SUMIFS(Data!$M:$M,Data!$H:$H,Q$9,Data!$A:$A,$B$6,Data!$B:$B,$B$10,Data!$C:$C,$B$5,Data!$D:$D,$B$4,Data!$E:$E,$B$7,Data!$F:$F,$B$2,Data!$G:$G,$B$3)</f>
        <v>0</v>
      </c>
      <c r="S16" s="2">
        <f>SUMIFS(Data!$N:$N,Data!$H:$H,Q$9,Data!$A:$A,$B$6,Data!$B:$B,$B$10,Data!$C:$C,$B$5,Data!$D:$D,$B$4,Data!$E:$E,$B$7,Data!$F:$F,$B$2,Data!$G:$G,$B$3)</f>
        <v>0</v>
      </c>
      <c r="T16" s="2" t="b">
        <f t="shared" si="7"/>
        <v>1</v>
      </c>
    </row>
    <row r="17" spans="2:20" ht="19.95" customHeight="1" x14ac:dyDescent="0.3">
      <c r="B17" s="6" t="s">
        <v>57</v>
      </c>
      <c r="C17" s="34" t="s">
        <v>58</v>
      </c>
      <c r="D17" s="7" t="s">
        <v>3</v>
      </c>
      <c r="E17" s="7" t="str">
        <f>TEXT(ROUND(F17*100,4),"0.0000") &amp; " ± " &amp; TEXT(ROUND(G17*100,2),"0.00")</f>
        <v>56.6934 ± 24.92</v>
      </c>
      <c r="F17" s="7">
        <f>SUMIFS(Data!$I:$I,Data!$H:$H,E$9,Data!$A:$A,$B$6,Data!$B:$B,$B$17,Data!$C:$C,$B$5,Data!$D:$D,$B$4,Data!$E:$E,$B$7,Data!$F:$F,$B$2,Data!$G:$G,$B$3)</f>
        <v>0.56693365024508302</v>
      </c>
      <c r="G17" s="7">
        <f>SUMIFS(Data!$J:$J,Data!$H:$H,E$9,Data!$A:$A,$B$6,Data!$B:$B,$B$17,Data!$C:$C,$B$5,Data!$D:$D,$B$4,Data!$E:$E,$B$7,Data!$F:$F,$B$2,Data!$G:$G,$B$3)</f>
        <v>0.24918471285605101</v>
      </c>
      <c r="H17" s="7" t="b">
        <f>MAX($F17,$J17,$N17,$R17)=F17</f>
        <v>0</v>
      </c>
      <c r="I17" s="7" t="str">
        <f>TEXT(ROUND(J17*100,4),"0.0000") &amp; " ± " &amp; TEXT(ROUND(K17*100,2),"0.00")</f>
        <v>63.6466 ± 32.36</v>
      </c>
      <c r="J17" s="7">
        <f>SUMIFS(Data!$I:$I,Data!$H:$H,I$9,Data!$A:$A,$B$6,Data!$B:$B,$B$17,Data!$C:$C,$B$5,Data!$D:$D,$B$4,Data!$E:$E,$B$7,Data!$F:$F,$B$2,Data!$G:$G,$B$3)</f>
        <v>0.63646553684713303</v>
      </c>
      <c r="K17" s="7">
        <f>SUMIFS(Data!$J:$J,Data!$H:$H,I$9,Data!$A:$A,$B$6,Data!$B:$B,$B$17,Data!$C:$C,$B$5,Data!$D:$D,$B$4,Data!$E:$E,$B$7,Data!$F:$F,$B$2,Data!$G:$G,$B$3)</f>
        <v>0.32361058055506497</v>
      </c>
      <c r="L17" s="7" t="b">
        <f>MAX($F17,$J17,$N17,$R17)=J17</f>
        <v>1</v>
      </c>
      <c r="M17" s="7" t="str">
        <f>TEXT(ROUND(N17*100,4),"0.0000") &amp; " ± " &amp; TEXT(ROUND(O17*100,2),"0.00")</f>
        <v>58.1539 ± 31.15</v>
      </c>
      <c r="N17" s="7">
        <f>SUMIFS(Data!$I:$I,Data!$H:$H,M$9,Data!$A:$A,$B$6,Data!$B:$B,$B$17,Data!$C:$C,$B$5,Data!$D:$D,$B$4,Data!$E:$E,$B$7,Data!$F:$F,$B$2,Data!$G:$G,$B$3)</f>
        <v>0.58153879054681801</v>
      </c>
      <c r="O17" s="7">
        <f>SUMIFS(Data!$J:$J,Data!$H:$H,M$9,Data!$A:$A,$B$6,Data!$B:$B,$B$17,Data!$C:$C,$B$5,Data!$D:$D,$B$4,Data!$E:$E,$B$7,Data!$F:$F,$B$2,Data!$G:$G,$B$3)</f>
        <v>0.31152180649934502</v>
      </c>
      <c r="P17" s="7" t="b">
        <f>MAX($F17,$J17,$N17,$R17)=N17</f>
        <v>0</v>
      </c>
      <c r="Q17" s="3" t="str">
        <f>TEXT(ROUND(R17*100,4),"0.0000") &amp; " ± " &amp; TEXT(ROUND(S17*100,2),"0.00")</f>
        <v>0.0000 ± 0.00</v>
      </c>
      <c r="R17" s="11">
        <f>SUMIFS(Data!$I:$I,Data!$H:$H,Q$9,Data!$A:$A,$B$6,Data!$B:$B,$B$17,Data!$C:$C,$B$5,Data!$D:$D,$B$4,Data!$E:$E,$B$7,Data!$F:$F,$B$2,Data!$G:$G,$B$3)</f>
        <v>0</v>
      </c>
      <c r="S17" s="2">
        <f>SUMIFS(Data!$J:$J,Data!$H:$H,Q$9,Data!$A:$A,$B$6,Data!$B:$B,$B$17,Data!$C:$C,$B$5,Data!$D:$D,$B$4,Data!$E:$E,$B$7,Data!$F:$F,$B$2,Data!$G:$G,$B$3)</f>
        <v>0</v>
      </c>
      <c r="T17" s="2" t="b">
        <f>MAX($F17,$J17,$N17,$R17)=R17</f>
        <v>0</v>
      </c>
    </row>
    <row r="18" spans="2:20" ht="19.95" customHeight="1" x14ac:dyDescent="0.3">
      <c r="C18" s="35"/>
      <c r="D18" s="2" t="s">
        <v>4</v>
      </c>
      <c r="E18" s="2" t="str">
        <f t="shared" ref="E18:E20" si="12">TEXT(ROUND(F18*100,4),"0.0000") &amp; " ± " &amp; TEXT(ROUND(G18*100,2),"0.00")</f>
        <v>39.8730 ± 16.99</v>
      </c>
      <c r="F18" s="2">
        <f>SUMIFS(Data!$K:$K,Data!$H:$H,E$9,Data!$A:$A,$B$6,Data!$B:$B,$B$17,Data!$C:$C,$B$5,Data!$D:$D,$B$4,Data!$E:$E,$B$7,Data!$F:$F,$B$2,Data!$G:$G,$B$3)</f>
        <v>0.39873012508169398</v>
      </c>
      <c r="G18" s="2">
        <f>SUMIFS(Data!$L:$L,Data!$H:$H,E$9,Data!$A:$A,$B$6,Data!$B:$B,$B$17,Data!$C:$C,$B$5,Data!$D:$D,$B$4,Data!$E:$E,$B$7,Data!$F:$F,$B$2,Data!$G:$G,$B$3)</f>
        <v>0.16988968024690099</v>
      </c>
      <c r="H18" s="2" t="b">
        <f t="shared" ref="H18:H20" si="13">MAX($F18,$J18,$N18,$R18)=F18</f>
        <v>0</v>
      </c>
      <c r="I18" s="2" t="str">
        <f t="shared" ref="I18:I20" si="14">TEXT(ROUND(J18*100,4),"0.0000") &amp; " ± " &amp; TEXT(ROUND(K18*100,2),"0.00")</f>
        <v>48.0394 ± 31.36</v>
      </c>
      <c r="J18" s="2">
        <f>SUMIFS(Data!$K:$K,Data!$H:$H,I$9,Data!$A:$A,$B$6,Data!$B:$B,$B$17,Data!$C:$C,$B$5,Data!$D:$D,$B$4,Data!$E:$E,$B$7,Data!$F:$F,$B$2,Data!$G:$G,$B$3)</f>
        <v>0.48039387441058601</v>
      </c>
      <c r="K18" s="2">
        <f>SUMIFS(Data!$L:$L,Data!$H:$H,I$9,Data!$A:$A,$B$6,Data!$B:$B,$B$17,Data!$C:$C,$B$5,Data!$D:$D,$B$4,Data!$E:$E,$B$7,Data!$F:$F,$B$2,Data!$G:$G,$B$3)</f>
        <v>0.31363489912501002</v>
      </c>
      <c r="L18" s="2" t="b">
        <f t="shared" ref="L18:L20" si="15">MAX($F18,$J18,$N18,$R18)=J18</f>
        <v>1</v>
      </c>
      <c r="M18" s="2" t="str">
        <f t="shared" ref="M18:M20" si="16">TEXT(ROUND(N18*100,4),"0.0000") &amp; " ± " &amp; TEXT(ROUND(O18*100,2),"0.00")</f>
        <v>42.9222 ± 27.33</v>
      </c>
      <c r="N18" s="2">
        <f>SUMIFS(Data!$K:$K,Data!$H:$H,M$9,Data!$A:$A,$B$6,Data!$B:$B,$B$17,Data!$C:$C,$B$5,Data!$D:$D,$B$4,Data!$E:$E,$B$7,Data!$F:$F,$B$2,Data!$G:$G,$B$3)</f>
        <v>0.42922150818872501</v>
      </c>
      <c r="O18" s="2">
        <f>SUMIFS(Data!$L:$L,Data!$H:$H,M$9,Data!$A:$A,$B$6,Data!$B:$B,$B$17,Data!$C:$C,$B$5,Data!$D:$D,$B$4,Data!$E:$E,$B$7,Data!$F:$F,$B$2,Data!$G:$G,$B$3)</f>
        <v>0.27334911657793298</v>
      </c>
      <c r="P18" s="2" t="b">
        <f t="shared" ref="P18:P20" si="17">MAX($F18,$J18,$N18,$R18)=N18</f>
        <v>0</v>
      </c>
      <c r="Q18" s="12" t="str">
        <f t="shared" ref="Q18:Q20" si="18">TEXT(ROUND(R18*100,4),"0.0000") &amp; " ± " &amp; TEXT(ROUND(S18*100,2),"0.00")</f>
        <v>0.0000 ± 0.00</v>
      </c>
      <c r="R18" s="11">
        <f>SUMIFS(Data!$K:$K,Data!$H:$H,Q$9,Data!$A:$A,$B$6,Data!$B:$B,$B$17,Data!$C:$C,$B$5,Data!$D:$D,$B$4,Data!$E:$E,$B$7,Data!$F:$F,$B$2,Data!$G:$G,$B$3)</f>
        <v>0</v>
      </c>
      <c r="S18" s="2">
        <f>SUMIFS(Data!$L:$L,Data!$H:$H,Q$9,Data!$A:$A,$B$6,Data!$B:$B,$B$17,Data!$C:$C,$B$5,Data!$D:$D,$B$4,Data!$E:$E,$B$7,Data!$F:$F,$B$2,Data!$G:$G,$B$3)</f>
        <v>0</v>
      </c>
      <c r="T18" s="2" t="b">
        <f t="shared" ref="T18:T20" si="19">MAX($F18,$J18,$N18,$R18)=R18</f>
        <v>0</v>
      </c>
    </row>
    <row r="19" spans="2:20" ht="19.95" customHeight="1" x14ac:dyDescent="0.3">
      <c r="C19" s="35"/>
      <c r="D19" s="4" t="s">
        <v>5</v>
      </c>
      <c r="E19" s="4" t="str">
        <f t="shared" si="12"/>
        <v>48.0542 ± 16.28</v>
      </c>
      <c r="F19" s="4">
        <f>SUMIFS(Data!$M:$M,Data!$H:$H,E$9,Data!$A:$A,$B$6,Data!$B:$B,$B$17,Data!$C:$C,$B$5,Data!$D:$D,$B$4,Data!$E:$E,$B$7,Data!$F:$F,$B$2,Data!$G:$G,$B$3)</f>
        <v>0.48054162779968301</v>
      </c>
      <c r="G19" s="4">
        <f>SUMIFS(Data!$N:$N,Data!$H:$H,E$9,Data!$A:$A,$B$6,Data!$B:$B,$B$17,Data!$C:$C,$B$5,Data!$D:$D,$B$4,Data!$E:$E,$B$7,Data!$F:$F,$B$2,Data!$G:$G,$B$3)</f>
        <v>0.162805040448497</v>
      </c>
      <c r="H19" s="4" t="b">
        <f t="shared" si="13"/>
        <v>1</v>
      </c>
      <c r="I19" s="4" t="str">
        <f t="shared" si="14"/>
        <v>46.4842 ± 33.44</v>
      </c>
      <c r="J19" s="4">
        <f>SUMIFS(Data!$M:$M,Data!$H:$H,I$9,Data!$A:$A,$B$6,Data!$B:$B,$B$17,Data!$C:$C,$B$5,Data!$D:$D,$B$4,Data!$E:$E,$B$7,Data!$F:$F,$B$2,Data!$G:$G,$B$3)</f>
        <v>0.46484159555294902</v>
      </c>
      <c r="K19" s="4">
        <f>SUMIFS(Data!$N:$N,Data!$H:$H,I$9,Data!$A:$A,$B$6,Data!$B:$B,$B$17,Data!$C:$C,$B$5,Data!$D:$D,$B$4,Data!$E:$E,$B$7,Data!$F:$F,$B$2,Data!$G:$G,$B$3)</f>
        <v>0.33441937877993</v>
      </c>
      <c r="L19" s="4" t="b">
        <f t="shared" si="15"/>
        <v>0</v>
      </c>
      <c r="M19" s="4" t="str">
        <f t="shared" si="16"/>
        <v>45.5568 ± 28.61</v>
      </c>
      <c r="N19" s="4">
        <f>SUMIFS(Data!$M:$M,Data!$H:$H,M$9,Data!$A:$A,$B$6,Data!$B:$B,$B$17,Data!$C:$C,$B$5,Data!$D:$D,$B$4,Data!$E:$E,$B$7,Data!$F:$F,$B$2,Data!$G:$G,$B$3)</f>
        <v>0.45556808032725898</v>
      </c>
      <c r="O19" s="4">
        <f>SUMIFS(Data!$N:$N,Data!$H:$H,M$9,Data!$A:$A,$B$6,Data!$B:$B,$B$17,Data!$C:$C,$B$5,Data!$D:$D,$B$4,Data!$E:$E,$B$7,Data!$F:$F,$B$2,Data!$G:$G,$B$3)</f>
        <v>0.28611583508718003</v>
      </c>
      <c r="P19" s="4" t="b">
        <f t="shared" si="17"/>
        <v>0</v>
      </c>
      <c r="Q19" s="5" t="str">
        <f t="shared" si="18"/>
        <v>0.0000 ± 0.00</v>
      </c>
      <c r="R19" s="11">
        <f>SUMIFS(Data!$M:$M,Data!$H:$H,Q$9,Data!$A:$A,$B$6,Data!$B:$B,$B$17,Data!$C:$C,$B$5,Data!$D:$D,$B$4,Data!$E:$E,$B$7,Data!$F:$F,$B$2,Data!$G:$G,$B$3)</f>
        <v>0</v>
      </c>
      <c r="S19" s="2">
        <f>SUMIFS(Data!$N:$N,Data!$H:$H,Q$9,Data!$A:$A,$B$6,Data!$B:$B,$B$17,Data!$C:$C,$B$5,Data!$D:$D,$B$4,Data!$E:$E,$B$7,Data!$F:$F,$B$2,Data!$G:$G,$B$3)</f>
        <v>0</v>
      </c>
      <c r="T19" s="2" t="b">
        <f t="shared" si="19"/>
        <v>0</v>
      </c>
    </row>
    <row r="20" spans="2:20" ht="19.95" customHeight="1" thickBot="1" x14ac:dyDescent="0.35">
      <c r="C20" s="35"/>
      <c r="D20" s="2" t="s">
        <v>6</v>
      </c>
      <c r="E20" s="2" t="str">
        <f t="shared" si="12"/>
        <v>43.8497 ± 18.07</v>
      </c>
      <c r="F20" s="2">
        <f>SUMIFS(Data!$O:$O,Data!$H:$H,E$9,Data!$A:$A,$B$6,Data!$B:$B,$B$17,Data!$C:$C,$B$5,Data!$D:$D,$B$4,Data!$E:$E,$B$7,Data!$F:$F,$B$2,Data!$G:$G,$B$3)</f>
        <v>0.43849723950793101</v>
      </c>
      <c r="G20" s="2">
        <f>SUMIFS(Data!$P:$P,Data!$H:$H,E$9,Data!$A:$A,$B$6,Data!$B:$B,$B$17,Data!$C:$C,$B$5,Data!$D:$D,$B$4,Data!$E:$E,$B$7,Data!$F:$F,$B$2,Data!$G:$G,$B$3)</f>
        <v>0.180656321346888</v>
      </c>
      <c r="H20" s="2" t="b">
        <f t="shared" si="13"/>
        <v>0</v>
      </c>
      <c r="I20" s="2" t="str">
        <f t="shared" si="14"/>
        <v>57.6139 ± 27.00</v>
      </c>
      <c r="J20" s="2">
        <f>SUMIFS(Data!$O:$O,Data!$H:$H,I$9,Data!$A:$A,$B$6,Data!$B:$B,$B$17,Data!$C:$C,$B$5,Data!$D:$D,$B$4,Data!$E:$E,$B$7,Data!$F:$F,$B$2,Data!$G:$G,$B$3)</f>
        <v>0.57613911396401096</v>
      </c>
      <c r="K20" s="2">
        <f>SUMIFS(Data!$P:$P,Data!$H:$H,I$9,Data!$A:$A,$B$6,Data!$B:$B,$B$17,Data!$C:$C,$B$5,Data!$D:$D,$B$4,Data!$E:$E,$B$7,Data!$F:$F,$B$2,Data!$G:$G,$B$3)</f>
        <v>0.26995721249155602</v>
      </c>
      <c r="L20" s="2" t="b">
        <f t="shared" si="15"/>
        <v>1</v>
      </c>
      <c r="M20" s="2" t="str">
        <f t="shared" si="16"/>
        <v>49.3773 ± 25.01</v>
      </c>
      <c r="N20" s="2">
        <f>SUMIFS(Data!$O:$O,Data!$H:$H,M$9,Data!$A:$A,$B$6,Data!$B:$B,$B$17,Data!$C:$C,$B$5,Data!$D:$D,$B$4,Data!$E:$E,$B$7,Data!$F:$F,$B$2,Data!$G:$G,$B$3)</f>
        <v>0.49377256025907801</v>
      </c>
      <c r="O20" s="2">
        <f>SUMIFS(Data!$P:$P,Data!$H:$H,M$9,Data!$A:$A,$B$6,Data!$B:$B,$B$17,Data!$C:$C,$B$5,Data!$D:$D,$B$4,Data!$E:$E,$B$7,Data!$F:$F,$B$2,Data!$G:$G,$B$3)</f>
        <v>0.25013635807117901</v>
      </c>
      <c r="P20" s="2" t="b">
        <f t="shared" si="17"/>
        <v>0</v>
      </c>
      <c r="Q20" s="12" t="str">
        <f t="shared" si="18"/>
        <v>0.0000 ± 0.00</v>
      </c>
      <c r="R20" s="11">
        <f>SUMIFS(Data!$O:$O,Data!$H:$H,Q$9,Data!$A:$A,$B$6,Data!$B:$B,$B$17,Data!$C:$C,$B$5,Data!$D:$D,$B$4,Data!$E:$E,$B$7,Data!$F:$F,$B$2,Data!$G:$G,$B$3)</f>
        <v>0</v>
      </c>
      <c r="S20" s="2">
        <f>SUMIFS(Data!$P:$P,Data!$H:$H,Q$9,Data!$A:$A,$B$6,Data!$B:$B,$B$17,Data!$C:$C,$B$5,Data!$D:$D,$B$4,Data!$E:$E,$B$7,Data!$F:$F,$B$2,Data!$G:$G,$B$3)</f>
        <v>0</v>
      </c>
      <c r="T20" s="2" t="b">
        <f t="shared" si="19"/>
        <v>0</v>
      </c>
    </row>
    <row r="21" spans="2:20" ht="19.95" hidden="1" customHeight="1" x14ac:dyDescent="0.3">
      <c r="C21" s="35"/>
      <c r="D21" s="4" t="s">
        <v>23</v>
      </c>
      <c r="E21" s="4" t="str">
        <f>TEXT(ROUND(F21,4),"0.0000") &amp; " ± " &amp; TEXT(ROUND(G21*100,2),"0.00")</f>
        <v>0.5669 ± 24.92</v>
      </c>
      <c r="F21" s="4">
        <f>SUMIFS(Data!$I:$I,Data!$H:$H,E$9,Data!$A:$A,$B$6,Data!$B:$B,$B$17,Data!$C:$C,$B$5,Data!$D:$D,$B$4,Data!$E:$E,$B$7,Data!$F:$F,$B$2,Data!$G:$G,$B$3)</f>
        <v>0.56693365024508302</v>
      </c>
      <c r="G21" s="4">
        <f>SUMIFS(Data!$J:$J,Data!$H:$H,E$9,Data!$A:$A,$B$6,Data!$B:$B,$B$17,Data!$C:$C,$B$5,Data!$D:$D,$B$4,Data!$E:$E,$B$7,Data!$F:$F,$B$2,Data!$G:$G,$B$3)</f>
        <v>0.24918471285605101</v>
      </c>
      <c r="H21" s="4" t="b">
        <f>MAX($F21,$J21,$N21,$R21)=F21</f>
        <v>0</v>
      </c>
      <c r="I21" s="4" t="str">
        <f>TEXT(ROUND(J21,4),"0.0000") &amp; " ± " &amp; TEXT(ROUND(K21*100,2),"0.00")</f>
        <v>0.6365 ± 32.36</v>
      </c>
      <c r="J21" s="4">
        <f>SUMIFS(Data!$I:$I,Data!$H:$H,I$9,Data!$A:$A,$B$6,Data!$B:$B,$B$17,Data!$C:$C,$B$5,Data!$D:$D,$B$4,Data!$E:$E,$B$7,Data!$F:$F,$B$2,Data!$G:$G,$B$3)</f>
        <v>0.63646553684713303</v>
      </c>
      <c r="K21" s="4">
        <f>SUMIFS(Data!$J:$J,Data!$H:$H,I$9,Data!$A:$A,$B$6,Data!$B:$B,$B$17,Data!$C:$C,$B$5,Data!$D:$D,$B$4,Data!$E:$E,$B$7,Data!$F:$F,$B$2,Data!$G:$G,$B$3)</f>
        <v>0.32361058055506497</v>
      </c>
      <c r="L21" s="4" t="b">
        <f>MAX($F21,$J21,$N21,$R21)=J21</f>
        <v>1</v>
      </c>
      <c r="M21" s="4" t="str">
        <f>TEXT(ROUND(N21,4),"0.0000") &amp; " ± " &amp; TEXT(ROUND(O21*100,2),"0.00")</f>
        <v>0.5815 ± 31.15</v>
      </c>
      <c r="N21" s="4">
        <f>SUMIFS(Data!$I:$I,Data!$H:$H,M$9,Data!$A:$A,$B$6,Data!$B:$B,$B$17,Data!$C:$C,$B$5,Data!$D:$D,$B$4,Data!$E:$E,$B$7,Data!$F:$F,$B$2,Data!$G:$G,$B$3)</f>
        <v>0.58153879054681801</v>
      </c>
      <c r="O21" s="4">
        <f>SUMIFS(Data!$J:$J,Data!$H:$H,M$9,Data!$A:$A,$B$6,Data!$B:$B,$B$17,Data!$C:$C,$B$5,Data!$D:$D,$B$4,Data!$E:$E,$B$7,Data!$F:$F,$B$2,Data!$G:$G,$B$3)</f>
        <v>0.31152180649934502</v>
      </c>
      <c r="P21" s="4" t="b">
        <f>MAX($F21,$J21,$N21,$R21)=N21</f>
        <v>0</v>
      </c>
      <c r="Q21" s="5" t="str">
        <f>TEXT(ROUND(R21,4),"0.0000") &amp; " ± " &amp; TEXT(ROUND(S21*100,2),"0.00")</f>
        <v>0.0000 ± 0.00</v>
      </c>
      <c r="R21" s="11">
        <f>SUMIFS(Data!$I:$I,Data!$H:$H,Q$9,Data!$A:$A,$B$6,Data!$B:$B,$B$17,Data!$C:$C,$B$5,Data!$D:$D,$B$4,Data!$E:$E,$B$7,Data!$F:$F,$B$2,Data!$G:$G,$B$3)</f>
        <v>0</v>
      </c>
      <c r="S21" s="2">
        <f>SUMIFS(Data!$J:$J,Data!$H:$H,Q$9,Data!$A:$A,$B$6,Data!$B:$B,$B$17,Data!$C:$C,$B$5,Data!$D:$D,$B$4,Data!$E:$E,$B$7,Data!$F:$F,$B$2,Data!$G:$G,$B$3)</f>
        <v>0</v>
      </c>
      <c r="T21" s="2" t="b">
        <f>MAX($F21,$J21,$N21,$R21)=R21</f>
        <v>0</v>
      </c>
    </row>
    <row r="22" spans="2:20" ht="19.95" hidden="1" customHeight="1" x14ac:dyDescent="0.3">
      <c r="C22" s="35"/>
      <c r="D22" s="2" t="s">
        <v>24</v>
      </c>
      <c r="E22" s="2" t="str">
        <f t="shared" ref="E22:E23" si="20">TEXT(ROUND(F22,4),"0.0000") &amp; " ± " &amp; TEXT(ROUND(G22*100,2),"0.00")</f>
        <v>0.3987 ± 16.99</v>
      </c>
      <c r="F22" s="2">
        <f>SUMIFS(Data!$K:$K,Data!$H:$H,E$9,Data!$A:$A,$B$6,Data!$B:$B,$B$17,Data!$C:$C,$B$5,Data!$D:$D,$B$4,Data!$E:$E,$B$7,Data!$F:$F,$B$2,Data!$G:$G,$B$3)</f>
        <v>0.39873012508169398</v>
      </c>
      <c r="G22" s="2">
        <f>SUMIFS(Data!$L:$L,Data!$H:$H,E$9,Data!$A:$A,$B$6,Data!$B:$B,$B$17,Data!$C:$C,$B$5,Data!$D:$D,$B$4,Data!$E:$E,$B$7,Data!$F:$F,$B$2,Data!$G:$G,$B$3)</f>
        <v>0.16988968024690099</v>
      </c>
      <c r="H22" s="2" t="b">
        <f t="shared" ref="H22:H23" si="21">MAX($F22,$J22,$N22,$R22)=F22</f>
        <v>0</v>
      </c>
      <c r="I22" s="2" t="str">
        <f t="shared" ref="I22:I23" si="22">TEXT(ROUND(J22,4),"0.0000") &amp; " ± " &amp; TEXT(ROUND(K22*100,2),"0.00")</f>
        <v>0.4804 ± 31.36</v>
      </c>
      <c r="J22" s="2">
        <f>SUMIFS(Data!$K:$K,Data!$H:$H,I$9,Data!$A:$A,$B$6,Data!$B:$B,$B$17,Data!$C:$C,$B$5,Data!$D:$D,$B$4,Data!$E:$E,$B$7,Data!$F:$F,$B$2,Data!$G:$G,$B$3)</f>
        <v>0.48039387441058601</v>
      </c>
      <c r="K22" s="2">
        <f>SUMIFS(Data!$L:$L,Data!$H:$H,I$9,Data!$A:$A,$B$6,Data!$B:$B,$B$17,Data!$C:$C,$B$5,Data!$D:$D,$B$4,Data!$E:$E,$B$7,Data!$F:$F,$B$2,Data!$G:$G,$B$3)</f>
        <v>0.31363489912501002</v>
      </c>
      <c r="L22" s="2" t="b">
        <f t="shared" ref="L22:L23" si="23">MAX($F22,$J22,$N22,$R22)=J22</f>
        <v>1</v>
      </c>
      <c r="M22" s="2" t="str">
        <f t="shared" ref="M22:M23" si="24">TEXT(ROUND(N22,4),"0.0000") &amp; " ± " &amp; TEXT(ROUND(O22*100,2),"0.00")</f>
        <v>0.4292 ± 27.33</v>
      </c>
      <c r="N22" s="2">
        <f>SUMIFS(Data!$K:$K,Data!$H:$H,M$9,Data!$A:$A,$B$6,Data!$B:$B,$B$17,Data!$C:$C,$B$5,Data!$D:$D,$B$4,Data!$E:$E,$B$7,Data!$F:$F,$B$2,Data!$G:$G,$B$3)</f>
        <v>0.42922150818872501</v>
      </c>
      <c r="O22" s="2">
        <f>SUMIFS(Data!$L:$L,Data!$H:$H,M$9,Data!$A:$A,$B$6,Data!$B:$B,$B$17,Data!$C:$C,$B$5,Data!$D:$D,$B$4,Data!$E:$E,$B$7,Data!$F:$F,$B$2,Data!$G:$G,$B$3)</f>
        <v>0.27334911657793298</v>
      </c>
      <c r="P22" s="2" t="b">
        <f t="shared" ref="P22:P23" si="25">MAX($F22,$J22,$N22,$R22)=N22</f>
        <v>0</v>
      </c>
      <c r="Q22" s="12" t="str">
        <f t="shared" ref="Q22:Q23" si="26">TEXT(ROUND(R22,4),"0.0000") &amp; " ± " &amp; TEXT(ROUND(S22*100,2),"0.00")</f>
        <v>0.0000 ± 0.00</v>
      </c>
      <c r="R22" s="11">
        <f>SUMIFS(Data!$K:$K,Data!$H:$H,Q$9,Data!$A:$A,$B$6,Data!$B:$B,$B$17,Data!$C:$C,$B$5,Data!$D:$D,$B$4,Data!$E:$E,$B$7,Data!$F:$F,$B$2,Data!$G:$G,$B$3)</f>
        <v>0</v>
      </c>
      <c r="S22" s="2">
        <f>SUMIFS(Data!$L:$L,Data!$H:$H,Q$9,Data!$A:$A,$B$6,Data!$B:$B,$B$17,Data!$C:$C,$B$5,Data!$D:$D,$B$4,Data!$E:$E,$B$7,Data!$F:$F,$B$2,Data!$G:$G,$B$3)</f>
        <v>0</v>
      </c>
      <c r="T22" s="2" t="b">
        <f t="shared" ref="T22:T23" si="27">MAX($F22,$J22,$N22,$R22)=R22</f>
        <v>0</v>
      </c>
    </row>
    <row r="23" spans="2:20" ht="19.95" hidden="1" customHeight="1" thickBot="1" x14ac:dyDescent="0.35">
      <c r="C23" s="36"/>
      <c r="D23" s="23" t="s">
        <v>25</v>
      </c>
      <c r="E23" s="23" t="str">
        <f t="shared" si="20"/>
        <v>0.4805 ± 16.28</v>
      </c>
      <c r="F23" s="23">
        <f>SUMIFS(Data!$M:$M,Data!$H:$H,E$9,Data!$A:$A,$B$6,Data!$B:$B,$B$17,Data!$C:$C,$B$5,Data!$D:$D,$B$4,Data!$E:$E,$B$7,Data!$F:$F,$B$2,Data!$G:$G,$B$3)</f>
        <v>0.48054162779968301</v>
      </c>
      <c r="G23" s="23">
        <f>SUMIFS(Data!$N:$N,Data!$H:$H,E$9,Data!$A:$A,$B$6,Data!$B:$B,$B$17,Data!$C:$C,$B$5,Data!$D:$D,$B$4,Data!$E:$E,$B$7,Data!$F:$F,$B$2,Data!$G:$G,$B$3)</f>
        <v>0.162805040448497</v>
      </c>
      <c r="H23" s="23" t="b">
        <f t="shared" si="21"/>
        <v>1</v>
      </c>
      <c r="I23" s="23" t="str">
        <f t="shared" si="22"/>
        <v>0.4648 ± 33.44</v>
      </c>
      <c r="J23" s="23">
        <f>SUMIFS(Data!$M:$M,Data!$H:$H,I$9,Data!$A:$A,$B$6,Data!$B:$B,$B$17,Data!$C:$C,$B$5,Data!$D:$D,$B$4,Data!$E:$E,$B$7,Data!$F:$F,$B$2,Data!$G:$G,$B$3)</f>
        <v>0.46484159555294902</v>
      </c>
      <c r="K23" s="23">
        <f>SUMIFS(Data!$N:$N,Data!$H:$H,I$9,Data!$A:$A,$B$6,Data!$B:$B,$B$17,Data!$C:$C,$B$5,Data!$D:$D,$B$4,Data!$E:$E,$B$7,Data!$F:$F,$B$2,Data!$G:$G,$B$3)</f>
        <v>0.33441937877993</v>
      </c>
      <c r="L23" s="23" t="b">
        <f t="shared" si="23"/>
        <v>0</v>
      </c>
      <c r="M23" s="23" t="str">
        <f t="shared" si="24"/>
        <v>0.4556 ± 28.61</v>
      </c>
      <c r="N23" s="23">
        <f>SUMIFS(Data!$M:$M,Data!$H:$H,M$9,Data!$A:$A,$B$6,Data!$B:$B,$B$17,Data!$C:$C,$B$5,Data!$D:$D,$B$4,Data!$E:$E,$B$7,Data!$F:$F,$B$2,Data!$G:$G,$B$3)</f>
        <v>0.45556808032725898</v>
      </c>
      <c r="O23" s="23">
        <f>SUMIFS(Data!$N:$N,Data!$H:$H,M$9,Data!$A:$A,$B$6,Data!$B:$B,$B$17,Data!$C:$C,$B$5,Data!$D:$D,$B$4,Data!$E:$E,$B$7,Data!$F:$F,$B$2,Data!$G:$G,$B$3)</f>
        <v>0.28611583508718003</v>
      </c>
      <c r="P23" s="23" t="b">
        <f t="shared" si="25"/>
        <v>0</v>
      </c>
      <c r="Q23" s="24" t="str">
        <f t="shared" si="26"/>
        <v>0.0000 ± 0.00</v>
      </c>
      <c r="R23" s="11">
        <f>SUMIFS(Data!$M:$M,Data!$H:$H,Q$9,Data!$A:$A,$B$6,Data!$B:$B,$B$17,Data!$C:$C,$B$5,Data!$D:$D,$B$4,Data!$E:$E,$B$7,Data!$F:$F,$B$2,Data!$G:$G,$B$3)</f>
        <v>0</v>
      </c>
      <c r="S23" s="2">
        <f>SUMIFS(Data!$N:$N,Data!$H:$H,Q$9,Data!$A:$A,$B$6,Data!$B:$B,$B$17,Data!$C:$C,$B$5,Data!$D:$D,$B$4,Data!$E:$E,$B$7,Data!$F:$F,$B$2,Data!$G:$G,$B$3)</f>
        <v>0</v>
      </c>
      <c r="T23" s="2" t="b">
        <f t="shared" si="27"/>
        <v>0</v>
      </c>
    </row>
    <row r="24" spans="2:20" ht="19.95" customHeight="1" x14ac:dyDescent="0.3">
      <c r="B24" s="6" t="s">
        <v>60</v>
      </c>
      <c r="C24" s="37" t="s">
        <v>59</v>
      </c>
      <c r="D24" s="16" t="s">
        <v>3</v>
      </c>
      <c r="E24" s="16" t="str">
        <f>TEXT(ROUND(F24*100,4),"0.0000") &amp; " ± " &amp; TEXT(ROUND(G24*100,2),"0.00")</f>
        <v>54.2488 ± 23.56</v>
      </c>
      <c r="F24" s="16">
        <f>SUMIFS(Data!$I:$I,Data!$H:$H,E$9,Data!$A:$A,$B$6,Data!$B:$B,$B$24,Data!$C:$C,$B$5,Data!$D:$D,$B$4,Data!$E:$E,$B$7,Data!$F:$F,$B$2,Data!$G:$G,$B$3)</f>
        <v>0.54248786009711902</v>
      </c>
      <c r="G24" s="16">
        <f>SUMIFS(Data!$J:$J,Data!$H:$H,E$9,Data!$A:$A,$B$6,Data!$B:$B,$B$24,Data!$C:$C,$B$5,Data!$D:$D,$B$4,Data!$E:$E,$B$7,Data!$F:$F,$B$2,Data!$G:$G,$B$3)</f>
        <v>0.23559021617301901</v>
      </c>
      <c r="H24" s="16" t="b">
        <f>MAX($F24,$J24,$N24,$R24)=F24</f>
        <v>0</v>
      </c>
      <c r="I24" s="16" t="str">
        <f>TEXT(ROUND(J24*100,4),"0.0000") &amp; " ± " &amp; TEXT(ROUND(K24*100,2),"0.00")</f>
        <v>63.6466 ± 32.36</v>
      </c>
      <c r="J24" s="16">
        <f>SUMIFS(Data!$I:$I,Data!$H:$H,I$9,Data!$A:$A,$B$6,Data!$B:$B,$B$24,Data!$C:$C,$B$5,Data!$D:$D,$B$4,Data!$E:$E,$B$7,Data!$F:$F,$B$2,Data!$G:$G,$B$3)</f>
        <v>0.63646553684713303</v>
      </c>
      <c r="K24" s="16">
        <f>SUMIFS(Data!$J:$J,Data!$H:$H,I$9,Data!$A:$A,$B$6,Data!$B:$B,$B$24,Data!$C:$C,$B$5,Data!$D:$D,$B$4,Data!$E:$E,$B$7,Data!$F:$F,$B$2,Data!$G:$G,$B$3)</f>
        <v>0.32361058055506497</v>
      </c>
      <c r="L24" s="16" t="b">
        <f>MAX($F24,$J24,$N24,$R24)=J24</f>
        <v>1</v>
      </c>
      <c r="M24" s="16" t="str">
        <f>TEXT(ROUND(N24*100,4),"0.0000") &amp; " ± " &amp; TEXT(ROUND(O24*100,2),"0.00")</f>
        <v>56.6720 ± 32.17</v>
      </c>
      <c r="N24" s="16">
        <f>SUMIFS(Data!$I:$I,Data!$H:$H,M$9,Data!$A:$A,$B$6,Data!$B:$B,$B$24,Data!$C:$C,$B$5,Data!$D:$D,$B$4,Data!$E:$E,$B$7,Data!$F:$F,$B$2,Data!$G:$G,$B$3)</f>
        <v>0.56672026623786997</v>
      </c>
      <c r="O24" s="16">
        <f>SUMIFS(Data!$J:$J,Data!$H:$H,M$9,Data!$A:$A,$B$6,Data!$B:$B,$B$24,Data!$C:$C,$B$5,Data!$D:$D,$B$4,Data!$E:$E,$B$7,Data!$F:$F,$B$2,Data!$G:$G,$B$3)</f>
        <v>0.32174068833291602</v>
      </c>
      <c r="P24" s="16" t="b">
        <f>MAX($F24,$J24,$N24,$R24)=N24</f>
        <v>0</v>
      </c>
      <c r="Q24" s="17" t="str">
        <f>TEXT(ROUND(R24*100,4),"0.0000") &amp; " ± " &amp; TEXT(ROUND(S24*100,2),"0.00")</f>
        <v>0.0000 ± 0.00</v>
      </c>
      <c r="R24" s="11">
        <f>SUMIFS(Data!$I:$I,Data!$H:$H,Q$9,Data!$A:$A,$B$6,Data!$B:$B,$B$24,Data!$C:$C,$B$5,Data!$D:$D,$B$4,Data!$E:$E,$B$7,Data!$F:$F,$B$2,Data!$G:$G,$B$3)</f>
        <v>0</v>
      </c>
      <c r="S24" s="2">
        <f>SUMIFS(Data!$J:$J,Data!$H:$H,Q$9,Data!$A:$A,$B$6,Data!$B:$B,$B$24,Data!$C:$C,$B$5,Data!$D:$D,$B$4,Data!$E:$E,$B$7,Data!$F:$F,$B$2,Data!$G:$G,$B$3)</f>
        <v>0</v>
      </c>
      <c r="T24" s="2" t="b">
        <f>MAX($F24,$J24,$N24,$R24)=R24</f>
        <v>0</v>
      </c>
    </row>
    <row r="25" spans="2:20" ht="19.95" customHeight="1" x14ac:dyDescent="0.3">
      <c r="C25" s="38"/>
      <c r="D25" s="2" t="s">
        <v>4</v>
      </c>
      <c r="E25" s="2" t="str">
        <f t="shared" ref="E25:E27" si="28">TEXT(ROUND(F25*100,4),"0.0000") &amp; " ± " &amp; TEXT(ROUND(G25*100,2),"0.00")</f>
        <v>40.0070 ± 16.91</v>
      </c>
      <c r="F25" s="2">
        <f>SUMIFS(Data!$K:$K,Data!$H:$H,E$9,Data!$A:$A,$B$6,Data!$B:$B,$B$24,Data!$C:$C,$B$5,Data!$D:$D,$B$4,Data!$E:$E,$B$7,Data!$F:$F,$B$2,Data!$G:$G,$B$3)</f>
        <v>0.40006994206107399</v>
      </c>
      <c r="G25" s="2">
        <f>SUMIFS(Data!$L:$L,Data!$H:$H,E$9,Data!$A:$A,$B$6,Data!$B:$B,$B$24,Data!$C:$C,$B$5,Data!$D:$D,$B$4,Data!$E:$E,$B$7,Data!$F:$F,$B$2,Data!$G:$G,$B$3)</f>
        <v>0.16913652787558101</v>
      </c>
      <c r="H25" s="2" t="b">
        <f t="shared" ref="H25:H27" si="29">MAX($F25,$J25,$N25,$R25)=F25</f>
        <v>0</v>
      </c>
      <c r="I25" s="2" t="str">
        <f t="shared" ref="I25:I27" si="30">TEXT(ROUND(J25*100,4),"0.0000") &amp; " ± " &amp; TEXT(ROUND(K25*100,2),"0.00")</f>
        <v>48.0394 ± 31.36</v>
      </c>
      <c r="J25" s="2">
        <f>SUMIFS(Data!$K:$K,Data!$H:$H,I$9,Data!$A:$A,$B$6,Data!$B:$B,$B$24,Data!$C:$C,$B$5,Data!$D:$D,$B$4,Data!$E:$E,$B$7,Data!$F:$F,$B$2,Data!$G:$G,$B$3)</f>
        <v>0.48039387441058601</v>
      </c>
      <c r="K25" s="2">
        <f>SUMIFS(Data!$L:$L,Data!$H:$H,I$9,Data!$A:$A,$B$6,Data!$B:$B,$B$24,Data!$C:$C,$B$5,Data!$D:$D,$B$4,Data!$E:$E,$B$7,Data!$F:$F,$B$2,Data!$G:$G,$B$3)</f>
        <v>0.31363489912501002</v>
      </c>
      <c r="L25" s="2" t="b">
        <f t="shared" ref="L25:L27" si="31">MAX($F25,$J25,$N25,$R25)=J25</f>
        <v>1</v>
      </c>
      <c r="M25" s="2" t="str">
        <f t="shared" ref="M25:M27" si="32">TEXT(ROUND(N25*100,4),"0.0000") &amp; " ± " &amp; TEXT(ROUND(O25*100,2),"0.00")</f>
        <v>42.7592 ± 29.24</v>
      </c>
      <c r="N25" s="2">
        <f>SUMIFS(Data!$K:$K,Data!$H:$H,M$9,Data!$A:$A,$B$6,Data!$B:$B,$B$24,Data!$C:$C,$B$5,Data!$D:$D,$B$4,Data!$E:$E,$B$7,Data!$F:$F,$B$2,Data!$G:$G,$B$3)</f>
        <v>0.42759151389118499</v>
      </c>
      <c r="O25" s="2">
        <f>SUMIFS(Data!$L:$L,Data!$H:$H,M$9,Data!$A:$A,$B$6,Data!$B:$B,$B$24,Data!$C:$C,$B$5,Data!$D:$D,$B$4,Data!$E:$E,$B$7,Data!$F:$F,$B$2,Data!$G:$G,$B$3)</f>
        <v>0.292383117938948</v>
      </c>
      <c r="P25" s="2" t="b">
        <f t="shared" ref="P25:P27" si="33">MAX($F25,$J25,$N25,$R25)=N25</f>
        <v>0</v>
      </c>
      <c r="Q25" s="12" t="str">
        <f t="shared" ref="Q25:Q27" si="34">TEXT(ROUND(R25*100,4),"0.0000") &amp; " ± " &amp; TEXT(ROUND(S25*100,2),"0.00")</f>
        <v>0.0000 ± 0.00</v>
      </c>
      <c r="R25" s="11">
        <f>SUMIFS(Data!$K:$K,Data!$H:$H,Q$9,Data!$A:$A,$B$6,Data!$B:$B,$B$24,Data!$C:$C,$B$5,Data!$D:$D,$B$4,Data!$E:$E,$B$7,Data!$F:$F,$B$2,Data!$G:$G,$B$3)</f>
        <v>0</v>
      </c>
      <c r="S25" s="2">
        <f>SUMIFS(Data!$L:$L,Data!$H:$H,Q$9,Data!$A:$A,$B$6,Data!$B:$B,$B$24,Data!$C:$C,$B$5,Data!$D:$D,$B$4,Data!$E:$E,$B$7,Data!$F:$F,$B$2,Data!$G:$G,$B$3)</f>
        <v>0</v>
      </c>
      <c r="T25" s="2" t="b">
        <f t="shared" ref="T25:T27" si="35">MAX($F25,$J25,$N25,$R25)=R25</f>
        <v>0</v>
      </c>
    </row>
    <row r="26" spans="2:20" ht="19.95" customHeight="1" x14ac:dyDescent="0.3">
      <c r="C26" s="38"/>
      <c r="D26" s="19" t="s">
        <v>5</v>
      </c>
      <c r="E26" s="19" t="str">
        <f t="shared" si="28"/>
        <v>49.4344 ± 15.82</v>
      </c>
      <c r="F26" s="19">
        <f>SUMIFS(Data!$M:$M,Data!$H:$H,E$9,Data!$A:$A,$B$6,Data!$B:$B,$B$24,Data!$C:$C,$B$5,Data!$D:$D,$B$4,Data!$E:$E,$B$7,Data!$F:$F,$B$2,Data!$G:$G,$B$3)</f>
        <v>0.49434387906515098</v>
      </c>
      <c r="G26" s="19">
        <f>SUMIFS(Data!$N:$N,Data!$H:$H,E$9,Data!$A:$A,$B$6,Data!$B:$B,$B$24,Data!$C:$C,$B$5,Data!$D:$D,$B$4,Data!$E:$E,$B$7,Data!$F:$F,$B$2,Data!$G:$G,$B$3)</f>
        <v>0.158235408741113</v>
      </c>
      <c r="H26" s="19" t="b">
        <f t="shared" si="29"/>
        <v>1</v>
      </c>
      <c r="I26" s="19" t="str">
        <f t="shared" si="30"/>
        <v>46.4842 ± 33.44</v>
      </c>
      <c r="J26" s="19">
        <f>SUMIFS(Data!$M:$M,Data!$H:$H,I$9,Data!$A:$A,$B$6,Data!$B:$B,$B$24,Data!$C:$C,$B$5,Data!$D:$D,$B$4,Data!$E:$E,$B$7,Data!$F:$F,$B$2,Data!$G:$G,$B$3)</f>
        <v>0.46484159555294902</v>
      </c>
      <c r="K26" s="19">
        <f>SUMIFS(Data!$N:$N,Data!$H:$H,I$9,Data!$A:$A,$B$6,Data!$B:$B,$B$24,Data!$C:$C,$B$5,Data!$D:$D,$B$4,Data!$E:$E,$B$7,Data!$F:$F,$B$2,Data!$G:$G,$B$3)</f>
        <v>0.33441937877993</v>
      </c>
      <c r="L26" s="19" t="b">
        <f t="shared" si="31"/>
        <v>0</v>
      </c>
      <c r="M26" s="19" t="str">
        <f t="shared" si="32"/>
        <v>42.4187 ± 31.21</v>
      </c>
      <c r="N26" s="19">
        <f>SUMIFS(Data!$M:$M,Data!$H:$H,M$9,Data!$A:$A,$B$6,Data!$B:$B,$B$24,Data!$C:$C,$B$5,Data!$D:$D,$B$4,Data!$E:$E,$B$7,Data!$F:$F,$B$2,Data!$G:$G,$B$3)</f>
        <v>0.42418682988198397</v>
      </c>
      <c r="O26" s="19">
        <f>SUMIFS(Data!$N:$N,Data!$H:$H,M$9,Data!$A:$A,$B$6,Data!$B:$B,$B$24,Data!$C:$C,$B$5,Data!$D:$D,$B$4,Data!$E:$E,$B$7,Data!$F:$F,$B$2,Data!$G:$G,$B$3)</f>
        <v>0.31206204696546203</v>
      </c>
      <c r="P26" s="19" t="b">
        <f t="shared" si="33"/>
        <v>0</v>
      </c>
      <c r="Q26" s="25" t="str">
        <f t="shared" si="34"/>
        <v>0.0000 ± 0.00</v>
      </c>
      <c r="R26" s="11">
        <f>SUMIFS(Data!$M:$M,Data!$H:$H,Q$9,Data!$A:$A,$B$6,Data!$B:$B,$B$24,Data!$C:$C,$B$5,Data!$D:$D,$B$4,Data!$E:$E,$B$7,Data!$F:$F,$B$2,Data!$G:$G,$B$3)</f>
        <v>0</v>
      </c>
      <c r="S26" s="2">
        <f>SUMIFS(Data!$N:$N,Data!$H:$H,Q$9,Data!$A:$A,$B$6,Data!$B:$B,$B$24,Data!$C:$C,$B$5,Data!$D:$D,$B$4,Data!$E:$E,$B$7,Data!$F:$F,$B$2,Data!$G:$G,$B$3)</f>
        <v>0</v>
      </c>
      <c r="T26" s="2" t="b">
        <f t="shared" si="35"/>
        <v>0</v>
      </c>
    </row>
    <row r="27" spans="2:20" ht="19.95" customHeight="1" x14ac:dyDescent="0.3">
      <c r="C27" s="38"/>
      <c r="D27" s="2" t="s">
        <v>6</v>
      </c>
      <c r="E27" s="2" t="str">
        <f t="shared" si="28"/>
        <v>42.7717 ± 17.59</v>
      </c>
      <c r="F27" s="2">
        <f>SUMIFS(Data!$O:$O,Data!$H:$H,E$9,Data!$A:$A,$B$6,Data!$B:$B,$B$24,Data!$C:$C,$B$5,Data!$D:$D,$B$4,Data!$E:$E,$B$7,Data!$F:$F,$B$2,Data!$G:$G,$B$3)</f>
        <v>0.42771730375274503</v>
      </c>
      <c r="G27" s="2">
        <f>SUMIFS(Data!$P:$P,Data!$H:$H,E$9,Data!$A:$A,$B$6,Data!$B:$B,$B$24,Data!$C:$C,$B$5,Data!$D:$D,$B$4,Data!$E:$E,$B$7,Data!$F:$F,$B$2,Data!$G:$G,$B$3)</f>
        <v>0.17588216083147701</v>
      </c>
      <c r="H27" s="2" t="b">
        <f t="shared" si="29"/>
        <v>0</v>
      </c>
      <c r="I27" s="2" t="str">
        <f t="shared" si="30"/>
        <v>57.6139 ± 27.00</v>
      </c>
      <c r="J27" s="2">
        <f>SUMIFS(Data!$O:$O,Data!$H:$H,I$9,Data!$A:$A,$B$6,Data!$B:$B,$B$24,Data!$C:$C,$B$5,Data!$D:$D,$B$4,Data!$E:$E,$B$7,Data!$F:$F,$B$2,Data!$G:$G,$B$3)</f>
        <v>0.57613911396401096</v>
      </c>
      <c r="K27" s="2">
        <f>SUMIFS(Data!$P:$P,Data!$H:$H,I$9,Data!$A:$A,$B$6,Data!$B:$B,$B$24,Data!$C:$C,$B$5,Data!$D:$D,$B$4,Data!$E:$E,$B$7,Data!$F:$F,$B$2,Data!$G:$G,$B$3)</f>
        <v>0.26995721249155602</v>
      </c>
      <c r="L27" s="2" t="b">
        <f t="shared" si="31"/>
        <v>1</v>
      </c>
      <c r="M27" s="2" t="str">
        <f t="shared" si="32"/>
        <v>50.3235 ± 26.51</v>
      </c>
      <c r="N27" s="2">
        <f>SUMIFS(Data!$O:$O,Data!$H:$H,M$9,Data!$A:$A,$B$6,Data!$B:$B,$B$24,Data!$C:$C,$B$5,Data!$D:$D,$B$4,Data!$E:$E,$B$7,Data!$F:$F,$B$2,Data!$G:$G,$B$3)</f>
        <v>0.50323499230187896</v>
      </c>
      <c r="O27" s="2">
        <f>SUMIFS(Data!$P:$P,Data!$H:$H,M$9,Data!$A:$A,$B$6,Data!$B:$B,$B$24,Data!$C:$C,$B$5,Data!$D:$D,$B$4,Data!$E:$E,$B$7,Data!$F:$F,$B$2,Data!$G:$G,$B$3)</f>
        <v>0.26505982986318599</v>
      </c>
      <c r="P27" s="2" t="b">
        <f t="shared" si="33"/>
        <v>0</v>
      </c>
      <c r="Q27" s="12" t="str">
        <f t="shared" si="34"/>
        <v>0.0000 ± 0.00</v>
      </c>
      <c r="R27" s="11">
        <f>SUMIFS(Data!$O:$O,Data!$H:$H,Q$9,Data!$A:$A,$B$6,Data!$B:$B,$B$24,Data!$C:$C,$B$5,Data!$D:$D,$B$4,Data!$E:$E,$B$7,Data!$F:$F,$B$2,Data!$G:$G,$B$3)</f>
        <v>0</v>
      </c>
      <c r="S27" s="2">
        <f>SUMIFS(Data!$P:$P,Data!$H:$H,Q$9,Data!$A:$A,$B$6,Data!$B:$B,$B$24,Data!$C:$C,$B$5,Data!$D:$D,$B$4,Data!$E:$E,$B$7,Data!$F:$F,$B$2,Data!$G:$G,$B$3)</f>
        <v>0</v>
      </c>
      <c r="T27" s="2" t="b">
        <f t="shared" si="35"/>
        <v>0</v>
      </c>
    </row>
    <row r="28" spans="2:20" ht="19.95" hidden="1" customHeight="1" x14ac:dyDescent="0.3">
      <c r="C28" s="38"/>
      <c r="D28" s="19" t="s">
        <v>23</v>
      </c>
      <c r="E28" s="19" t="str">
        <f>TEXT(ROUND(F28,4),"0.0000") &amp; " ± " &amp; TEXT(ROUND(G28*100,2),"0.00")</f>
        <v>0.5425 ± 23.56</v>
      </c>
      <c r="F28" s="19">
        <f>SUMIFS(Data!$I:$I,Data!$H:$H,E$9,Data!$A:$A,$B$6,Data!$B:$B,$B$24,Data!$C:$C,$B$5,Data!$D:$D,$B$4,Data!$E:$E,$B$7,Data!$F:$F,$B$2,Data!$G:$G,$B$3)</f>
        <v>0.54248786009711902</v>
      </c>
      <c r="G28" s="19">
        <f>SUMIFS(Data!$J:$J,Data!$H:$H,E$9,Data!$A:$A,$B$6,Data!$B:$B,$B$24,Data!$C:$C,$B$5,Data!$D:$D,$B$4,Data!$E:$E,$B$7,Data!$F:$F,$B$2,Data!$G:$G,$B$3)</f>
        <v>0.23559021617301901</v>
      </c>
      <c r="H28" s="19" t="b">
        <f>MAX($F28,$J28,$N28,$R28)=F28</f>
        <v>0</v>
      </c>
      <c r="I28" s="19" t="str">
        <f>TEXT(ROUND(J28,4),"0.0000") &amp; " ± " &amp; TEXT(ROUND(K28*100,2),"0.00")</f>
        <v>0.6365 ± 32.36</v>
      </c>
      <c r="J28" s="19">
        <f>SUMIFS(Data!$I:$I,Data!$H:$H,I$9,Data!$A:$A,$B$6,Data!$B:$B,$B$24,Data!$C:$C,$B$5,Data!$D:$D,$B$4,Data!$E:$E,$B$7,Data!$F:$F,$B$2,Data!$G:$G,$B$3)</f>
        <v>0.63646553684713303</v>
      </c>
      <c r="K28" s="19">
        <f>SUMIFS(Data!$J:$J,Data!$H:$H,I$9,Data!$A:$A,$B$6,Data!$B:$B,$B$24,Data!$C:$C,$B$5,Data!$D:$D,$B$4,Data!$E:$E,$B$7,Data!$F:$F,$B$2,Data!$G:$G,$B$3)</f>
        <v>0.32361058055506497</v>
      </c>
      <c r="L28" s="19" t="b">
        <f>MAX($F28,$J28,$N28,$R28)=J28</f>
        <v>1</v>
      </c>
      <c r="M28" s="19" t="str">
        <f>TEXT(ROUND(N28,4),"0.0000") &amp; " ± " &amp; TEXT(ROUND(O28*100,2),"0.00")</f>
        <v>0.5667 ± 32.17</v>
      </c>
      <c r="N28" s="19">
        <f>SUMIFS(Data!$I:$I,Data!$H:$H,M$9,Data!$A:$A,$B$6,Data!$B:$B,$B$24,Data!$C:$C,$B$5,Data!$D:$D,$B$4,Data!$E:$E,$B$7,Data!$F:$F,$B$2,Data!$G:$G,$B$3)</f>
        <v>0.56672026623786997</v>
      </c>
      <c r="O28" s="19">
        <f>SUMIFS(Data!$J:$J,Data!$H:$H,M$9,Data!$A:$A,$B$6,Data!$B:$B,$B$24,Data!$C:$C,$B$5,Data!$D:$D,$B$4,Data!$E:$E,$B$7,Data!$F:$F,$B$2,Data!$G:$G,$B$3)</f>
        <v>0.32174068833291602</v>
      </c>
      <c r="P28" s="19" t="b">
        <f>MAX($F28,$J28,$N28,$R28)=N28</f>
        <v>0</v>
      </c>
      <c r="Q28" s="25" t="str">
        <f>TEXT(ROUND(R28,4),"0.0000") &amp; " ± " &amp; TEXT(ROUND(S28*100,2),"0.00")</f>
        <v>0.0000 ± 0.00</v>
      </c>
      <c r="R28" s="11">
        <f>SUMIFS(Data!$I:$I,Data!$H:$H,Q$9,Data!$A:$A,$B$6,Data!$B:$B,$B$24,Data!$C:$C,$B$5,Data!$D:$D,$B$4,Data!$E:$E,$B$7,Data!$F:$F,$B$2,Data!$G:$G,$B$3)</f>
        <v>0</v>
      </c>
      <c r="S28" s="2">
        <f>SUMIFS(Data!$J:$J,Data!$H:$H,Q$9,Data!$A:$A,$B$6,Data!$B:$B,$B$24,Data!$C:$C,$B$5,Data!$D:$D,$B$4,Data!$E:$E,$B$7,Data!$F:$F,$B$2,Data!$G:$G,$B$3)</f>
        <v>0</v>
      </c>
      <c r="T28" s="2" t="b">
        <f>MAX($F28,$J28,$N28,$R28)=R28</f>
        <v>0</v>
      </c>
    </row>
    <row r="29" spans="2:20" ht="19.95" hidden="1" customHeight="1" x14ac:dyDescent="0.3">
      <c r="C29" s="38"/>
      <c r="D29" s="2" t="s">
        <v>24</v>
      </c>
      <c r="E29" s="2" t="str">
        <f t="shared" ref="E29:E30" si="36">TEXT(ROUND(F29,4),"0.0000") &amp; " ± " &amp; TEXT(ROUND(G29*100,2),"0.00")</f>
        <v>0.4001 ± 16.91</v>
      </c>
      <c r="F29" s="2">
        <f>SUMIFS(Data!$K:$K,Data!$H:$H,E$9,Data!$A:$A,$B$6,Data!$B:$B,$B$24,Data!$C:$C,$B$5,Data!$D:$D,$B$4,Data!$E:$E,$B$7,Data!$F:$F,$B$2,Data!$G:$G,$B$3)</f>
        <v>0.40006994206107399</v>
      </c>
      <c r="G29" s="2">
        <f>SUMIFS(Data!$L:$L,Data!$H:$H,E$9,Data!$A:$A,$B$6,Data!$B:$B,$B$24,Data!$C:$C,$B$5,Data!$D:$D,$B$4,Data!$E:$E,$B$7,Data!$F:$F,$B$2,Data!$G:$G,$B$3)</f>
        <v>0.16913652787558101</v>
      </c>
      <c r="H29" s="2" t="b">
        <f t="shared" ref="H29:H30" si="37">MAX($F29,$J29,$N29,$R29)=F29</f>
        <v>0</v>
      </c>
      <c r="I29" s="2" t="str">
        <f t="shared" ref="I29:I30" si="38">TEXT(ROUND(J29,4),"0.0000") &amp; " ± " &amp; TEXT(ROUND(K29*100,2),"0.00")</f>
        <v>0.4804 ± 31.36</v>
      </c>
      <c r="J29" s="2">
        <f>SUMIFS(Data!$K:$K,Data!$H:$H,I$9,Data!$A:$A,$B$6,Data!$B:$B,$B$24,Data!$C:$C,$B$5,Data!$D:$D,$B$4,Data!$E:$E,$B$7,Data!$F:$F,$B$2,Data!$G:$G,$B$3)</f>
        <v>0.48039387441058601</v>
      </c>
      <c r="K29" s="2">
        <f>SUMIFS(Data!$L:$L,Data!$H:$H,I$9,Data!$A:$A,$B$6,Data!$B:$B,$B$24,Data!$C:$C,$B$5,Data!$D:$D,$B$4,Data!$E:$E,$B$7,Data!$F:$F,$B$2,Data!$G:$G,$B$3)</f>
        <v>0.31363489912501002</v>
      </c>
      <c r="L29" s="2" t="b">
        <f t="shared" ref="L29:L30" si="39">MAX($F29,$J29,$N29,$R29)=J29</f>
        <v>1</v>
      </c>
      <c r="M29" s="2" t="str">
        <f t="shared" ref="M29:M30" si="40">TEXT(ROUND(N29,4),"0.0000") &amp; " ± " &amp; TEXT(ROUND(O29*100,2),"0.00")</f>
        <v>0.4276 ± 29.24</v>
      </c>
      <c r="N29" s="2">
        <f>SUMIFS(Data!$K:$K,Data!$H:$H,M$9,Data!$A:$A,$B$6,Data!$B:$B,$B$24,Data!$C:$C,$B$5,Data!$D:$D,$B$4,Data!$E:$E,$B$7,Data!$F:$F,$B$2,Data!$G:$G,$B$3)</f>
        <v>0.42759151389118499</v>
      </c>
      <c r="O29" s="2">
        <f>SUMIFS(Data!$L:$L,Data!$H:$H,M$9,Data!$A:$A,$B$6,Data!$B:$B,$B$24,Data!$C:$C,$B$5,Data!$D:$D,$B$4,Data!$E:$E,$B$7,Data!$F:$F,$B$2,Data!$G:$G,$B$3)</f>
        <v>0.292383117938948</v>
      </c>
      <c r="P29" s="2" t="b">
        <f t="shared" ref="P29:P30" si="41">MAX($F29,$J29,$N29,$R29)=N29</f>
        <v>0</v>
      </c>
      <c r="Q29" s="12" t="str">
        <f t="shared" ref="Q29:Q30" si="42">TEXT(ROUND(R29,4),"0.0000") &amp; " ± " &amp; TEXT(ROUND(S29*100,2),"0.00")</f>
        <v>0.0000 ± 0.00</v>
      </c>
      <c r="R29" s="11">
        <f>SUMIFS(Data!$K:$K,Data!$H:$H,Q$9,Data!$A:$A,$B$6,Data!$B:$B,$B$24,Data!$C:$C,$B$5,Data!$D:$D,$B$4,Data!$E:$E,$B$7,Data!$F:$F,$B$2,Data!$G:$G,$B$3)</f>
        <v>0</v>
      </c>
      <c r="S29" s="2">
        <f>SUMIFS(Data!$L:$L,Data!$H:$H,Q$9,Data!$A:$A,$B$6,Data!$B:$B,$B$24,Data!$C:$C,$B$5,Data!$D:$D,$B$4,Data!$E:$E,$B$7,Data!$F:$F,$B$2,Data!$G:$G,$B$3)</f>
        <v>0</v>
      </c>
      <c r="T29" s="2" t="b">
        <f t="shared" ref="T29:T30" si="43">MAX($F29,$J29,$N29,$R29)=R29</f>
        <v>0</v>
      </c>
    </row>
    <row r="30" spans="2:20" ht="19.95" hidden="1" customHeight="1" thickBot="1" x14ac:dyDescent="0.35">
      <c r="C30" s="39"/>
      <c r="D30" s="26" t="s">
        <v>25</v>
      </c>
      <c r="E30" s="26" t="str">
        <f t="shared" si="36"/>
        <v>0.4943 ± 15.82</v>
      </c>
      <c r="F30" s="26">
        <f>SUMIFS(Data!$M:$M,Data!$H:$H,E$9,Data!$A:$A,$B$6,Data!$B:$B,$B$24,Data!$C:$C,$B$5,Data!$D:$D,$B$4,Data!$E:$E,$B$7,Data!$F:$F,$B$2,Data!$G:$G,$B$3)</f>
        <v>0.49434387906515098</v>
      </c>
      <c r="G30" s="26">
        <f>SUMIFS(Data!$N:$N,Data!$H:$H,E$9,Data!$A:$A,$B$6,Data!$B:$B,$B$24,Data!$C:$C,$B$5,Data!$D:$D,$B$4,Data!$E:$E,$B$7,Data!$F:$F,$B$2,Data!$G:$G,$B$3)</f>
        <v>0.158235408741113</v>
      </c>
      <c r="H30" s="26" t="b">
        <f t="shared" si="37"/>
        <v>1</v>
      </c>
      <c r="I30" s="26" t="str">
        <f t="shared" si="38"/>
        <v>0.4648 ± 33.44</v>
      </c>
      <c r="J30" s="26">
        <f>SUMIFS(Data!$M:$M,Data!$H:$H,I$9,Data!$A:$A,$B$6,Data!$B:$B,$B$24,Data!$C:$C,$B$5,Data!$D:$D,$B$4,Data!$E:$E,$B$7,Data!$F:$F,$B$2,Data!$G:$G,$B$3)</f>
        <v>0.46484159555294902</v>
      </c>
      <c r="K30" s="26">
        <f>SUMIFS(Data!$N:$N,Data!$H:$H,I$9,Data!$A:$A,$B$6,Data!$B:$B,$B$24,Data!$C:$C,$B$5,Data!$D:$D,$B$4,Data!$E:$E,$B$7,Data!$F:$F,$B$2,Data!$G:$G,$B$3)</f>
        <v>0.33441937877993</v>
      </c>
      <c r="L30" s="26" t="b">
        <f t="shared" si="39"/>
        <v>0</v>
      </c>
      <c r="M30" s="26" t="str">
        <f t="shared" si="40"/>
        <v>0.4242 ± 31.21</v>
      </c>
      <c r="N30" s="26">
        <f>SUMIFS(Data!$M:$M,Data!$H:$H,M$9,Data!$A:$A,$B$6,Data!$B:$B,$B$24,Data!$C:$C,$B$5,Data!$D:$D,$B$4,Data!$E:$E,$B$7,Data!$F:$F,$B$2,Data!$G:$G,$B$3)</f>
        <v>0.42418682988198397</v>
      </c>
      <c r="O30" s="26">
        <f>SUMIFS(Data!$N:$N,Data!$H:$H,M$9,Data!$A:$A,$B$6,Data!$B:$B,$B$24,Data!$C:$C,$B$5,Data!$D:$D,$B$4,Data!$E:$E,$B$7,Data!$F:$F,$B$2,Data!$G:$G,$B$3)</f>
        <v>0.31206204696546203</v>
      </c>
      <c r="P30" s="26" t="b">
        <f t="shared" si="41"/>
        <v>0</v>
      </c>
      <c r="Q30" s="27" t="str">
        <f t="shared" si="42"/>
        <v>0.0000 ± 0.00</v>
      </c>
      <c r="R30" s="11">
        <f>SUMIFS(Data!$M:$M,Data!$H:$H,Q$9,Data!$A:$A,$B$6,Data!$B:$B,$B$24,Data!$C:$C,$B$5,Data!$D:$D,$B$4,Data!$E:$E,$B$7,Data!$F:$F,$B$2,Data!$G:$G,$B$3)</f>
        <v>0</v>
      </c>
      <c r="S30" s="2">
        <f>SUMIFS(Data!$N:$N,Data!$H:$H,Q$9,Data!$A:$A,$B$6,Data!$B:$B,$B$24,Data!$C:$C,$B$5,Data!$D:$D,$B$4,Data!$E:$E,$B$7,Data!$F:$F,$B$2,Data!$G:$G,$B$3)</f>
        <v>0</v>
      </c>
      <c r="T30" s="2" t="b">
        <f t="shared" si="43"/>
        <v>0</v>
      </c>
    </row>
  </sheetData>
  <mergeCells count="3">
    <mergeCell ref="C17:C23"/>
    <mergeCell ref="C24:C30"/>
    <mergeCell ref="C10:C16"/>
  </mergeCells>
  <conditionalFormatting sqref="Q10:Q30">
    <cfRule type="expression" dxfId="3" priority="12">
      <formula>$T10=TRUE</formula>
    </cfRule>
  </conditionalFormatting>
  <conditionalFormatting sqref="M10:M30">
    <cfRule type="expression" dxfId="2" priority="11">
      <formula>$P10=TRUE</formula>
    </cfRule>
  </conditionalFormatting>
  <conditionalFormatting sqref="I10:I30">
    <cfRule type="expression" dxfId="1" priority="9">
      <formula>$L10=TRUE</formula>
    </cfRule>
  </conditionalFormatting>
  <conditionalFormatting sqref="E10:E30">
    <cfRule type="expression" dxfId="0" priority="10">
      <formula>$H10=TRUE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3</xdr:col>
                    <xdr:colOff>15240</xdr:colOff>
                    <xdr:row>1</xdr:row>
                    <xdr:rowOff>38100</xdr:rowOff>
                  </from>
                  <to>
                    <xdr:col>3</xdr:col>
                    <xdr:colOff>1158240</xdr:colOff>
                    <xdr:row>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Drop Down 3">
              <controlPr defaultSize="0" autoLine="0" autoPict="0">
                <anchor moveWithCells="1">
                  <from>
                    <xdr:col>3</xdr:col>
                    <xdr:colOff>15240</xdr:colOff>
                    <xdr:row>2</xdr:row>
                    <xdr:rowOff>22860</xdr:rowOff>
                  </from>
                  <to>
                    <xdr:col>3</xdr:col>
                    <xdr:colOff>1158240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Drop Down 4">
              <controlPr defaultSize="0" autoLine="0" autoPict="0" macro="[0]!Sheet3.DropDown4_Change">
                <anchor moveWithCells="1">
                  <from>
                    <xdr:col>3</xdr:col>
                    <xdr:colOff>15240</xdr:colOff>
                    <xdr:row>3</xdr:row>
                    <xdr:rowOff>22860</xdr:rowOff>
                  </from>
                  <to>
                    <xdr:col>3</xdr:col>
                    <xdr:colOff>1158240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Drop Down 5">
              <controlPr defaultSize="0" autoLine="0" autoPict="0">
                <anchor moveWithCells="1">
                  <from>
                    <xdr:col>3</xdr:col>
                    <xdr:colOff>15240</xdr:colOff>
                    <xdr:row>4</xdr:row>
                    <xdr:rowOff>30480</xdr:rowOff>
                  </from>
                  <to>
                    <xdr:col>3</xdr:col>
                    <xdr:colOff>1158240</xdr:colOff>
                    <xdr:row>4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Drop Down 6">
              <controlPr defaultSize="0" autoLine="0" autoPict="0">
                <anchor moveWithCells="1">
                  <from>
                    <xdr:col>3</xdr:col>
                    <xdr:colOff>15240</xdr:colOff>
                    <xdr:row>5</xdr:row>
                    <xdr:rowOff>38100</xdr:rowOff>
                  </from>
                  <to>
                    <xdr:col>3</xdr:col>
                    <xdr:colOff>1158240</xdr:colOff>
                    <xdr:row>5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Drop Down 7">
              <controlPr defaultSize="0" autoLine="0" autoPict="0">
                <anchor moveWithCells="1">
                  <from>
                    <xdr:col>3</xdr:col>
                    <xdr:colOff>15240</xdr:colOff>
                    <xdr:row>6</xdr:row>
                    <xdr:rowOff>45720</xdr:rowOff>
                  </from>
                  <to>
                    <xdr:col>3</xdr:col>
                    <xdr:colOff>1158240</xdr:colOff>
                    <xdr:row>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Sheet1.ImportSimulationResults">
                <anchor>
                  <from>
                    <xdr:col>4</xdr:col>
                    <xdr:colOff>685800</xdr:colOff>
                    <xdr:row>1</xdr:row>
                    <xdr:rowOff>7620</xdr:rowOff>
                  </from>
                  <to>
                    <xdr:col>8</xdr:col>
                    <xdr:colOff>320040</xdr:colOff>
                    <xdr:row>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Data</vt:lpstr>
      <vt:lpstr>Comparison</vt:lpstr>
      <vt:lpstr>ClassMode</vt:lpstr>
      <vt:lpstr>FastMode</vt:lpstr>
      <vt:lpstr>FilterMode</vt:lpstr>
      <vt:lpstr>LabelMode</vt:lpstr>
      <vt:lpstr>NormalMode</vt:lpstr>
      <vt:lpstr>RunMode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Hanifi</dc:creator>
  <cp:lastModifiedBy>Nikoo Amjadi</cp:lastModifiedBy>
  <dcterms:created xsi:type="dcterms:W3CDTF">2026-06-07T13:23:22Z</dcterms:created>
  <dcterms:modified xsi:type="dcterms:W3CDTF">2026-08-01T13:38:15Z</dcterms:modified>
</cp:coreProperties>
</file>