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o\Desktop\Thesis\Source\"/>
    </mc:Choice>
  </mc:AlternateContent>
  <xr:revisionPtr revIDLastSave="0" documentId="13_ncr:1_{83DF8F6D-7151-4844-B26A-5101D04AAE5B}" xr6:coauthVersionLast="47" xr6:coauthVersionMax="47" xr10:uidLastSave="{00000000-0000-0000-0000-000000000000}"/>
  <bookViews>
    <workbookView xWindow="-108" yWindow="-108" windowWidth="23256" windowHeight="12456" activeTab="1" xr2:uid="{8D592C9F-CC51-43DD-B2E3-0BF015735963}"/>
  </bookViews>
  <sheets>
    <sheet name="Sheet1" sheetId="1" r:id="rId1"/>
    <sheet name="Sheet2" sheetId="2" r:id="rId2"/>
  </sheets>
  <definedNames>
    <definedName name="_xlnm._FilterDatabase" localSheetId="0" hidden="1">Sheet1!$A$1:$K$25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2" l="1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K14" i="2"/>
  <c r="J14" i="2"/>
  <c r="I14" i="2"/>
  <c r="H14" i="2"/>
  <c r="K13" i="2"/>
  <c r="J13" i="2"/>
  <c r="I13" i="2"/>
  <c r="H13" i="2"/>
  <c r="K12" i="2"/>
  <c r="J12" i="2"/>
  <c r="I12" i="2"/>
  <c r="H12" i="2"/>
  <c r="K11" i="2"/>
  <c r="J11" i="2"/>
  <c r="I11" i="2"/>
  <c r="H11" i="2"/>
  <c r="D11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  <c r="O7" i="2"/>
  <c r="N7" i="2"/>
  <c r="M7" i="2"/>
  <c r="L7" i="2"/>
  <c r="O6" i="2"/>
  <c r="N6" i="2"/>
  <c r="M6" i="2"/>
  <c r="L6" i="2"/>
  <c r="O5" i="2"/>
  <c r="N5" i="2"/>
  <c r="M5" i="2"/>
  <c r="L5" i="2"/>
  <c r="O4" i="2"/>
  <c r="N4" i="2"/>
  <c r="M4" i="2"/>
  <c r="L4" i="2"/>
  <c r="K7" i="2"/>
  <c r="H4" i="2"/>
  <c r="J7" i="2"/>
  <c r="I7" i="2"/>
  <c r="H7" i="2"/>
  <c r="K6" i="2"/>
  <c r="J6" i="2"/>
  <c r="I6" i="2"/>
  <c r="H6" i="2"/>
  <c r="K5" i="2"/>
  <c r="J5" i="2"/>
  <c r="I5" i="2"/>
  <c r="H5" i="2"/>
  <c r="K4" i="2"/>
  <c r="J4" i="2"/>
  <c r="I4" i="2"/>
  <c r="D5" i="2"/>
  <c r="D6" i="2"/>
  <c r="D7" i="2"/>
  <c r="E5" i="2"/>
  <c r="E6" i="2"/>
  <c r="E7" i="2"/>
  <c r="F5" i="2"/>
  <c r="F6" i="2"/>
  <c r="F7" i="2"/>
  <c r="G5" i="2"/>
  <c r="G6" i="2"/>
  <c r="G7" i="2"/>
  <c r="G4" i="2"/>
  <c r="F4" i="2"/>
  <c r="E4" i="2"/>
  <c r="D4" i="2"/>
</calcChain>
</file>

<file path=xl/sharedStrings.xml><?xml version="1.0" encoding="utf-8"?>
<sst xmlns="http://schemas.openxmlformats.org/spreadsheetml/2006/main" count="149" uniqueCount="32">
  <si>
    <t>Model</t>
  </si>
  <si>
    <t>Acc_mean</t>
  </si>
  <si>
    <t>Acc_std</t>
  </si>
  <si>
    <t>F1_mean</t>
  </si>
  <si>
    <t>F1_std</t>
  </si>
  <si>
    <t>Prec_mean</t>
  </si>
  <si>
    <t>Prec_std</t>
  </si>
  <si>
    <t>Rec_mean</t>
  </si>
  <si>
    <t>Rec_std</t>
  </si>
  <si>
    <t>Run Type</t>
  </si>
  <si>
    <t>Data Type</t>
  </si>
  <si>
    <t>SVM</t>
  </si>
  <si>
    <t>XGBoost</t>
  </si>
  <si>
    <t>Random Forest</t>
  </si>
  <si>
    <t>KNN</t>
  </si>
  <si>
    <t>Raw</t>
  </si>
  <si>
    <t>Agg</t>
  </si>
  <si>
    <t>Win</t>
  </si>
  <si>
    <t>Raw + VG</t>
  </si>
  <si>
    <t>VG</t>
  </si>
  <si>
    <t>Model Name</t>
  </si>
  <si>
    <t>Accuracy (±std)</t>
  </si>
  <si>
    <t>F1 Score (±std)</t>
  </si>
  <si>
    <t>Precision (±std)</t>
  </si>
  <si>
    <t>Recall (±std)</t>
  </si>
  <si>
    <t>Input Mode</t>
  </si>
  <si>
    <t>Raw Features</t>
  </si>
  <si>
    <t>Visibility Graph Features</t>
  </si>
  <si>
    <t>Raw + Visibility Graph Features</t>
  </si>
  <si>
    <t>Run Mode</t>
  </si>
  <si>
    <t>Windowed</t>
  </si>
  <si>
    <t>Aggregated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</si>
</sst>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/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3" borderId="9" xfId="0" applyFill="1" applyBorder="1"/>
    <xf numFmtId="0" fontId="0" fillId="3" borderId="7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0A1F-9449-4A91-8C37-2E569624DE33}">
  <dimension ref="A1:K25"/>
  <sheetViews>
    <sheetView topLeftCell="A4" workbookViewId="0">
      <selection activeCell="C17" sqref="C17"/>
    </sheetView>
  </sheetViews>
  <sheetFormatPr defaultRowHeight="14.4" x14ac:dyDescent="0.3"/>
  <cols>
    <col min="1" max="1" width="8.88671875" bestFit="1" customWidth="1"/>
    <col min="2" max="2" width="9.5546875" bestFit="1" customWidth="1"/>
    <col min="3" max="3" width="14.44140625" bestFit="1" customWidth="1"/>
    <col min="4" max="6" width="12" bestFit="1" customWidth="1"/>
    <col min="7" max="7" width="12" customWidth="1"/>
    <col min="8" max="11" width="12" bestFit="1" customWidth="1"/>
  </cols>
  <sheetData>
    <row r="1" spans="1:11" x14ac:dyDescent="0.3">
      <c r="A1" s="2" t="s">
        <v>9</v>
      </c>
      <c r="B1" s="2" t="s">
        <v>10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3">
      <c r="A2" s="2" t="s">
        <v>16</v>
      </c>
      <c r="B2" s="2" t="s">
        <v>15</v>
      </c>
      <c r="C2" t="s">
        <v>12</v>
      </c>
      <c r="D2">
        <v>0.55749354005167895</v>
      </c>
      <c r="E2">
        <v>0.15348326060099099</v>
      </c>
      <c r="F2">
        <v>0.633120368004089</v>
      </c>
      <c r="G2">
        <v>0.15377250914937199</v>
      </c>
      <c r="H2">
        <v>0.52490771502399403</v>
      </c>
      <c r="I2">
        <v>0.16668560240673699</v>
      </c>
      <c r="J2">
        <v>0.86057585825027605</v>
      </c>
      <c r="K2">
        <v>0.17675025732223501</v>
      </c>
    </row>
    <row r="3" spans="1:11" x14ac:dyDescent="0.3">
      <c r="A3" s="2" t="s">
        <v>16</v>
      </c>
      <c r="B3" s="2" t="s">
        <v>15</v>
      </c>
      <c r="C3" t="s">
        <v>13</v>
      </c>
      <c r="D3">
        <v>0.56524547803617498</v>
      </c>
      <c r="E3">
        <v>0.157805312148043</v>
      </c>
      <c r="F3">
        <v>0.51837852070410195</v>
      </c>
      <c r="G3">
        <v>0.21897253334531999</v>
      </c>
      <c r="H3">
        <v>0.524750830564784</v>
      </c>
      <c r="I3">
        <v>0.23180912179789501</v>
      </c>
      <c r="J3">
        <v>0.58903654485049795</v>
      </c>
      <c r="K3">
        <v>0.30886126361202598</v>
      </c>
    </row>
    <row r="4" spans="1:11" x14ac:dyDescent="0.3">
      <c r="A4" s="2" t="s">
        <v>16</v>
      </c>
      <c r="B4" s="2" t="s">
        <v>15</v>
      </c>
      <c r="C4" t="s">
        <v>14</v>
      </c>
      <c r="D4">
        <v>0.44573643410852698</v>
      </c>
      <c r="E4">
        <v>0.144020632520451</v>
      </c>
      <c r="F4">
        <v>0.457372730628544</v>
      </c>
      <c r="G4">
        <v>0.17671043523787699</v>
      </c>
      <c r="H4">
        <v>0.41925987449243202</v>
      </c>
      <c r="I4">
        <v>0.16986342000034901</v>
      </c>
      <c r="J4">
        <v>0.56589147286821695</v>
      </c>
      <c r="K4">
        <v>0.26108384429446602</v>
      </c>
    </row>
    <row r="5" spans="1:11" x14ac:dyDescent="0.3">
      <c r="A5" s="2" t="s">
        <v>16</v>
      </c>
      <c r="B5" s="2" t="s">
        <v>15</v>
      </c>
      <c r="C5" t="s">
        <v>11</v>
      </c>
      <c r="D5">
        <v>0.51227390180878496</v>
      </c>
      <c r="E5">
        <v>0.16343796917110201</v>
      </c>
      <c r="F5">
        <v>0.43721433605154503</v>
      </c>
      <c r="G5">
        <v>0.21692111966841199</v>
      </c>
      <c r="H5">
        <v>0.484274640088593</v>
      </c>
      <c r="I5">
        <v>0.289640857037127</v>
      </c>
      <c r="J5">
        <v>0.46788482834994399</v>
      </c>
      <c r="K5">
        <v>0.267991474667366</v>
      </c>
    </row>
    <row r="6" spans="1:11" x14ac:dyDescent="0.3">
      <c r="A6" s="2" t="s">
        <v>16</v>
      </c>
      <c r="B6" s="2" t="s">
        <v>18</v>
      </c>
      <c r="C6" t="s">
        <v>12</v>
      </c>
      <c r="D6">
        <v>0.56007751937984496</v>
      </c>
      <c r="E6">
        <v>0.16339711095498999</v>
      </c>
      <c r="F6">
        <v>0.62272985412520299</v>
      </c>
      <c r="G6">
        <v>0.18710077850829199</v>
      </c>
      <c r="H6">
        <v>0.52248984865263903</v>
      </c>
      <c r="I6">
        <v>0.18390591881927101</v>
      </c>
      <c r="J6">
        <v>0.83189368770764105</v>
      </c>
      <c r="K6">
        <v>0.247371425901838</v>
      </c>
    </row>
    <row r="7" spans="1:11" x14ac:dyDescent="0.3">
      <c r="A7" s="2" t="s">
        <v>16</v>
      </c>
      <c r="B7" s="2" t="s">
        <v>18</v>
      </c>
      <c r="C7" t="s">
        <v>13</v>
      </c>
      <c r="D7">
        <v>0.52131782945736405</v>
      </c>
      <c r="E7">
        <v>0.17443535186131501</v>
      </c>
      <c r="F7">
        <v>0.43456491828584798</v>
      </c>
      <c r="G7">
        <v>0.242920266636416</v>
      </c>
      <c r="H7">
        <v>0.46484865263934999</v>
      </c>
      <c r="I7">
        <v>0.29316204016411401</v>
      </c>
      <c r="J7">
        <v>0.480121816168327</v>
      </c>
      <c r="K7">
        <v>0.30601421298699899</v>
      </c>
    </row>
    <row r="8" spans="1:11" x14ac:dyDescent="0.3">
      <c r="A8" s="2" t="s">
        <v>16</v>
      </c>
      <c r="B8" s="2" t="s">
        <v>18</v>
      </c>
      <c r="C8" t="s">
        <v>14</v>
      </c>
      <c r="D8">
        <v>0.46091731266149799</v>
      </c>
      <c r="E8">
        <v>0.18749714836460701</v>
      </c>
      <c r="F8">
        <v>0.43192053424611498</v>
      </c>
      <c r="G8">
        <v>0.21289700431233999</v>
      </c>
      <c r="H8">
        <v>0.43169988925802799</v>
      </c>
      <c r="I8">
        <v>0.23655927930680301</v>
      </c>
      <c r="J8">
        <v>0.48964562569213699</v>
      </c>
      <c r="K8">
        <v>0.25908269364331399</v>
      </c>
    </row>
    <row r="9" spans="1:11" x14ac:dyDescent="0.3">
      <c r="A9" s="2" t="s">
        <v>16</v>
      </c>
      <c r="B9" s="2" t="s">
        <v>18</v>
      </c>
      <c r="C9" t="s">
        <v>11</v>
      </c>
      <c r="D9">
        <v>0.44864341085271298</v>
      </c>
      <c r="E9">
        <v>0.184513245718608</v>
      </c>
      <c r="F9">
        <v>0.36692842041679202</v>
      </c>
      <c r="G9">
        <v>0.23346928268556499</v>
      </c>
      <c r="H9">
        <v>0.38433001107419701</v>
      </c>
      <c r="I9">
        <v>0.27197080272274599</v>
      </c>
      <c r="J9">
        <v>0.396400885935769</v>
      </c>
      <c r="K9">
        <v>0.27895538753580901</v>
      </c>
    </row>
    <row r="10" spans="1:11" x14ac:dyDescent="0.3">
      <c r="A10" s="2" t="s">
        <v>17</v>
      </c>
      <c r="B10" s="2" t="s">
        <v>18</v>
      </c>
      <c r="C10" t="s">
        <v>12</v>
      </c>
      <c r="D10">
        <v>0.50426114728527605</v>
      </c>
      <c r="E10">
        <v>0.15131712264172001</v>
      </c>
      <c r="F10">
        <v>0.64818409825371703</v>
      </c>
      <c r="G10">
        <v>0.14027953261606901</v>
      </c>
      <c r="H10">
        <v>0.50530406401564198</v>
      </c>
      <c r="I10">
        <v>0.154166654131004</v>
      </c>
      <c r="J10">
        <v>0.96547197696228604</v>
      </c>
      <c r="K10">
        <v>8.1709576276789805E-2</v>
      </c>
    </row>
    <row r="11" spans="1:11" x14ac:dyDescent="0.3">
      <c r="A11" s="2" t="s">
        <v>17</v>
      </c>
      <c r="B11" s="2" t="s">
        <v>18</v>
      </c>
      <c r="C11" t="s">
        <v>14</v>
      </c>
      <c r="D11">
        <v>0.48813053300051501</v>
      </c>
      <c r="E11">
        <v>5.0153712663033499E-2</v>
      </c>
      <c r="F11">
        <v>0.471680412439138</v>
      </c>
      <c r="G11">
        <v>0.110014430989287</v>
      </c>
      <c r="H11">
        <v>0.49698374253069399</v>
      </c>
      <c r="I11">
        <v>0.16816091184656701</v>
      </c>
      <c r="J11">
        <v>0.481285133967431</v>
      </c>
      <c r="K11">
        <v>0.105555248284908</v>
      </c>
    </row>
    <row r="12" spans="1:11" x14ac:dyDescent="0.3">
      <c r="A12" s="2" t="s">
        <v>17</v>
      </c>
      <c r="B12" s="2" t="s">
        <v>18</v>
      </c>
      <c r="C12" t="s">
        <v>11</v>
      </c>
      <c r="D12">
        <v>0.48651251712173699</v>
      </c>
      <c r="E12">
        <v>6.1300611664400699E-2</v>
      </c>
      <c r="F12">
        <v>0.45756225620271102</v>
      </c>
      <c r="G12">
        <v>0.110687080845892</v>
      </c>
      <c r="H12">
        <v>0.49912411602183598</v>
      </c>
      <c r="I12">
        <v>0.158689431148544</v>
      </c>
      <c r="J12">
        <v>0.47108630420465097</v>
      </c>
      <c r="K12">
        <v>0.15972950135140701</v>
      </c>
    </row>
    <row r="13" spans="1:11" x14ac:dyDescent="0.3">
      <c r="A13" s="2" t="s">
        <v>17</v>
      </c>
      <c r="B13" s="2" t="s">
        <v>18</v>
      </c>
      <c r="C13" t="s">
        <v>13</v>
      </c>
      <c r="D13">
        <v>0.48170220925510099</v>
      </c>
      <c r="E13">
        <v>9.1362751528122302E-2</v>
      </c>
      <c r="F13">
        <v>0.442517647183027</v>
      </c>
      <c r="G13">
        <v>0.18699811887828899</v>
      </c>
      <c r="H13">
        <v>0.48638172712371303</v>
      </c>
      <c r="I13">
        <v>0.18774211554039699</v>
      </c>
      <c r="J13">
        <v>0.49533571042811497</v>
      </c>
      <c r="K13">
        <v>0.27305047207241701</v>
      </c>
    </row>
    <row r="14" spans="1:11" x14ac:dyDescent="0.3">
      <c r="A14" s="2" t="s">
        <v>17</v>
      </c>
      <c r="B14" s="2" t="s">
        <v>15</v>
      </c>
      <c r="C14" t="s">
        <v>12</v>
      </c>
      <c r="D14">
        <v>0.50554308099894696</v>
      </c>
      <c r="E14">
        <v>0.149437193816157</v>
      </c>
      <c r="F14">
        <v>0.64977656476882695</v>
      </c>
      <c r="G14">
        <v>0.13889635397580399</v>
      </c>
      <c r="H14">
        <v>0.506643137228177</v>
      </c>
      <c r="I14">
        <v>0.15330933742574501</v>
      </c>
      <c r="J14">
        <v>0.97001826162678495</v>
      </c>
      <c r="K14">
        <v>8.7328320605564599E-2</v>
      </c>
    </row>
    <row r="15" spans="1:11" x14ac:dyDescent="0.3">
      <c r="A15" s="2" t="s">
        <v>17</v>
      </c>
      <c r="B15" s="2" t="s">
        <v>15</v>
      </c>
      <c r="C15" t="s">
        <v>14</v>
      </c>
      <c r="D15">
        <v>0.49129482313377798</v>
      </c>
      <c r="E15">
        <v>7.5358831299851894E-2</v>
      </c>
      <c r="F15">
        <v>0.48393782367103999</v>
      </c>
      <c r="G15">
        <v>0.121118662713112</v>
      </c>
      <c r="H15">
        <v>0.503360373519258</v>
      </c>
      <c r="I15">
        <v>0.16494107339281899</v>
      </c>
      <c r="J15">
        <v>0.50658366714391301</v>
      </c>
      <c r="K15">
        <v>0.128437923303589</v>
      </c>
    </row>
    <row r="16" spans="1:11" x14ac:dyDescent="0.3">
      <c r="A16" s="2" t="s">
        <v>17</v>
      </c>
      <c r="B16" s="2" t="s">
        <v>15</v>
      </c>
      <c r="C16" t="s">
        <v>11</v>
      </c>
      <c r="D16">
        <v>0.492532923063976</v>
      </c>
      <c r="E16">
        <v>6.8868775282144898E-2</v>
      </c>
      <c r="F16">
        <v>0.47788124452720798</v>
      </c>
      <c r="G16">
        <v>0.13079234076138799</v>
      </c>
      <c r="H16">
        <v>0.51273895300985906</v>
      </c>
      <c r="I16">
        <v>0.179412442059288</v>
      </c>
      <c r="J16">
        <v>0.50876684555114104</v>
      </c>
      <c r="K16">
        <v>0.18044341420302301</v>
      </c>
    </row>
    <row r="17" spans="1:11" x14ac:dyDescent="0.3">
      <c r="A17" s="2" t="s">
        <v>17</v>
      </c>
      <c r="B17" s="2" t="s">
        <v>15</v>
      </c>
      <c r="C17" t="s">
        <v>13</v>
      </c>
      <c r="D17">
        <v>0.48071066233383197</v>
      </c>
      <c r="E17">
        <v>9.6316347525856702E-2</v>
      </c>
      <c r="F17">
        <v>0.42856905378954502</v>
      </c>
      <c r="G17">
        <v>0.19728789970702901</v>
      </c>
      <c r="H17">
        <v>0.47769563083615801</v>
      </c>
      <c r="I17">
        <v>0.180074190093264</v>
      </c>
      <c r="J17">
        <v>0.47405878979592497</v>
      </c>
      <c r="K17">
        <v>0.26708632082406902</v>
      </c>
    </row>
    <row r="18" spans="1:11" x14ac:dyDescent="0.3">
      <c r="A18" s="2" t="s">
        <v>16</v>
      </c>
      <c r="B18" s="2" t="s">
        <v>19</v>
      </c>
      <c r="C18" t="s">
        <v>12</v>
      </c>
      <c r="D18">
        <v>0.51550387596899205</v>
      </c>
      <c r="E18">
        <v>0.17251811765168401</v>
      </c>
      <c r="F18">
        <v>0.59471665285618702</v>
      </c>
      <c r="G18">
        <v>0.18753211096234301</v>
      </c>
      <c r="H18">
        <v>0.49889258028792899</v>
      </c>
      <c r="I18">
        <v>0.20636506381518299</v>
      </c>
      <c r="J18">
        <v>0.80404208194905802</v>
      </c>
      <c r="K18">
        <v>0.20711232758545101</v>
      </c>
    </row>
    <row r="19" spans="1:11" x14ac:dyDescent="0.3">
      <c r="A19" s="2" t="s">
        <v>16</v>
      </c>
      <c r="B19" s="2" t="s">
        <v>19</v>
      </c>
      <c r="C19" t="s">
        <v>11</v>
      </c>
      <c r="D19">
        <v>0.53197674418604601</v>
      </c>
      <c r="E19">
        <v>0.18117650340232599</v>
      </c>
      <c r="F19">
        <v>0.49334076775937202</v>
      </c>
      <c r="G19">
        <v>0.178552174200312</v>
      </c>
      <c r="H19">
        <v>0.55495570321151699</v>
      </c>
      <c r="I19">
        <v>0.24335929593338099</v>
      </c>
      <c r="J19">
        <v>0.51561461794019903</v>
      </c>
      <c r="K19">
        <v>0.219269172902882</v>
      </c>
    </row>
    <row r="20" spans="1:11" x14ac:dyDescent="0.3">
      <c r="A20" s="2" t="s">
        <v>16</v>
      </c>
      <c r="B20" s="2" t="s">
        <v>19</v>
      </c>
      <c r="C20" t="s">
        <v>13</v>
      </c>
      <c r="D20">
        <v>0.53133074935400504</v>
      </c>
      <c r="E20">
        <v>0.155617057772441</v>
      </c>
      <c r="F20">
        <v>0.44240785054738502</v>
      </c>
      <c r="G20">
        <v>0.21885537992434601</v>
      </c>
      <c r="H20">
        <v>0.51589147286821702</v>
      </c>
      <c r="I20">
        <v>0.29171789544013399</v>
      </c>
      <c r="J20">
        <v>0.44158361018826098</v>
      </c>
      <c r="K20">
        <v>0.246619473264934</v>
      </c>
    </row>
    <row r="21" spans="1:11" x14ac:dyDescent="0.3">
      <c r="A21" s="2" t="s">
        <v>16</v>
      </c>
      <c r="B21" s="2" t="s">
        <v>19</v>
      </c>
      <c r="C21" t="s">
        <v>14</v>
      </c>
      <c r="D21">
        <v>0.48191214470284199</v>
      </c>
      <c r="E21">
        <v>0.21119980804774</v>
      </c>
      <c r="F21">
        <v>0.404829924597366</v>
      </c>
      <c r="G21">
        <v>0.288242341868583</v>
      </c>
      <c r="H21">
        <v>0.440669988925802</v>
      </c>
      <c r="I21">
        <v>0.325237869278242</v>
      </c>
      <c r="J21">
        <v>0.42059800664451802</v>
      </c>
      <c r="K21">
        <v>0.31620061780796399</v>
      </c>
    </row>
    <row r="22" spans="1:11" x14ac:dyDescent="0.3">
      <c r="A22" s="2" t="s">
        <v>17</v>
      </c>
      <c r="B22" s="2" t="s">
        <v>19</v>
      </c>
      <c r="C22" t="s">
        <v>12</v>
      </c>
      <c r="D22">
        <v>0.50674161242912497</v>
      </c>
      <c r="E22">
        <v>0.15380639937964799</v>
      </c>
      <c r="F22">
        <v>0.65347187856222799</v>
      </c>
      <c r="G22">
        <v>0.14079478301534401</v>
      </c>
      <c r="H22">
        <v>0.50617617192825404</v>
      </c>
      <c r="I22">
        <v>0.15554310177492101</v>
      </c>
      <c r="J22">
        <v>0.97941576029530397</v>
      </c>
      <c r="K22">
        <v>4.2865762445541897E-2</v>
      </c>
    </row>
    <row r="23" spans="1:11" x14ac:dyDescent="0.3">
      <c r="A23" s="2" t="s">
        <v>17</v>
      </c>
      <c r="B23" s="2" t="s">
        <v>19</v>
      </c>
      <c r="C23" t="s">
        <v>14</v>
      </c>
      <c r="D23">
        <v>0.51712587527708298</v>
      </c>
      <c r="E23">
        <v>4.6991288412863402E-2</v>
      </c>
      <c r="F23">
        <v>0.50329899393506905</v>
      </c>
      <c r="G23">
        <v>9.1894101185035507E-2</v>
      </c>
      <c r="H23">
        <v>0.52648682759423804</v>
      </c>
      <c r="I23">
        <v>0.158543303223005</v>
      </c>
      <c r="J23">
        <v>0.51440451495236905</v>
      </c>
      <c r="K23">
        <v>8.7907563856916102E-2</v>
      </c>
    </row>
    <row r="24" spans="1:11" x14ac:dyDescent="0.3">
      <c r="A24" s="2" t="s">
        <v>17</v>
      </c>
      <c r="B24" s="2" t="s">
        <v>19</v>
      </c>
      <c r="C24" t="s">
        <v>13</v>
      </c>
      <c r="D24">
        <v>0.50511695483430996</v>
      </c>
      <c r="E24">
        <v>9.9481054875894398E-2</v>
      </c>
      <c r="F24">
        <v>0.49316496933821302</v>
      </c>
      <c r="G24">
        <v>0.16571902851701201</v>
      </c>
      <c r="H24">
        <v>0.50696363972189695</v>
      </c>
      <c r="I24">
        <v>0.17293266377453201</v>
      </c>
      <c r="J24">
        <v>0.54520776996638798</v>
      </c>
      <c r="K24">
        <v>0.22612454444108299</v>
      </c>
    </row>
    <row r="25" spans="1:11" x14ac:dyDescent="0.3">
      <c r="A25" s="2" t="s">
        <v>17</v>
      </c>
      <c r="B25" s="2" t="s">
        <v>19</v>
      </c>
      <c r="C25" t="s">
        <v>11</v>
      </c>
      <c r="D25">
        <v>0.50545708678685097</v>
      </c>
      <c r="E25">
        <v>8.10938019695919E-2</v>
      </c>
      <c r="F25">
        <v>0.47635869070235798</v>
      </c>
      <c r="G25">
        <v>0.11746894334435699</v>
      </c>
      <c r="H25">
        <v>0.51719997660110495</v>
      </c>
      <c r="I25">
        <v>0.16539222280739799</v>
      </c>
      <c r="J25">
        <v>0.48597775861242198</v>
      </c>
      <c r="K25">
        <v>0.154065738941457</v>
      </c>
    </row>
  </sheetData>
  <autoFilter ref="A1:K25" xr:uid="{20B60A1F-9449-4A91-8C37-2E569624DE3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4F26-DE01-4BB2-9AB3-84FA32AC1323}">
  <dimension ref="A1:O14"/>
  <sheetViews>
    <sheetView tabSelected="1" topLeftCell="C1" workbookViewId="0">
      <selection activeCell="O13" sqref="O13"/>
    </sheetView>
  </sheetViews>
  <sheetFormatPr defaultRowHeight="14.4" x14ac:dyDescent="0.3"/>
  <cols>
    <col min="1" max="1" width="6.88671875" customWidth="1"/>
    <col min="2" max="2" width="16.5546875" customWidth="1"/>
    <col min="3" max="3" width="14.44140625" bestFit="1" customWidth="1"/>
    <col min="4" max="7" width="15.6640625" style="1" customWidth="1"/>
    <col min="8" max="15" width="15.6640625" customWidth="1"/>
  </cols>
  <sheetData>
    <row r="1" spans="1:15" ht="15" thickBot="1" x14ac:dyDescent="0.35">
      <c r="D1" s="1" t="s">
        <v>15</v>
      </c>
      <c r="E1" s="1" t="s">
        <v>15</v>
      </c>
      <c r="F1" s="1" t="s">
        <v>15</v>
      </c>
      <c r="G1" s="1" t="s">
        <v>15</v>
      </c>
      <c r="H1" t="s">
        <v>19</v>
      </c>
      <c r="I1" t="s">
        <v>19</v>
      </c>
      <c r="J1" t="s">
        <v>19</v>
      </c>
      <c r="K1" t="s">
        <v>19</v>
      </c>
      <c r="L1" t="s">
        <v>18</v>
      </c>
      <c r="M1" t="s">
        <v>18</v>
      </c>
      <c r="N1" t="s">
        <v>18</v>
      </c>
      <c r="O1" t="s">
        <v>18</v>
      </c>
    </row>
    <row r="2" spans="1:15" x14ac:dyDescent="0.3">
      <c r="B2" s="24" t="s">
        <v>29</v>
      </c>
      <c r="C2" s="4" t="s">
        <v>25</v>
      </c>
      <c r="D2" s="24" t="s">
        <v>26</v>
      </c>
      <c r="E2" s="25"/>
      <c r="F2" s="25"/>
      <c r="G2" s="26"/>
      <c r="H2" s="27" t="s">
        <v>27</v>
      </c>
      <c r="I2" s="28"/>
      <c r="J2" s="28"/>
      <c r="K2" s="29"/>
      <c r="L2" s="27" t="s">
        <v>28</v>
      </c>
      <c r="M2" s="28"/>
      <c r="N2" s="28"/>
      <c r="O2" s="29"/>
    </row>
    <row r="3" spans="1:15" x14ac:dyDescent="0.3">
      <c r="B3" s="32"/>
      <c r="C3" s="10" t="s">
        <v>20</v>
      </c>
      <c r="D3" s="9" t="s">
        <v>21</v>
      </c>
      <c r="E3" s="5" t="s">
        <v>22</v>
      </c>
      <c r="F3" s="5" t="s">
        <v>23</v>
      </c>
      <c r="G3" s="10" t="s">
        <v>24</v>
      </c>
      <c r="H3" s="9" t="s">
        <v>21</v>
      </c>
      <c r="I3" s="5" t="s">
        <v>22</v>
      </c>
      <c r="J3" s="5" t="s">
        <v>23</v>
      </c>
      <c r="K3" s="10" t="s">
        <v>24</v>
      </c>
      <c r="L3" s="9" t="s">
        <v>21</v>
      </c>
      <c r="M3" s="5" t="s">
        <v>22</v>
      </c>
      <c r="N3" s="5" t="s">
        <v>23</v>
      </c>
      <c r="O3" s="10" t="s">
        <v>24</v>
      </c>
    </row>
    <row r="4" spans="1:15" x14ac:dyDescent="0.3">
      <c r="A4" t="s">
        <v>17</v>
      </c>
      <c r="B4" s="30" t="s">
        <v>30</v>
      </c>
      <c r="C4" s="3" t="s">
        <v>11</v>
      </c>
      <c r="D4" s="13" t="str">
        <f>TEXT(ROUND(SUMIFS(Sheet1!$D:$D,Sheet1!$C:$C,$C4,Sheet1!$B:$B,D$1,Sheet1!$A:$A,$A4)*100,4),"0.0000") &amp; " ± " &amp; TEXT(ROUND(SUMIFS(Sheet1!$E:$E,Sheet1!$C:$C,$C4,Sheet1!$B:$B,D$1,Sheet1!$A:$A,$A4)*100,2),"0.00")</f>
        <v>49.2533 ± 6.89</v>
      </c>
      <c r="E4" s="7" t="str">
        <f>TEXT(ROUND(SUMIFS(Sheet1!$F:$F,Sheet1!$C:$C,$C4,Sheet1!$B:$B,E$1,Sheet1!$A:$A,$A4)*100,4),"0.0000") &amp; " ± " &amp; TEXT(ROUND(SUMIFS(Sheet1!$G:$G,Sheet1!$C:$C,$C4,Sheet1!$B:$B,E$1,Sheet1!$A:$A,$A4)*100,2),"0.00")</f>
        <v>47.7881 ± 13.08</v>
      </c>
      <c r="F4" s="6" t="str">
        <f>TEXT(ROUND(SUMIFS(Sheet1!$H:$H,Sheet1!$C:$C,$C4,Sheet1!$B:$B,F$1,Sheet1!$A:$A,$A4)*100,4),"0.0000") &amp; " ± " &amp; TEXT(ROUND(SUMIFS(Sheet1!$I:$I,Sheet1!$C:$C,$C4,Sheet1!$B:$B,F$1,Sheet1!$A:$A,$A4)*100,2),"0.00")</f>
        <v>51.2739 ± 17.94</v>
      </c>
      <c r="G4" s="14" t="str">
        <f>TEXT(ROUND(SUMIFS(Sheet1!$J:$J,Sheet1!$C:$C,$C4,Sheet1!$B:$B,G$1,Sheet1!$A:$A,$A4)*100,4),"0.0000") &amp; " ± " &amp; TEXT(ROUND(SUMIFS(Sheet1!$K:$K,Sheet1!$C:$C,$C4,Sheet1!$B:$B,G$1,Sheet1!$A:$A,$A4)*100,2),"0.00")</f>
        <v>50.8767 ± 18.04</v>
      </c>
      <c r="H4" s="13" t="str">
        <f>TEXT(ROUND(SUMIFS(Sheet1!$D:$D,Sheet1!$C:$C,$C4,Sheet1!$B:$B,H$1,Sheet1!$A:$A,$A4)*100,4),"0.0000") &amp; " ± " &amp; TEXT(ROUND(SUMIFS(Sheet1!$E:$E,Sheet1!$C:$C,$C4,Sheet1!$B:$B,H$1,Sheet1!$A:$A,$A4)*100,2),"0.00")</f>
        <v>50.5457 ± 8.11</v>
      </c>
      <c r="I4" s="7" t="str">
        <f>TEXT(ROUND(SUMIFS(Sheet1!$F:$F,Sheet1!$C:$C,$C4,Sheet1!$B:$B,I$1,Sheet1!$A:$A,$A4)*100,4),"0.0000") &amp; " ± " &amp; TEXT(ROUND(SUMIFS(Sheet1!$G:$G,Sheet1!$C:$C,$C4,Sheet1!$B:$B,I$1,Sheet1!$A:$A,$A4)*100,2),"0.00")</f>
        <v>47.6359 ± 11.75</v>
      </c>
      <c r="J4" s="7" t="str">
        <f>TEXT(ROUND(SUMIFS(Sheet1!$H:$H,Sheet1!$C:$C,$C4,Sheet1!$B:$B,J$1,Sheet1!$A:$A,$A4)*100,4),"0.0000") &amp; " ± " &amp; TEXT(ROUND(SUMIFS(Sheet1!$I:$I,Sheet1!$C:$C,$C4,Sheet1!$B:$B,J$1,Sheet1!$A:$A,$A4)*100,2),"0.00")</f>
        <v>51.7200 ± 16.54</v>
      </c>
      <c r="K4" s="14" t="str">
        <f>TEXT(ROUND(SUMIFS(Sheet1!$J:$J,Sheet1!$C:$C,$C4,Sheet1!$B:$B,K$1,Sheet1!$A:$A,$A4)*100,4),"0.0000") &amp; " ± " &amp; TEXT(ROUND(SUMIFS(Sheet1!$K:$K,Sheet1!$C:$C,$C4,Sheet1!$B:$B,K$1,Sheet1!$A:$A,$A4)*100,2),"0.00")</f>
        <v>48.5978 ± 15.41</v>
      </c>
      <c r="L4" s="13" t="str">
        <f>TEXT(ROUND(SUMIFS(Sheet1!$D:$D,Sheet1!$C:$C,$C4,Sheet1!$B:$B,L$1,Sheet1!$A:$A,$A4)*100,4),"0.0000") &amp; " ± " &amp; TEXT(ROUND(SUMIFS(Sheet1!$E:$E,Sheet1!$C:$C,$C4,Sheet1!$B:$B,L$1,Sheet1!$A:$A,$A4)*100,2),"0.00")</f>
        <v>48.6513 ± 6.13</v>
      </c>
      <c r="M4" s="7" t="str">
        <f>TEXT(ROUND(SUMIFS(Sheet1!$F:$F,Sheet1!$C:$C,$C4,Sheet1!$B:$B,M$1,Sheet1!$A:$A,$A4)*100,4),"0.0000") &amp; " ± " &amp; TEXT(ROUND(SUMIFS(Sheet1!$G:$G,Sheet1!$C:$C,$C4,Sheet1!$B:$B,M$1,Sheet1!$A:$A,$A4)*100,2),"0.00")</f>
        <v>45.7562 ± 11.07</v>
      </c>
      <c r="N4" s="7" t="str">
        <f>TEXT(ROUND(SUMIFS(Sheet1!$H:$H,Sheet1!$C:$C,$C4,Sheet1!$B:$B,N$1,Sheet1!$A:$A,$A4)*100,4),"0.0000") &amp; " ± " &amp; TEXT(ROUND(SUMIFS(Sheet1!$I:$I,Sheet1!$C:$C,$C4,Sheet1!$B:$B,N$1,Sheet1!$A:$A,$A4)*100,2),"0.00")</f>
        <v>49.9124 ± 15.87</v>
      </c>
      <c r="O4" s="14" t="str">
        <f>TEXT(ROUND(SUMIFS(Sheet1!$J:$J,Sheet1!$C:$C,$C4,Sheet1!$B:$B,O$1,Sheet1!$A:$A,$A4)*100,4),"0.0000") &amp; " ± " &amp; TEXT(ROUND(SUMIFS(Sheet1!$K:$K,Sheet1!$C:$C,$C4,Sheet1!$B:$B,O$1,Sheet1!$A:$A,$A4)*100,2),"0.00")</f>
        <v>47.1086 ± 15.97</v>
      </c>
    </row>
    <row r="5" spans="1:15" x14ac:dyDescent="0.3">
      <c r="A5" t="s">
        <v>17</v>
      </c>
      <c r="B5" s="30"/>
      <c r="C5" s="20" t="s">
        <v>13</v>
      </c>
      <c r="D5" s="11" t="str">
        <f>TEXT(ROUND(SUMIFS(Sheet1!$D:$D,Sheet1!$C:$C,$C5,Sheet1!$B:$B,D$1,Sheet1!$A:$A,$A5)*100,4),"0.0000") &amp; " ± " &amp; TEXT(ROUND(SUMIFS(Sheet1!$E:$E,Sheet1!$C:$C,$C5,Sheet1!$B:$B,D$1,Sheet1!$A:$A,$A5)*100,2),"0.00")</f>
        <v>48.0711 ± 9.63</v>
      </c>
      <c r="E5" s="8" t="str">
        <f>TEXT(ROUND(SUMIFS(Sheet1!$F:$F,Sheet1!$C:$C,$C5,Sheet1!$B:$B,E$1,Sheet1!$A:$A,$A5)*100,4),"0.0000") &amp; " ± " &amp; TEXT(ROUND(SUMIFS(Sheet1!$G:$G,Sheet1!$C:$C,$C5,Sheet1!$B:$B,E$1,Sheet1!$A:$A,$A5)*100,2),"0.00")</f>
        <v>42.8569 ± 19.73</v>
      </c>
      <c r="F5" s="8" t="str">
        <f>TEXT(ROUND(SUMIFS(Sheet1!$H:$H,Sheet1!$C:$C,$C5,Sheet1!$B:$B,F$1,Sheet1!$A:$A,$A5)*100,4),"0.0000") &amp; " ± " &amp; TEXT(ROUND(SUMIFS(Sheet1!$I:$I,Sheet1!$C:$C,$C5,Sheet1!$B:$B,F$1,Sheet1!$A:$A,$A5)*100,2),"0.00")</f>
        <v>47.7696 ± 18.01</v>
      </c>
      <c r="G5" s="12" t="str">
        <f>TEXT(ROUND(SUMIFS(Sheet1!$J:$J,Sheet1!$C:$C,$C5,Sheet1!$B:$B,G$1,Sheet1!$A:$A,$A5)*100,4),"0.0000") &amp; " ± " &amp; TEXT(ROUND(SUMIFS(Sheet1!$K:$K,Sheet1!$C:$C,$C5,Sheet1!$B:$B,G$1,Sheet1!$A:$A,$A5)*100,2),"0.00")</f>
        <v>47.4059 ± 26.71</v>
      </c>
      <c r="H5" s="11" t="str">
        <f>TEXT(ROUND(SUMIFS(Sheet1!$D:$D,Sheet1!$C:$C,$C5,Sheet1!$B:$B,H$1,Sheet1!$A:$A,$A5)*100,4),"0.0000") &amp; " ± " &amp; TEXT(ROUND(SUMIFS(Sheet1!$E:$E,Sheet1!$C:$C,$C5,Sheet1!$B:$B,H$1,Sheet1!$A:$A,$A5)*100,2),"0.00")</f>
        <v>50.5117 ± 9.95</v>
      </c>
      <c r="I5" s="8" t="str">
        <f>TEXT(ROUND(SUMIFS(Sheet1!$F:$F,Sheet1!$C:$C,$C5,Sheet1!$B:$B,I$1,Sheet1!$A:$A,$A5)*100,4),"0.0000") &amp; " ± " &amp; TEXT(ROUND(SUMIFS(Sheet1!$G:$G,Sheet1!$C:$C,$C5,Sheet1!$B:$B,I$1,Sheet1!$A:$A,$A5)*100,2),"0.00")</f>
        <v>49.3165 ± 16.57</v>
      </c>
      <c r="J5" s="8" t="str">
        <f>TEXT(ROUND(SUMIFS(Sheet1!$H:$H,Sheet1!$C:$C,$C5,Sheet1!$B:$B,J$1,Sheet1!$A:$A,$A5)*100,4),"0.0000") &amp; " ± " &amp; TEXT(ROUND(SUMIFS(Sheet1!$I:$I,Sheet1!$C:$C,$C5,Sheet1!$B:$B,J$1,Sheet1!$A:$A,$A5)*100,2),"0.00")</f>
        <v>50.6964 ± 17.29</v>
      </c>
      <c r="K5" s="12" t="str">
        <f>TEXT(ROUND(SUMIFS(Sheet1!$J:$J,Sheet1!$C:$C,$C5,Sheet1!$B:$B,K$1,Sheet1!$A:$A,$A5)*100,4),"0.0000") &amp; " ± " &amp; TEXT(ROUND(SUMIFS(Sheet1!$K:$K,Sheet1!$C:$C,$C5,Sheet1!$B:$B,K$1,Sheet1!$A:$A,$A5)*100,2),"0.00")</f>
        <v>54.5208 ± 22.61</v>
      </c>
      <c r="L5" s="11" t="str">
        <f>TEXT(ROUND(SUMIFS(Sheet1!$D:$D,Sheet1!$C:$C,$C5,Sheet1!$B:$B,L$1,Sheet1!$A:$A,$A5)*100,4),"0.0000") &amp; " ± " &amp; TEXT(ROUND(SUMIFS(Sheet1!$E:$E,Sheet1!$C:$C,$C5,Sheet1!$B:$B,L$1,Sheet1!$A:$A,$A5)*100,2),"0.00")</f>
        <v>48.1702 ± 9.14</v>
      </c>
      <c r="M5" s="8" t="str">
        <f>TEXT(ROUND(SUMIFS(Sheet1!$F:$F,Sheet1!$C:$C,$C5,Sheet1!$B:$B,M$1,Sheet1!$A:$A,$A5)*100,4),"0.0000") &amp; " ± " &amp; TEXT(ROUND(SUMIFS(Sheet1!$G:$G,Sheet1!$C:$C,$C5,Sheet1!$B:$B,M$1,Sheet1!$A:$A,$A5)*100,2),"0.00")</f>
        <v>44.2518 ± 18.70</v>
      </c>
      <c r="N5" s="8" t="str">
        <f>TEXT(ROUND(SUMIFS(Sheet1!$H:$H,Sheet1!$C:$C,$C5,Sheet1!$B:$B,N$1,Sheet1!$A:$A,$A5)*100,4),"0.0000") &amp; " ± " &amp; TEXT(ROUND(SUMIFS(Sheet1!$I:$I,Sheet1!$C:$C,$C5,Sheet1!$B:$B,N$1,Sheet1!$A:$A,$A5)*100,2),"0.00")</f>
        <v>48.6382 ± 18.77</v>
      </c>
      <c r="O5" s="12" t="str">
        <f>TEXT(ROUND(SUMIFS(Sheet1!$J:$J,Sheet1!$C:$C,$C5,Sheet1!$B:$B,O$1,Sheet1!$A:$A,$A5)*100,4),"0.0000") &amp; " ± " &amp; TEXT(ROUND(SUMIFS(Sheet1!$K:$K,Sheet1!$C:$C,$C5,Sheet1!$B:$B,O$1,Sheet1!$A:$A,$A5)*100,2),"0.00")</f>
        <v>49.5336 ± 27.31</v>
      </c>
    </row>
    <row r="6" spans="1:15" x14ac:dyDescent="0.3">
      <c r="A6" t="s">
        <v>17</v>
      </c>
      <c r="B6" s="30"/>
      <c r="C6" s="3" t="s">
        <v>12</v>
      </c>
      <c r="D6" s="18" t="str">
        <f>TEXT(ROUND(SUMIFS(Sheet1!$D:$D,Sheet1!$C:$C,$C6,Sheet1!$B:$B,D$1,Sheet1!$A:$A,$A6)*100,4),"0.0000") &amp; " ± " &amp; TEXT(ROUND(SUMIFS(Sheet1!$E:$E,Sheet1!$C:$C,$C6,Sheet1!$B:$B,D$1,Sheet1!$A:$A,$A6)*100,2),"0.00")</f>
        <v>50.5543 ± 14.94</v>
      </c>
      <c r="E6" s="6" t="str">
        <f>TEXT(ROUND(SUMIFS(Sheet1!$F:$F,Sheet1!$C:$C,$C6,Sheet1!$B:$B,E$1,Sheet1!$A:$A,$A6)*100,4),"0.0000") &amp; " ± " &amp; TEXT(ROUND(SUMIFS(Sheet1!$G:$G,Sheet1!$C:$C,$C6,Sheet1!$B:$B,E$1,Sheet1!$A:$A,$A6)*100,2),"0.00")</f>
        <v>64.9777 ± 13.89</v>
      </c>
      <c r="F6" s="7" t="str">
        <f>TEXT(ROUND(SUMIFS(Sheet1!$H:$H,Sheet1!$C:$C,$C6,Sheet1!$B:$B,F$1,Sheet1!$A:$A,$A6)*100,4),"0.0000") &amp; " ± " &amp; TEXT(ROUND(SUMIFS(Sheet1!$I:$I,Sheet1!$C:$C,$C6,Sheet1!$B:$B,F$1,Sheet1!$A:$A,$A6)*100,2),"0.00")</f>
        <v>50.6643 ± 15.33</v>
      </c>
      <c r="G6" s="19" t="str">
        <f>TEXT(ROUND(SUMIFS(Sheet1!$J:$J,Sheet1!$C:$C,$C6,Sheet1!$B:$B,G$1,Sheet1!$A:$A,$A6)*100,4),"0.0000") &amp; " ± " &amp; TEXT(ROUND(SUMIFS(Sheet1!$K:$K,Sheet1!$C:$C,$C6,Sheet1!$B:$B,G$1,Sheet1!$A:$A,$A6)*100,2),"0.00")</f>
        <v>97.0018 ± 8.73</v>
      </c>
      <c r="H6" s="13" t="str">
        <f>TEXT(ROUND(SUMIFS(Sheet1!$D:$D,Sheet1!$C:$C,$C6,Sheet1!$B:$B,H$1,Sheet1!$A:$A,$A6)*100,4),"0.0000") &amp; " ± " &amp; TEXT(ROUND(SUMIFS(Sheet1!$E:$E,Sheet1!$C:$C,$C6,Sheet1!$B:$B,H$1,Sheet1!$A:$A,$A6)*100,2),"0.00")</f>
        <v>50.6742 ± 15.38</v>
      </c>
      <c r="I6" s="6" t="str">
        <f>TEXT(ROUND(SUMIFS(Sheet1!$F:$F,Sheet1!$C:$C,$C6,Sheet1!$B:$B,I$1,Sheet1!$A:$A,$A6)*100,4),"0.0000") &amp; " ± " &amp; TEXT(ROUND(SUMIFS(Sheet1!$G:$G,Sheet1!$C:$C,$C6,Sheet1!$B:$B,I$1,Sheet1!$A:$A,$A6)*100,2),"0.00")</f>
        <v>65.3472 ± 14.08</v>
      </c>
      <c r="J6" s="7" t="str">
        <f>TEXT(ROUND(SUMIFS(Sheet1!$H:$H,Sheet1!$C:$C,$C6,Sheet1!$B:$B,J$1,Sheet1!$A:$A,$A6)*100,4),"0.0000") &amp; " ± " &amp; TEXT(ROUND(SUMIFS(Sheet1!$I:$I,Sheet1!$C:$C,$C6,Sheet1!$B:$B,J$1,Sheet1!$A:$A,$A6)*100,2),"0.00")</f>
        <v>50.6176 ± 15.55</v>
      </c>
      <c r="K6" s="19" t="str">
        <f>TEXT(ROUND(SUMIFS(Sheet1!$J:$J,Sheet1!$C:$C,$C6,Sheet1!$B:$B,K$1,Sheet1!$A:$A,$A6)*100,4),"0.0000") &amp; " ± " &amp; TEXT(ROUND(SUMIFS(Sheet1!$K:$K,Sheet1!$C:$C,$C6,Sheet1!$B:$B,K$1,Sheet1!$A:$A,$A6)*100,2),"0.00")</f>
        <v>97.9416 ± 4.29</v>
      </c>
      <c r="L6" s="18" t="str">
        <f>TEXT(ROUND(SUMIFS(Sheet1!$D:$D,Sheet1!$C:$C,$C6,Sheet1!$B:$B,L$1,Sheet1!$A:$A,$A6)*100,4),"0.0000") &amp; " ± " &amp; TEXT(ROUND(SUMIFS(Sheet1!$E:$E,Sheet1!$C:$C,$C6,Sheet1!$B:$B,L$1,Sheet1!$A:$A,$A6)*100,2),"0.00")</f>
        <v>50.4261 ± 15.13</v>
      </c>
      <c r="M6" s="6" t="str">
        <f>TEXT(ROUND(SUMIFS(Sheet1!$F:$F,Sheet1!$C:$C,$C6,Sheet1!$B:$B,M$1,Sheet1!$A:$A,$A6)*100,4),"0.0000") &amp; " ± " &amp; TEXT(ROUND(SUMIFS(Sheet1!$G:$G,Sheet1!$C:$C,$C6,Sheet1!$B:$B,M$1,Sheet1!$A:$A,$A6)*100,2),"0.00")</f>
        <v>64.8184 ± 14.03</v>
      </c>
      <c r="N6" s="6" t="str">
        <f>TEXT(ROUND(SUMIFS(Sheet1!$H:$H,Sheet1!$C:$C,$C6,Sheet1!$B:$B,N$1,Sheet1!$A:$A,$A6)*100,4),"0.0000") &amp; " ± " &amp; TEXT(ROUND(SUMIFS(Sheet1!$I:$I,Sheet1!$C:$C,$C6,Sheet1!$B:$B,N$1,Sheet1!$A:$A,$A6)*100,2),"0.00")</f>
        <v>50.5304 ± 15.42</v>
      </c>
      <c r="O6" s="19" t="str">
        <f>TEXT(ROUND(SUMIFS(Sheet1!$J:$J,Sheet1!$C:$C,$C6,Sheet1!$B:$B,O$1,Sheet1!$A:$A,$A6)*100,4),"0.0000") &amp; " ± " &amp; TEXT(ROUND(SUMIFS(Sheet1!$K:$K,Sheet1!$C:$C,$C6,Sheet1!$B:$B,O$1,Sheet1!$A:$A,$A6)*100,2),"0.00")</f>
        <v>96.5472 ± 8.17</v>
      </c>
    </row>
    <row r="7" spans="1:15" ht="15" thickBot="1" x14ac:dyDescent="0.35">
      <c r="A7" t="s">
        <v>17</v>
      </c>
      <c r="B7" s="31"/>
      <c r="C7" s="21" t="s">
        <v>14</v>
      </c>
      <c r="D7" s="15" t="str">
        <f>TEXT(ROUND(SUMIFS(Sheet1!$D:$D,Sheet1!$C:$C,$C7,Sheet1!$B:$B,D$1,Sheet1!$A:$A,$A7)*100,4),"0.0000") &amp; " ± " &amp; TEXT(ROUND(SUMIFS(Sheet1!$E:$E,Sheet1!$C:$C,$C7,Sheet1!$B:$B,D$1,Sheet1!$A:$A,$A7)*100,2),"0.00")</f>
        <v>49.1295 ± 7.54</v>
      </c>
      <c r="E7" s="16" t="str">
        <f>TEXT(ROUND(SUMIFS(Sheet1!$F:$F,Sheet1!$C:$C,$C7,Sheet1!$B:$B,E$1,Sheet1!$A:$A,$A7)*100,4),"0.0000") &amp; " ± " &amp; TEXT(ROUND(SUMIFS(Sheet1!$G:$G,Sheet1!$C:$C,$C7,Sheet1!$B:$B,E$1,Sheet1!$A:$A,$A7)*100,2),"0.00")</f>
        <v>48.3938 ± 12.11</v>
      </c>
      <c r="F7" s="16" t="str">
        <f>TEXT(ROUND(SUMIFS(Sheet1!$H:$H,Sheet1!$C:$C,$C7,Sheet1!$B:$B,F$1,Sheet1!$A:$A,$A7)*100,4),"0.0000") &amp; " ± " &amp; TEXT(ROUND(SUMIFS(Sheet1!$I:$I,Sheet1!$C:$C,$C7,Sheet1!$B:$B,F$1,Sheet1!$A:$A,$A7)*100,2),"0.00")</f>
        <v>50.3360 ± 16.49</v>
      </c>
      <c r="G7" s="17" t="str">
        <f>TEXT(ROUND(SUMIFS(Sheet1!$J:$J,Sheet1!$C:$C,$C7,Sheet1!$B:$B,G$1,Sheet1!$A:$A,$A7)*100,4),"0.0000") &amp; " ± " &amp; TEXT(ROUND(SUMIFS(Sheet1!$K:$K,Sheet1!$C:$C,$C7,Sheet1!$B:$B,G$1,Sheet1!$A:$A,$A7)*100,2),"0.00")</f>
        <v>50.6584 ± 12.84</v>
      </c>
      <c r="H7" s="33" t="str">
        <f>TEXT(ROUND(SUMIFS(Sheet1!$D:$D,Sheet1!$C:$C,$C7,Sheet1!$B:$B,H$1,Sheet1!$A:$A,$A7)*100,4),"0.0000") &amp; " ± " &amp; TEXT(ROUND(SUMIFS(Sheet1!$E:$E,Sheet1!$C:$C,$C7,Sheet1!$B:$B,H$1,Sheet1!$A:$A,$A7)*100,2),"0.00")</f>
        <v>51.7126 ± 4.70</v>
      </c>
      <c r="I7" s="16" t="str">
        <f>TEXT(ROUND(SUMIFS(Sheet1!$F:$F,Sheet1!$C:$C,$C7,Sheet1!$B:$B,I$1,Sheet1!$A:$A,$A7)*100,4),"0.0000") &amp; " ± " &amp; TEXT(ROUND(SUMIFS(Sheet1!$G:$G,Sheet1!$C:$C,$C7,Sheet1!$B:$B,I$1,Sheet1!$A:$A,$A7)*100,2),"0.00")</f>
        <v>50.3299 ± 9.19</v>
      </c>
      <c r="J7" s="34" t="str">
        <f>TEXT(ROUND(SUMIFS(Sheet1!$H:$H,Sheet1!$C:$C,$C7,Sheet1!$B:$B,J$1,Sheet1!$A:$A,$A7)*100,4),"0.0000") &amp; " ± " &amp; TEXT(ROUND(SUMIFS(Sheet1!$I:$I,Sheet1!$C:$C,$C7,Sheet1!$B:$B,J$1,Sheet1!$A:$A,$A7)*100,2),"0.00")</f>
        <v>52.6487 ± 15.85</v>
      </c>
      <c r="K7" s="17" t="str">
        <f>TEXT(ROUND(SUMIFS(Sheet1!$J:$J,Sheet1!$C:$C,$C7,Sheet1!$B:$B,K$1,Sheet1!$A:$A,$A7)*100,4),"0.0000") &amp; " ± " &amp; TEXT(ROUND(SUMIFS(Sheet1!$K:$K,Sheet1!$C:$C,$C7,Sheet1!$B:$B,K$1,Sheet1!$A:$A,$A7)*100,2),"0.00")</f>
        <v>51.4405 ± 8.79</v>
      </c>
      <c r="L7" s="15" t="str">
        <f>TEXT(ROUND(SUMIFS(Sheet1!$D:$D,Sheet1!$C:$C,$C7,Sheet1!$B:$B,L$1,Sheet1!$A:$A,$A7)*100,4),"0.0000") &amp; " ± " &amp; TEXT(ROUND(SUMIFS(Sheet1!$E:$E,Sheet1!$C:$C,$C7,Sheet1!$B:$B,L$1,Sheet1!$A:$A,$A7)*100,2),"0.00")</f>
        <v>48.8131 ± 5.02</v>
      </c>
      <c r="M7" s="16" t="str">
        <f>TEXT(ROUND(SUMIFS(Sheet1!$F:$F,Sheet1!$C:$C,$C7,Sheet1!$B:$B,M$1,Sheet1!$A:$A,$A7)*100,4),"0.0000") &amp; " ± " &amp; TEXT(ROUND(SUMIFS(Sheet1!$G:$G,Sheet1!$C:$C,$C7,Sheet1!$B:$B,M$1,Sheet1!$A:$A,$A7)*100,2),"0.00")</f>
        <v>47.1680 ± 11.00</v>
      </c>
      <c r="N7" s="16" t="str">
        <f>TEXT(ROUND(SUMIFS(Sheet1!$H:$H,Sheet1!$C:$C,$C7,Sheet1!$B:$B,N$1,Sheet1!$A:$A,$A7)*100,4),"0.0000") &amp; " ± " &amp; TEXT(ROUND(SUMIFS(Sheet1!$I:$I,Sheet1!$C:$C,$C7,Sheet1!$B:$B,N$1,Sheet1!$A:$A,$A7)*100,2),"0.00")</f>
        <v>49.6984 ± 16.82</v>
      </c>
      <c r="O7" s="17" t="str">
        <f>TEXT(ROUND(SUMIFS(Sheet1!$J:$J,Sheet1!$C:$C,$C7,Sheet1!$B:$B,O$1,Sheet1!$A:$A,$A7)*100,4),"0.0000") &amp; " ± " &amp; TEXT(ROUND(SUMIFS(Sheet1!$K:$K,Sheet1!$C:$C,$C7,Sheet1!$B:$B,O$1,Sheet1!$A:$A,$A7)*100,2),"0.00")</f>
        <v>48.1285 ± 10.56</v>
      </c>
    </row>
    <row r="8" spans="1:15" ht="15" thickBot="1" x14ac:dyDescent="0.35">
      <c r="B8" s="1"/>
    </row>
    <row r="9" spans="1:15" x14ac:dyDescent="0.3">
      <c r="B9" s="24" t="s">
        <v>29</v>
      </c>
      <c r="C9" s="22" t="s">
        <v>25</v>
      </c>
      <c r="D9" s="24" t="s">
        <v>26</v>
      </c>
      <c r="E9" s="25"/>
      <c r="F9" s="25"/>
      <c r="G9" s="26"/>
      <c r="H9" s="27" t="s">
        <v>27</v>
      </c>
      <c r="I9" s="28"/>
      <c r="J9" s="28"/>
      <c r="K9" s="29"/>
      <c r="L9" s="27" t="s">
        <v>28</v>
      </c>
      <c r="M9" s="28"/>
      <c r="N9" s="28"/>
      <c r="O9" s="29"/>
    </row>
    <row r="10" spans="1:15" x14ac:dyDescent="0.3">
      <c r="B10" s="32"/>
      <c r="C10" s="23" t="s">
        <v>20</v>
      </c>
      <c r="D10" s="9" t="s">
        <v>21</v>
      </c>
      <c r="E10" s="5" t="s">
        <v>22</v>
      </c>
      <c r="F10" s="5" t="s">
        <v>23</v>
      </c>
      <c r="G10" s="10" t="s">
        <v>24</v>
      </c>
      <c r="H10" s="9" t="s">
        <v>21</v>
      </c>
      <c r="I10" s="5" t="s">
        <v>22</v>
      </c>
      <c r="J10" s="5" t="s">
        <v>23</v>
      </c>
      <c r="K10" s="10" t="s">
        <v>24</v>
      </c>
      <c r="L10" s="9" t="s">
        <v>21</v>
      </c>
      <c r="M10" s="5" t="s">
        <v>22</v>
      </c>
      <c r="N10" s="5" t="s">
        <v>23</v>
      </c>
      <c r="O10" s="10" t="s">
        <v>24</v>
      </c>
    </row>
    <row r="11" spans="1:15" x14ac:dyDescent="0.3">
      <c r="A11" t="s">
        <v>16</v>
      </c>
      <c r="B11" s="30" t="s">
        <v>31</v>
      </c>
      <c r="C11" s="3" t="s">
        <v>11</v>
      </c>
      <c r="D11" s="13" t="str">
        <f>TEXT(ROUND(SUMIFS(Sheet1!$D:$D,Sheet1!$C:$C,$C11,Sheet1!$B:$B,D$1,Sheet1!$A:$A,$A11)*100,4),"0.0000") &amp; " ± " &amp; TEXT(ROUND(SUMIFS(Sheet1!$E:$E,Sheet1!$C:$C,$C11,Sheet1!$B:$B,D$1,Sheet1!$A:$A,$A11)*100,2),"0.00")</f>
        <v>51.2274 ± 16.34</v>
      </c>
      <c r="E11" s="7" t="str">
        <f>TEXT(ROUND(SUMIFS(Sheet1!$F:$F,Sheet1!$C:$C,$C11,Sheet1!$B:$B,E$1,Sheet1!$A:$A,$A11)*100,4),"0.0000") &amp; " ± " &amp; TEXT(ROUND(SUMIFS(Sheet1!$G:$G,Sheet1!$C:$C,$C11,Sheet1!$B:$B,E$1,Sheet1!$A:$A,$A11)*100,2),"0.00")</f>
        <v>43.7214 ± 21.69</v>
      </c>
      <c r="F11" s="7" t="str">
        <f>TEXT(ROUND(SUMIFS(Sheet1!$H:$H,Sheet1!$C:$C,$C11,Sheet1!$B:$B,F$1,Sheet1!$A:$A,$A11)*100,4),"0.0000") &amp; " ± " &amp; TEXT(ROUND(SUMIFS(Sheet1!$I:$I,Sheet1!$C:$C,$C11,Sheet1!$B:$B,F$1,Sheet1!$A:$A,$A11)*100,2),"0.00")</f>
        <v>48.4275 ± 28.96</v>
      </c>
      <c r="G11" s="14" t="str">
        <f>TEXT(ROUND(SUMIFS(Sheet1!$J:$J,Sheet1!$C:$C,$C11,Sheet1!$B:$B,G$1,Sheet1!$A:$A,$A11)*100,4),"0.0000") &amp; " ± " &amp; TEXT(ROUND(SUMIFS(Sheet1!$K:$K,Sheet1!$C:$C,$C11,Sheet1!$B:$B,G$1,Sheet1!$A:$A,$A11)*100,2),"0.00")</f>
        <v>46.7885 ± 26.80</v>
      </c>
      <c r="H11" s="13" t="str">
        <f>TEXT(ROUND(SUMIFS(Sheet1!$D:$D,Sheet1!$C:$C,$C11,Sheet1!$B:$B,H$1,Sheet1!$A:$A,$A11)*100,4),"0.0000") &amp; " ± " &amp; TEXT(ROUND(SUMIFS(Sheet1!$E:$E,Sheet1!$C:$C,$C11,Sheet1!$B:$B,H$1,Sheet1!$A:$A,$A11)*100,2),"0.00")</f>
        <v>53.1977 ± 18.12</v>
      </c>
      <c r="I11" s="7" t="str">
        <f>TEXT(ROUND(SUMIFS(Sheet1!$F:$F,Sheet1!$C:$C,$C11,Sheet1!$B:$B,I$1,Sheet1!$A:$A,$A11)*100,4),"0.0000") &amp; " ± " &amp; TEXT(ROUND(SUMIFS(Sheet1!$G:$G,Sheet1!$C:$C,$C11,Sheet1!$B:$B,I$1,Sheet1!$A:$A,$A11)*100,2),"0.00")</f>
        <v>49.3341 ± 17.86</v>
      </c>
      <c r="J11" s="6" t="str">
        <f>TEXT(ROUND(SUMIFS(Sheet1!$H:$H,Sheet1!$C:$C,$C11,Sheet1!$B:$B,J$1,Sheet1!$A:$A,$A11)*100,4),"0.0000") &amp; " ± " &amp; TEXT(ROUND(SUMIFS(Sheet1!$I:$I,Sheet1!$C:$C,$C11,Sheet1!$B:$B,J$1,Sheet1!$A:$A,$A11)*100,2),"0.00")</f>
        <v>55.4956 ± 24.34</v>
      </c>
      <c r="K11" s="14" t="str">
        <f>TEXT(ROUND(SUMIFS(Sheet1!$J:$J,Sheet1!$C:$C,$C11,Sheet1!$B:$B,K$1,Sheet1!$A:$A,$A11)*100,4),"0.0000") &amp; " ± " &amp; TEXT(ROUND(SUMIFS(Sheet1!$K:$K,Sheet1!$C:$C,$C11,Sheet1!$B:$B,K$1,Sheet1!$A:$A,$A11)*100,2),"0.00")</f>
        <v>51.5615 ± 21.93</v>
      </c>
      <c r="L11" s="13" t="str">
        <f>TEXT(ROUND(SUMIFS(Sheet1!$D:$D,Sheet1!$C:$C,$C11,Sheet1!$B:$B,L$1,Sheet1!$A:$A,$A11)*100,4),"0.0000") &amp; " ± " &amp; TEXT(ROUND(SUMIFS(Sheet1!$E:$E,Sheet1!$C:$C,$C11,Sheet1!$B:$B,L$1,Sheet1!$A:$A,$A11)*100,2),"0.00")</f>
        <v>44.8643 ± 18.45</v>
      </c>
      <c r="M11" s="7" t="str">
        <f>TEXT(ROUND(SUMIFS(Sheet1!$F:$F,Sheet1!$C:$C,$C11,Sheet1!$B:$B,M$1,Sheet1!$A:$A,$A11)*100,4),"0.0000") &amp; " ± " &amp; TEXT(ROUND(SUMIFS(Sheet1!$G:$G,Sheet1!$C:$C,$C11,Sheet1!$B:$B,M$1,Sheet1!$A:$A,$A11)*100,2),"0.00")</f>
        <v>36.6928 ± 23.35</v>
      </c>
      <c r="N11" s="7" t="str">
        <f>TEXT(ROUND(SUMIFS(Sheet1!$H:$H,Sheet1!$C:$C,$C11,Sheet1!$B:$B,N$1,Sheet1!$A:$A,$A11)*100,4),"0.0000") &amp; " ± " &amp; TEXT(ROUND(SUMIFS(Sheet1!$I:$I,Sheet1!$C:$C,$C11,Sheet1!$B:$B,N$1,Sheet1!$A:$A,$A11)*100,2),"0.00")</f>
        <v>38.4330 ± 27.20</v>
      </c>
      <c r="O11" s="14" t="str">
        <f>TEXT(ROUND(SUMIFS(Sheet1!$J:$J,Sheet1!$C:$C,$C11,Sheet1!$B:$B,O$1,Sheet1!$A:$A,$A11)*100,4),"0.0000") &amp; " ± " &amp; TEXT(ROUND(SUMIFS(Sheet1!$K:$K,Sheet1!$C:$C,$C11,Sheet1!$B:$B,O$1,Sheet1!$A:$A,$A11)*100,2),"0.00")</f>
        <v>39.6401 ± 27.90</v>
      </c>
    </row>
    <row r="12" spans="1:15" x14ac:dyDescent="0.3">
      <c r="A12" t="s">
        <v>16</v>
      </c>
      <c r="B12" s="30"/>
      <c r="C12" s="20" t="s">
        <v>13</v>
      </c>
      <c r="D12" s="35" t="str">
        <f>TEXT(ROUND(SUMIFS(Sheet1!$D:$D,Sheet1!$C:$C,$C12,Sheet1!$B:$B,D$1,Sheet1!$A:$A,$A12)*100,4),"0.0000") &amp; " ± " &amp; TEXT(ROUND(SUMIFS(Sheet1!$E:$E,Sheet1!$C:$C,$C12,Sheet1!$B:$B,D$1,Sheet1!$A:$A,$A12)*100,2),"0.00")</f>
        <v>56.5245 ± 15.78</v>
      </c>
      <c r="E12" s="8" t="str">
        <f>TEXT(ROUND(SUMIFS(Sheet1!$F:$F,Sheet1!$C:$C,$C12,Sheet1!$B:$B,E$1,Sheet1!$A:$A,$A12)*100,4),"0.0000") &amp; " ± " &amp; TEXT(ROUND(SUMIFS(Sheet1!$G:$G,Sheet1!$C:$C,$C12,Sheet1!$B:$B,E$1,Sheet1!$A:$A,$A12)*100,2),"0.00")</f>
        <v>51.8379 ± 21.90</v>
      </c>
      <c r="F12" s="8" t="str">
        <f>TEXT(ROUND(SUMIFS(Sheet1!$H:$H,Sheet1!$C:$C,$C12,Sheet1!$B:$B,F$1,Sheet1!$A:$A,$A12)*100,4),"0.0000") &amp; " ± " &amp; TEXT(ROUND(SUMIFS(Sheet1!$I:$I,Sheet1!$C:$C,$C12,Sheet1!$B:$B,F$1,Sheet1!$A:$A,$A12)*100,2),"0.00")</f>
        <v>52.4751 ± 23.18</v>
      </c>
      <c r="G12" s="12" t="str">
        <f>TEXT(ROUND(SUMIFS(Sheet1!$J:$J,Sheet1!$C:$C,$C12,Sheet1!$B:$B,G$1,Sheet1!$A:$A,$A12)*100,4),"0.0000") &amp; " ± " &amp; TEXT(ROUND(SUMIFS(Sheet1!$K:$K,Sheet1!$C:$C,$C12,Sheet1!$B:$B,G$1,Sheet1!$A:$A,$A12)*100,2),"0.00")</f>
        <v>58.9037 ± 30.89</v>
      </c>
      <c r="H12" s="35" t="str">
        <f>TEXT(ROUND(SUMIFS(Sheet1!$D:$D,Sheet1!$C:$C,$C12,Sheet1!$B:$B,H$1,Sheet1!$A:$A,$A12)*100,4),"0.0000") &amp; " ± " &amp; TEXT(ROUND(SUMIFS(Sheet1!$E:$E,Sheet1!$C:$C,$C12,Sheet1!$B:$B,H$1,Sheet1!$A:$A,$A12)*100,2),"0.00")</f>
        <v>53.1331 ± 15.56</v>
      </c>
      <c r="I12" s="8" t="str">
        <f>TEXT(ROUND(SUMIFS(Sheet1!$F:$F,Sheet1!$C:$C,$C12,Sheet1!$B:$B,I$1,Sheet1!$A:$A,$A12)*100,4),"0.0000") &amp; " ± " &amp; TEXT(ROUND(SUMIFS(Sheet1!$G:$G,Sheet1!$C:$C,$C12,Sheet1!$B:$B,I$1,Sheet1!$A:$A,$A12)*100,2),"0.00")</f>
        <v>44.2408 ± 21.89</v>
      </c>
      <c r="J12" s="8" t="str">
        <f>TEXT(ROUND(SUMIFS(Sheet1!$H:$H,Sheet1!$C:$C,$C12,Sheet1!$B:$B,J$1,Sheet1!$A:$A,$A12)*100,4),"0.0000") &amp; " ± " &amp; TEXT(ROUND(SUMIFS(Sheet1!$I:$I,Sheet1!$C:$C,$C12,Sheet1!$B:$B,J$1,Sheet1!$A:$A,$A12)*100,2),"0.00")</f>
        <v>51.5891 ± 29.17</v>
      </c>
      <c r="K12" s="12" t="str">
        <f>TEXT(ROUND(SUMIFS(Sheet1!$J:$J,Sheet1!$C:$C,$C12,Sheet1!$B:$B,K$1,Sheet1!$A:$A,$A12)*100,4),"0.0000") &amp; " ± " &amp; TEXT(ROUND(SUMIFS(Sheet1!$K:$K,Sheet1!$C:$C,$C12,Sheet1!$B:$B,K$1,Sheet1!$A:$A,$A12)*100,2),"0.00")</f>
        <v>44.1584 ± 24.66</v>
      </c>
      <c r="L12" s="11" t="str">
        <f>TEXT(ROUND(SUMIFS(Sheet1!$D:$D,Sheet1!$C:$C,$C12,Sheet1!$B:$B,L$1,Sheet1!$A:$A,$A12)*100,4),"0.0000") &amp; " ± " &amp; TEXT(ROUND(SUMIFS(Sheet1!$E:$E,Sheet1!$C:$C,$C12,Sheet1!$B:$B,L$1,Sheet1!$A:$A,$A12)*100,2),"0.00")</f>
        <v>52.1318 ± 17.44</v>
      </c>
      <c r="M12" s="8" t="str">
        <f>TEXT(ROUND(SUMIFS(Sheet1!$F:$F,Sheet1!$C:$C,$C12,Sheet1!$B:$B,M$1,Sheet1!$A:$A,$A12)*100,4),"0.0000") &amp; " ± " &amp; TEXT(ROUND(SUMIFS(Sheet1!$G:$G,Sheet1!$C:$C,$C12,Sheet1!$B:$B,M$1,Sheet1!$A:$A,$A12)*100,2),"0.00")</f>
        <v>43.4565 ± 24.29</v>
      </c>
      <c r="N12" s="8" t="str">
        <f>TEXT(ROUND(SUMIFS(Sheet1!$H:$H,Sheet1!$C:$C,$C12,Sheet1!$B:$B,N$1,Sheet1!$A:$A,$A12)*100,4),"0.0000") &amp; " ± " &amp; TEXT(ROUND(SUMIFS(Sheet1!$I:$I,Sheet1!$C:$C,$C12,Sheet1!$B:$B,N$1,Sheet1!$A:$A,$A12)*100,2),"0.00")</f>
        <v>46.4849 ± 29.32</v>
      </c>
      <c r="O12" s="12" t="str">
        <f>TEXT(ROUND(SUMIFS(Sheet1!$J:$J,Sheet1!$C:$C,$C12,Sheet1!$B:$B,O$1,Sheet1!$A:$A,$A12)*100,4),"0.0000") &amp; " ± " &amp; TEXT(ROUND(SUMIFS(Sheet1!$K:$K,Sheet1!$C:$C,$C12,Sheet1!$B:$B,O$1,Sheet1!$A:$A,$A12)*100,2),"0.00")</f>
        <v>48.0122 ± 30.60</v>
      </c>
    </row>
    <row r="13" spans="1:15" x14ac:dyDescent="0.3">
      <c r="A13" t="s">
        <v>16</v>
      </c>
      <c r="B13" s="30"/>
      <c r="C13" s="3" t="s">
        <v>12</v>
      </c>
      <c r="D13" s="13" t="str">
        <f>TEXT(ROUND(SUMIFS(Sheet1!$D:$D,Sheet1!$C:$C,$C13,Sheet1!$B:$B,D$1,Sheet1!$A:$A,$A13)*100,4),"0.0000") &amp; " ± " &amp; TEXT(ROUND(SUMIFS(Sheet1!$E:$E,Sheet1!$C:$C,$C13,Sheet1!$B:$B,D$1,Sheet1!$A:$A,$A13)*100,2),"0.00")</f>
        <v>55.7494 ± 15.35</v>
      </c>
      <c r="E13" s="6" t="str">
        <f>TEXT(ROUND(SUMIFS(Sheet1!$F:$F,Sheet1!$C:$C,$C13,Sheet1!$B:$B,E$1,Sheet1!$A:$A,$A13)*100,4),"0.0000") &amp; " ± " &amp; TEXT(ROUND(SUMIFS(Sheet1!$G:$G,Sheet1!$C:$C,$C13,Sheet1!$B:$B,E$1,Sheet1!$A:$A,$A13)*100,2),"0.00")</f>
        <v>63.3120 ± 15.38</v>
      </c>
      <c r="F13" s="6" t="str">
        <f>TEXT(ROUND(SUMIFS(Sheet1!$H:$H,Sheet1!$C:$C,$C13,Sheet1!$B:$B,F$1,Sheet1!$A:$A,$A13)*100,4),"0.0000") &amp; " ± " &amp; TEXT(ROUND(SUMIFS(Sheet1!$I:$I,Sheet1!$C:$C,$C13,Sheet1!$B:$B,F$1,Sheet1!$A:$A,$A13)*100,2),"0.00")</f>
        <v>52.4908 ± 16.67</v>
      </c>
      <c r="G13" s="19" t="str">
        <f>TEXT(ROUND(SUMIFS(Sheet1!$J:$J,Sheet1!$C:$C,$C13,Sheet1!$B:$B,G$1,Sheet1!$A:$A,$A13)*100,4),"0.0000") &amp; " ± " &amp; TEXT(ROUND(SUMIFS(Sheet1!$K:$K,Sheet1!$C:$C,$C13,Sheet1!$B:$B,G$1,Sheet1!$A:$A,$A13)*100,2),"0.00")</f>
        <v>86.0576 ± 17.68</v>
      </c>
      <c r="H13" s="13" t="str">
        <f>TEXT(ROUND(SUMIFS(Sheet1!$D:$D,Sheet1!$C:$C,$C13,Sheet1!$B:$B,H$1,Sheet1!$A:$A,$A13)*100,4),"0.0000") &amp; " ± " &amp; TEXT(ROUND(SUMIFS(Sheet1!$E:$E,Sheet1!$C:$C,$C13,Sheet1!$B:$B,H$1,Sheet1!$A:$A,$A13)*100,2),"0.00")</f>
        <v>51.5504 ± 17.25</v>
      </c>
      <c r="I13" s="6" t="str">
        <f>TEXT(ROUND(SUMIFS(Sheet1!$F:$F,Sheet1!$C:$C,$C13,Sheet1!$B:$B,I$1,Sheet1!$A:$A,$A13)*100,4),"0.0000") &amp; " ± " &amp; TEXT(ROUND(SUMIFS(Sheet1!$G:$G,Sheet1!$C:$C,$C13,Sheet1!$B:$B,I$1,Sheet1!$A:$A,$A13)*100,2),"0.00")</f>
        <v>59.4717 ± 18.75</v>
      </c>
      <c r="J13" s="7" t="str">
        <f>TEXT(ROUND(SUMIFS(Sheet1!$H:$H,Sheet1!$C:$C,$C13,Sheet1!$B:$B,J$1,Sheet1!$A:$A,$A13)*100,4),"0.0000") &amp; " ± " &amp; TEXT(ROUND(SUMIFS(Sheet1!$I:$I,Sheet1!$C:$C,$C13,Sheet1!$B:$B,J$1,Sheet1!$A:$A,$A13)*100,2),"0.00")</f>
        <v>49.8893 ± 20.64</v>
      </c>
      <c r="K13" s="19" t="str">
        <f>TEXT(ROUND(SUMIFS(Sheet1!$J:$J,Sheet1!$C:$C,$C13,Sheet1!$B:$B,K$1,Sheet1!$A:$A,$A13)*100,4),"0.0000") &amp; " ± " &amp; TEXT(ROUND(SUMIFS(Sheet1!$K:$K,Sheet1!$C:$C,$C13,Sheet1!$B:$B,K$1,Sheet1!$A:$A,$A13)*100,2),"0.00")</f>
        <v>80.4042 ± 20.71</v>
      </c>
      <c r="L13" s="18" t="str">
        <f>TEXT(ROUND(SUMIFS(Sheet1!$D:$D,Sheet1!$C:$C,$C13,Sheet1!$B:$B,L$1,Sheet1!$A:$A,$A13)*100,4),"0.0000") &amp; " ± " &amp; TEXT(ROUND(SUMIFS(Sheet1!$E:$E,Sheet1!$C:$C,$C13,Sheet1!$B:$B,L$1,Sheet1!$A:$A,$A13)*100,2),"0.00")</f>
        <v>56.0078 ± 16.34</v>
      </c>
      <c r="M13" s="6" t="str">
        <f>TEXT(ROUND(SUMIFS(Sheet1!$F:$F,Sheet1!$C:$C,$C13,Sheet1!$B:$B,M$1,Sheet1!$A:$A,$A13)*100,4),"0.0000") &amp; " ± " &amp; TEXT(ROUND(SUMIFS(Sheet1!$G:$G,Sheet1!$C:$C,$C13,Sheet1!$B:$B,M$1,Sheet1!$A:$A,$A13)*100,2),"0.00")</f>
        <v>62.2730 ± 18.71</v>
      </c>
      <c r="N13" s="6" t="str">
        <f>TEXT(ROUND(SUMIFS(Sheet1!$H:$H,Sheet1!$C:$C,$C13,Sheet1!$B:$B,N$1,Sheet1!$A:$A,$A13)*100,4),"0.0000") &amp; " ± " &amp; TEXT(ROUND(SUMIFS(Sheet1!$I:$I,Sheet1!$C:$C,$C13,Sheet1!$B:$B,N$1,Sheet1!$A:$A,$A13)*100,2),"0.00")</f>
        <v>52.2490 ± 18.39</v>
      </c>
      <c r="O13" s="19" t="str">
        <f>TEXT(ROUND(SUMIFS(Sheet1!$J:$J,Sheet1!$C:$C,$C13,Sheet1!$B:$B,O$1,Sheet1!$A:$A,$A13)*100,4),"0.0000") &amp; " ± " &amp; TEXT(ROUND(SUMIFS(Sheet1!$K:$K,Sheet1!$C:$C,$C13,Sheet1!$B:$B,O$1,Sheet1!$A:$A,$A13)*100,2),"0.00")</f>
        <v>83.1894 ± 24.74</v>
      </c>
    </row>
    <row r="14" spans="1:15" ht="15" thickBot="1" x14ac:dyDescent="0.35">
      <c r="A14" t="s">
        <v>16</v>
      </c>
      <c r="B14" s="31"/>
      <c r="C14" s="21" t="s">
        <v>14</v>
      </c>
      <c r="D14" s="15" t="str">
        <f>TEXT(ROUND(SUMIFS(Sheet1!$D:$D,Sheet1!$C:$C,$C14,Sheet1!$B:$B,D$1,Sheet1!$A:$A,$A14)*100,4),"0.0000") &amp; " ± " &amp; TEXT(ROUND(SUMIFS(Sheet1!$E:$E,Sheet1!$C:$C,$C14,Sheet1!$B:$B,D$1,Sheet1!$A:$A,$A14)*100,2),"0.00")</f>
        <v>44.5736 ± 14.40</v>
      </c>
      <c r="E14" s="16" t="str">
        <f>TEXT(ROUND(SUMIFS(Sheet1!$F:$F,Sheet1!$C:$C,$C14,Sheet1!$B:$B,E$1,Sheet1!$A:$A,$A14)*100,4),"0.0000") &amp; " ± " &amp; TEXT(ROUND(SUMIFS(Sheet1!$G:$G,Sheet1!$C:$C,$C14,Sheet1!$B:$B,E$1,Sheet1!$A:$A,$A14)*100,2),"0.00")</f>
        <v>45.7373 ± 17.67</v>
      </c>
      <c r="F14" s="16" t="str">
        <f>TEXT(ROUND(SUMIFS(Sheet1!$H:$H,Sheet1!$C:$C,$C14,Sheet1!$B:$B,F$1,Sheet1!$A:$A,$A14)*100,4),"0.0000") &amp; " ± " &amp; TEXT(ROUND(SUMIFS(Sheet1!$I:$I,Sheet1!$C:$C,$C14,Sheet1!$B:$B,F$1,Sheet1!$A:$A,$A14)*100,2),"0.00")</f>
        <v>41.9260 ± 16.99</v>
      </c>
      <c r="G14" s="17" t="str">
        <f>TEXT(ROUND(SUMIFS(Sheet1!$J:$J,Sheet1!$C:$C,$C14,Sheet1!$B:$B,G$1,Sheet1!$A:$A,$A14)*100,4),"0.0000") &amp; " ± " &amp; TEXT(ROUND(SUMIFS(Sheet1!$K:$K,Sheet1!$C:$C,$C14,Sheet1!$B:$B,G$1,Sheet1!$A:$A,$A14)*100,2),"0.00")</f>
        <v>56.5891 ± 26.11</v>
      </c>
      <c r="H14" s="15" t="str">
        <f>TEXT(ROUND(SUMIFS(Sheet1!$D:$D,Sheet1!$C:$C,$C14,Sheet1!$B:$B,H$1,Sheet1!$A:$A,$A14)*100,4),"0.0000") &amp; " ± " &amp; TEXT(ROUND(SUMIFS(Sheet1!$E:$E,Sheet1!$C:$C,$C14,Sheet1!$B:$B,H$1,Sheet1!$A:$A,$A14)*100,2),"0.00")</f>
        <v>48.1912 ± 21.12</v>
      </c>
      <c r="I14" s="16" t="str">
        <f>TEXT(ROUND(SUMIFS(Sheet1!$F:$F,Sheet1!$C:$C,$C14,Sheet1!$B:$B,I$1,Sheet1!$A:$A,$A14)*100,4),"0.0000") &amp; " ± " &amp; TEXT(ROUND(SUMIFS(Sheet1!$G:$G,Sheet1!$C:$C,$C14,Sheet1!$B:$B,I$1,Sheet1!$A:$A,$A14)*100,2),"0.00")</f>
        <v>40.4830 ± 28.82</v>
      </c>
      <c r="J14" s="16" t="str">
        <f>TEXT(ROUND(SUMIFS(Sheet1!$H:$H,Sheet1!$C:$C,$C14,Sheet1!$B:$B,J$1,Sheet1!$A:$A,$A14)*100,4),"0.0000") &amp; " ± " &amp; TEXT(ROUND(SUMIFS(Sheet1!$I:$I,Sheet1!$C:$C,$C14,Sheet1!$B:$B,J$1,Sheet1!$A:$A,$A14)*100,2),"0.00")</f>
        <v>44.0670 ± 32.52</v>
      </c>
      <c r="K14" s="17" t="str">
        <f>TEXT(ROUND(SUMIFS(Sheet1!$J:$J,Sheet1!$C:$C,$C14,Sheet1!$B:$B,K$1,Sheet1!$A:$A,$A14)*100,4),"0.0000") &amp; " ± " &amp; TEXT(ROUND(SUMIFS(Sheet1!$K:$K,Sheet1!$C:$C,$C14,Sheet1!$B:$B,K$1,Sheet1!$A:$A,$A14)*100,2),"0.00")</f>
        <v>42.0598 ± 31.62</v>
      </c>
      <c r="L14" s="15" t="str">
        <f>TEXT(ROUND(SUMIFS(Sheet1!$D:$D,Sheet1!$C:$C,$C14,Sheet1!$B:$B,L$1,Sheet1!$A:$A,$A14)*100,4),"0.0000") &amp; " ± " &amp; TEXT(ROUND(SUMIFS(Sheet1!$E:$E,Sheet1!$C:$C,$C14,Sheet1!$B:$B,L$1,Sheet1!$A:$A,$A14)*100,2),"0.00")</f>
        <v>46.0917 ± 18.75</v>
      </c>
      <c r="M14" s="16" t="str">
        <f>TEXT(ROUND(SUMIFS(Sheet1!$F:$F,Sheet1!$C:$C,$C14,Sheet1!$B:$B,M$1,Sheet1!$A:$A,$A14)*100,4),"0.0000") &amp; " ± " &amp; TEXT(ROUND(SUMIFS(Sheet1!$G:$G,Sheet1!$C:$C,$C14,Sheet1!$B:$B,M$1,Sheet1!$A:$A,$A14)*100,2),"0.00")</f>
        <v>43.1921 ± 21.29</v>
      </c>
      <c r="N14" s="16" t="str">
        <f>TEXT(ROUND(SUMIFS(Sheet1!$H:$H,Sheet1!$C:$C,$C14,Sheet1!$B:$B,N$1,Sheet1!$A:$A,$A14)*100,4),"0.0000") &amp; " ± " &amp; TEXT(ROUND(SUMIFS(Sheet1!$I:$I,Sheet1!$C:$C,$C14,Sheet1!$B:$B,N$1,Sheet1!$A:$A,$A14)*100,2),"0.00")</f>
        <v>43.1700 ± 23.66</v>
      </c>
      <c r="O14" s="17" t="str">
        <f>TEXT(ROUND(SUMIFS(Sheet1!$J:$J,Sheet1!$C:$C,$C14,Sheet1!$B:$B,O$1,Sheet1!$A:$A,$A14)*100,4),"0.0000") &amp; " ± " &amp; TEXT(ROUND(SUMIFS(Sheet1!$K:$K,Sheet1!$C:$C,$C14,Sheet1!$B:$B,O$1,Sheet1!$A:$A,$A14)*100,2),"0.00")</f>
        <v>48.9646 ± 25.91</v>
      </c>
    </row>
  </sheetData>
  <mergeCells count="10">
    <mergeCell ref="D2:G2"/>
    <mergeCell ref="H2:K2"/>
    <mergeCell ref="L2:O2"/>
    <mergeCell ref="B4:B7"/>
    <mergeCell ref="B11:B14"/>
    <mergeCell ref="B2:B3"/>
    <mergeCell ref="B9:B10"/>
    <mergeCell ref="D9:G9"/>
    <mergeCell ref="H9:K9"/>
    <mergeCell ref="L9:O9"/>
  </mergeCells>
  <conditionalFormatting sqref="D4:O7 D11:G1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:K1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:O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Hanifi</dc:creator>
  <cp:lastModifiedBy>Nikoo Amjadi</cp:lastModifiedBy>
  <dcterms:created xsi:type="dcterms:W3CDTF">2026-06-07T13:23:22Z</dcterms:created>
  <dcterms:modified xsi:type="dcterms:W3CDTF">2026-06-10T19:24:57Z</dcterms:modified>
</cp:coreProperties>
</file>